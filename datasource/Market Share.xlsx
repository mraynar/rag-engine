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AA09BAD58BE29D69DDD1CAAAA54C13AB7C88DD63" xr6:coauthVersionLast="47" xr6:coauthVersionMax="47" xr10:uidLastSave="{A3890F4B-3DEB-4B6F-AF6C-9FEECF5EC7A7}"/>
  <bookViews>
    <workbookView xWindow="0" yWindow="0" windowWidth="0" windowHeight="0" xr2:uid="{00000000-000D-0000-FFFF-FFFF00000000}"/>
  </bookViews>
  <sheets>
    <sheet name="SL INT" sheetId="1" r:id="rId1"/>
    <sheet name="BOX. OPR PIVOT" sheetId="2" r:id="rId2"/>
    <sheet name="CONT THROUGHPUT" sheetId="3" r:id="rId3"/>
    <sheet name="C.THR. DOM" sheetId="4" r:id="rId4"/>
    <sheet name="V.OPR INT" sheetId="5" r:id="rId5"/>
    <sheet name="V.OPR DOM" sheetId="6" r:id="rId6"/>
    <sheet name="B.OPR INT" sheetId="7" r:id="rId7"/>
    <sheet name="B.OPR DOM" sheetId="8" r:id="rId8"/>
    <sheet name="TOP SERVICES" sheetId="9" r:id="rId9"/>
    <sheet name="SL DOM" sheetId="10" r:id="rId10"/>
    <sheet name="Sheet12" sheetId="11" r:id="rId11"/>
    <sheet name="BAR INT" sheetId="12" r:id="rId12"/>
    <sheet name="BAR DOM" sheetId="13" r:id="rId13"/>
  </sheets>
  <definedNames>
    <definedName name="_xlnm._FilterDatabase" localSheetId="4" hidden="1">'V.OPR INT'!$A$1:$P$791</definedName>
    <definedName name="_xlnm._FilterDatabase" localSheetId="6" hidden="1">'B.OPR INT'!$A$1:$J$589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3" l="1"/>
  <c r="B138" i="13"/>
  <c r="C137" i="13"/>
  <c r="B137" i="13"/>
  <c r="C136" i="13"/>
  <c r="B136" i="13"/>
  <c r="C135" i="13"/>
  <c r="B135" i="13"/>
  <c r="C134" i="13"/>
  <c r="B134" i="13"/>
  <c r="C133" i="13"/>
  <c r="B133" i="13"/>
  <c r="C132" i="13"/>
  <c r="B132" i="13"/>
  <c r="C131" i="13"/>
  <c r="B131" i="13"/>
  <c r="C130" i="13"/>
  <c r="B130" i="13"/>
  <c r="C129" i="13"/>
  <c r="B129" i="13"/>
  <c r="C128" i="13"/>
  <c r="B128" i="13"/>
  <c r="C127" i="13"/>
  <c r="B127" i="13"/>
  <c r="C126" i="13"/>
  <c r="B126" i="13"/>
  <c r="C125" i="13"/>
  <c r="B125" i="13"/>
  <c r="C124" i="13"/>
  <c r="B124" i="13"/>
  <c r="C123" i="13"/>
  <c r="B123" i="13"/>
  <c r="C122" i="13"/>
  <c r="B122" i="13"/>
  <c r="C121" i="13"/>
  <c r="B121" i="13"/>
  <c r="C120" i="13"/>
  <c r="B120" i="13"/>
  <c r="C119" i="13"/>
  <c r="B119" i="13"/>
  <c r="C118" i="13"/>
  <c r="B118" i="13"/>
  <c r="C117" i="13"/>
  <c r="B117" i="13"/>
  <c r="C116" i="13"/>
  <c r="B116" i="13"/>
  <c r="C115" i="13"/>
  <c r="B115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85" i="13"/>
  <c r="B85" i="13"/>
  <c r="C84" i="13"/>
  <c r="B84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C5" i="13"/>
  <c r="B5" i="13"/>
  <c r="C4" i="13"/>
  <c r="B4" i="13"/>
  <c r="C3" i="13"/>
  <c r="B3" i="13"/>
  <c r="C2" i="13"/>
  <c r="B2" i="13"/>
  <c r="C525" i="12"/>
  <c r="B525" i="12"/>
  <c r="C524" i="12"/>
  <c r="B524" i="12"/>
  <c r="C523" i="12"/>
  <c r="B523" i="12"/>
  <c r="C522" i="12"/>
  <c r="B522" i="12"/>
  <c r="C521" i="12"/>
  <c r="B521" i="12"/>
  <c r="C520" i="12"/>
  <c r="B520" i="12"/>
  <c r="C519" i="12"/>
  <c r="B519" i="12"/>
  <c r="C518" i="12"/>
  <c r="B518" i="12"/>
  <c r="C517" i="12"/>
  <c r="B517" i="12"/>
  <c r="C516" i="12"/>
  <c r="B516" i="12"/>
  <c r="C515" i="12"/>
  <c r="B515" i="12"/>
  <c r="C514" i="12"/>
  <c r="B514" i="12"/>
  <c r="C513" i="12"/>
  <c r="B513" i="12"/>
  <c r="C512" i="12"/>
  <c r="B512" i="12"/>
  <c r="C511" i="12"/>
  <c r="B511" i="12"/>
  <c r="C510" i="12"/>
  <c r="B510" i="12"/>
  <c r="C509" i="12"/>
  <c r="B509" i="12"/>
  <c r="C508" i="12"/>
  <c r="B508" i="12"/>
  <c r="C507" i="12"/>
  <c r="B507" i="12"/>
  <c r="C506" i="12"/>
  <c r="B506" i="12"/>
  <c r="C505" i="12"/>
  <c r="B505" i="12"/>
  <c r="C504" i="12"/>
  <c r="B504" i="12"/>
  <c r="C503" i="12"/>
  <c r="B503" i="12"/>
  <c r="C502" i="12"/>
  <c r="B502" i="12"/>
  <c r="C501" i="12"/>
  <c r="B501" i="12"/>
  <c r="C500" i="12"/>
  <c r="B500" i="12"/>
  <c r="C499" i="12"/>
  <c r="B499" i="12"/>
  <c r="C498" i="12"/>
  <c r="B498" i="12"/>
  <c r="C497" i="12"/>
  <c r="B497" i="12"/>
  <c r="C496" i="12"/>
  <c r="B496" i="12"/>
  <c r="C495" i="12"/>
  <c r="B495" i="12"/>
  <c r="C494" i="12"/>
  <c r="B494" i="12"/>
  <c r="C493" i="12"/>
  <c r="B493" i="12"/>
  <c r="C492" i="12"/>
  <c r="B492" i="12"/>
  <c r="C491" i="12"/>
  <c r="B491" i="12"/>
  <c r="C490" i="12"/>
  <c r="B490" i="12"/>
  <c r="C489" i="12"/>
  <c r="B489" i="12"/>
  <c r="C488" i="12"/>
  <c r="B488" i="12"/>
  <c r="C487" i="12"/>
  <c r="B487" i="12"/>
  <c r="C486" i="12"/>
  <c r="B486" i="12"/>
  <c r="C485" i="12"/>
  <c r="B485" i="12"/>
  <c r="C484" i="12"/>
  <c r="B484" i="12"/>
  <c r="C483" i="12"/>
  <c r="B483" i="12"/>
  <c r="C482" i="12"/>
  <c r="B482" i="12"/>
  <c r="C481" i="12"/>
  <c r="B481" i="12"/>
  <c r="C480" i="12"/>
  <c r="B480" i="12"/>
  <c r="C479" i="12"/>
  <c r="B479" i="12"/>
  <c r="C478" i="12"/>
  <c r="B478" i="12"/>
  <c r="C477" i="12"/>
  <c r="B477" i="12"/>
  <c r="C476" i="12"/>
  <c r="B476" i="12"/>
  <c r="C475" i="12"/>
  <c r="B475" i="12"/>
  <c r="C474" i="12"/>
  <c r="B474" i="12"/>
  <c r="C473" i="12"/>
  <c r="B473" i="12"/>
  <c r="C472" i="12"/>
  <c r="B472" i="12"/>
  <c r="C471" i="12"/>
  <c r="B471" i="12"/>
  <c r="C470" i="12"/>
  <c r="B470" i="12"/>
  <c r="C469" i="12"/>
  <c r="B469" i="12"/>
  <c r="C468" i="12"/>
  <c r="B468" i="12"/>
  <c r="C467" i="12"/>
  <c r="B467" i="12"/>
  <c r="C466" i="12"/>
  <c r="B466" i="12"/>
  <c r="C465" i="12"/>
  <c r="B465" i="12"/>
  <c r="C464" i="12"/>
  <c r="B464" i="12"/>
  <c r="C463" i="12"/>
  <c r="B463" i="12"/>
  <c r="C462" i="12"/>
  <c r="B462" i="12"/>
  <c r="C461" i="12"/>
  <c r="B461" i="12"/>
  <c r="C460" i="12"/>
  <c r="B460" i="12"/>
  <c r="C459" i="12"/>
  <c r="B459" i="12"/>
  <c r="C458" i="12"/>
  <c r="B458" i="12"/>
  <c r="C457" i="12"/>
  <c r="B457" i="12"/>
  <c r="C456" i="12"/>
  <c r="B456" i="12"/>
  <c r="C455" i="12"/>
  <c r="B455" i="12"/>
  <c r="C454" i="12"/>
  <c r="B454" i="12"/>
  <c r="C453" i="12"/>
  <c r="B453" i="12"/>
  <c r="C452" i="12"/>
  <c r="B452" i="12"/>
  <c r="C451" i="12"/>
  <c r="B451" i="12"/>
  <c r="C450" i="12"/>
  <c r="B450" i="12"/>
  <c r="C449" i="12"/>
  <c r="B449" i="12"/>
  <c r="C448" i="12"/>
  <c r="B448" i="12"/>
  <c r="C447" i="12"/>
  <c r="B447" i="12"/>
  <c r="C446" i="12"/>
  <c r="B446" i="12"/>
  <c r="C445" i="12"/>
  <c r="B445" i="12"/>
  <c r="C444" i="12"/>
  <c r="B444" i="12"/>
  <c r="C443" i="12"/>
  <c r="B443" i="12"/>
  <c r="C442" i="12"/>
  <c r="B442" i="12"/>
  <c r="C441" i="12"/>
  <c r="B441" i="12"/>
  <c r="C440" i="12"/>
  <c r="B440" i="12"/>
  <c r="C439" i="12"/>
  <c r="B439" i="12"/>
  <c r="C438" i="12"/>
  <c r="B438" i="12"/>
  <c r="C437" i="12"/>
  <c r="B437" i="12"/>
  <c r="C436" i="12"/>
  <c r="B436" i="12"/>
  <c r="C435" i="12"/>
  <c r="B435" i="12"/>
  <c r="C434" i="12"/>
  <c r="B434" i="12"/>
  <c r="C433" i="12"/>
  <c r="B433" i="12"/>
  <c r="C432" i="12"/>
  <c r="B432" i="12"/>
  <c r="C431" i="12"/>
  <c r="B431" i="12"/>
  <c r="C430" i="12"/>
  <c r="B430" i="12"/>
  <c r="C429" i="12"/>
  <c r="B429" i="12"/>
  <c r="C428" i="12"/>
  <c r="B428" i="12"/>
  <c r="C427" i="12"/>
  <c r="B427" i="12"/>
  <c r="C426" i="12"/>
  <c r="B426" i="12"/>
  <c r="C425" i="12"/>
  <c r="B425" i="12"/>
  <c r="C424" i="12"/>
  <c r="B424" i="12"/>
  <c r="C423" i="12"/>
  <c r="B423" i="12"/>
  <c r="C422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C362" i="12"/>
  <c r="B362" i="12"/>
  <c r="C361" i="12"/>
  <c r="B361" i="12"/>
  <c r="C360" i="12"/>
  <c r="B360" i="12"/>
  <c r="C359" i="12"/>
  <c r="B359" i="12"/>
  <c r="C358" i="12"/>
  <c r="B358" i="12"/>
  <c r="C357" i="12"/>
  <c r="B357" i="12"/>
  <c r="C356" i="12"/>
  <c r="B356" i="12"/>
  <c r="C355" i="12"/>
  <c r="B355" i="12"/>
  <c r="C354" i="12"/>
  <c r="B354" i="12"/>
  <c r="C353" i="12"/>
  <c r="B353" i="12"/>
  <c r="C352" i="12"/>
  <c r="B352" i="12"/>
  <c r="C351" i="12"/>
  <c r="B351" i="12"/>
  <c r="C350" i="12"/>
  <c r="B350" i="12"/>
  <c r="C349" i="12"/>
  <c r="B349" i="12"/>
  <c r="C348" i="12"/>
  <c r="B348" i="12"/>
  <c r="C347" i="12"/>
  <c r="B347" i="12"/>
  <c r="C346" i="12"/>
  <c r="B346" i="12"/>
  <c r="C345" i="12"/>
  <c r="B345" i="12"/>
  <c r="C344" i="12"/>
  <c r="B344" i="12"/>
  <c r="C343" i="12"/>
  <c r="B343" i="12"/>
  <c r="C342" i="12"/>
  <c r="B342" i="12"/>
  <c r="C341" i="12"/>
  <c r="B341" i="12"/>
  <c r="C340" i="12"/>
  <c r="B340" i="12"/>
  <c r="C339" i="12"/>
  <c r="B339" i="12"/>
  <c r="C338" i="12"/>
  <c r="B338" i="12"/>
  <c r="C337" i="12"/>
  <c r="B337" i="12"/>
  <c r="C336" i="12"/>
  <c r="B336" i="12"/>
  <c r="C335" i="12"/>
  <c r="B335" i="12"/>
  <c r="C334" i="12"/>
  <c r="B334" i="12"/>
  <c r="C333" i="12"/>
  <c r="B333" i="12"/>
  <c r="C332" i="12"/>
  <c r="B332" i="12"/>
  <c r="C331" i="12"/>
  <c r="B331" i="12"/>
  <c r="C330" i="12"/>
  <c r="B330" i="12"/>
  <c r="C329" i="12"/>
  <c r="B329" i="12"/>
  <c r="C328" i="12"/>
  <c r="B328" i="12"/>
  <c r="C327" i="12"/>
  <c r="B327" i="12"/>
  <c r="C326" i="12"/>
  <c r="B326" i="12"/>
  <c r="C325" i="12"/>
  <c r="B325" i="12"/>
  <c r="C324" i="12"/>
  <c r="B324" i="12"/>
  <c r="C323" i="12"/>
  <c r="B323" i="12"/>
  <c r="C322" i="12"/>
  <c r="B322" i="12"/>
  <c r="C321" i="12"/>
  <c r="B321" i="12"/>
  <c r="C320" i="12"/>
  <c r="B320" i="12"/>
  <c r="C319" i="12"/>
  <c r="B319" i="12"/>
  <c r="C318" i="12"/>
  <c r="B318" i="12"/>
  <c r="C317" i="12"/>
  <c r="B317" i="12"/>
  <c r="C316" i="12"/>
  <c r="B316" i="12"/>
  <c r="C315" i="12"/>
  <c r="B315" i="12"/>
  <c r="C314" i="12"/>
  <c r="B314" i="12"/>
  <c r="C313" i="12"/>
  <c r="B313" i="12"/>
  <c r="C312" i="12"/>
  <c r="B312" i="12"/>
  <c r="C311" i="12"/>
  <c r="B311" i="12"/>
  <c r="C310" i="12"/>
  <c r="B310" i="12"/>
  <c r="C309" i="12"/>
  <c r="B309" i="12"/>
  <c r="C308" i="12"/>
  <c r="B308" i="12"/>
  <c r="C307" i="12"/>
  <c r="B307" i="12"/>
  <c r="C306" i="12"/>
  <c r="B306" i="12"/>
  <c r="C305" i="12"/>
  <c r="B305" i="12"/>
  <c r="C304" i="12"/>
  <c r="B304" i="12"/>
  <c r="C303" i="12"/>
  <c r="B303" i="12"/>
  <c r="C302" i="12"/>
  <c r="B302" i="12"/>
  <c r="C301" i="12"/>
  <c r="B301" i="12"/>
  <c r="C300" i="12"/>
  <c r="B300" i="12"/>
  <c r="C299" i="12"/>
  <c r="B299" i="12"/>
  <c r="C298" i="12"/>
  <c r="B298" i="12"/>
  <c r="C297" i="12"/>
  <c r="B297" i="12"/>
  <c r="C296" i="12"/>
  <c r="B296" i="12"/>
  <c r="C295" i="12"/>
  <c r="B295" i="12"/>
  <c r="C294" i="12"/>
  <c r="B294" i="12"/>
  <c r="C293" i="12"/>
  <c r="B293" i="12"/>
  <c r="C292" i="12"/>
  <c r="B292" i="12"/>
  <c r="C291" i="12"/>
  <c r="B291" i="12"/>
  <c r="C290" i="12"/>
  <c r="B290" i="12"/>
  <c r="C289" i="12"/>
  <c r="B289" i="12"/>
  <c r="C288" i="12"/>
  <c r="B288" i="12"/>
  <c r="C287" i="12"/>
  <c r="B287" i="12"/>
  <c r="C286" i="12"/>
  <c r="B286" i="12"/>
  <c r="C285" i="12"/>
  <c r="B285" i="12"/>
  <c r="C284" i="12"/>
  <c r="B284" i="12"/>
  <c r="C283" i="12"/>
  <c r="B283" i="12"/>
  <c r="C282" i="12"/>
  <c r="B282" i="12"/>
  <c r="C281" i="12"/>
  <c r="B281" i="12"/>
  <c r="C280" i="12"/>
  <c r="B280" i="12"/>
  <c r="C279" i="12"/>
  <c r="B279" i="12"/>
  <c r="C278" i="12"/>
  <c r="B278" i="12"/>
  <c r="C277" i="12"/>
  <c r="B277" i="12"/>
  <c r="C276" i="12"/>
  <c r="B276" i="12"/>
  <c r="C275" i="12"/>
  <c r="B275" i="12"/>
  <c r="C274" i="12"/>
  <c r="B274" i="12"/>
  <c r="C273" i="12"/>
  <c r="B273" i="12"/>
  <c r="C272" i="12"/>
  <c r="B272" i="12"/>
  <c r="C271" i="12"/>
  <c r="B271" i="12"/>
  <c r="C270" i="12"/>
  <c r="B270" i="12"/>
  <c r="C269" i="12"/>
  <c r="B269" i="12"/>
  <c r="C268" i="12"/>
  <c r="B268" i="12"/>
  <c r="C267" i="12"/>
  <c r="B267" i="12"/>
  <c r="C266" i="12"/>
  <c r="B266" i="12"/>
  <c r="C265" i="12"/>
  <c r="B265" i="12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2" i="10"/>
  <c r="B2" i="10"/>
  <c r="G1383" i="9"/>
  <c r="D1383" i="9"/>
  <c r="C1383" i="9"/>
  <c r="G1382" i="9"/>
  <c r="D1382" i="9"/>
  <c r="C1382" i="9"/>
  <c r="G1381" i="9"/>
  <c r="D1381" i="9"/>
  <c r="C1381" i="9"/>
  <c r="G1380" i="9"/>
  <c r="D1380" i="9"/>
  <c r="C1380" i="9"/>
  <c r="G1379" i="9"/>
  <c r="D1379" i="9"/>
  <c r="C1379" i="9"/>
  <c r="G1378" i="9"/>
  <c r="D1378" i="9"/>
  <c r="C1378" i="9"/>
  <c r="G1377" i="9"/>
  <c r="D1377" i="9"/>
  <c r="C1377" i="9"/>
  <c r="G1376" i="9"/>
  <c r="D1376" i="9"/>
  <c r="C1376" i="9"/>
  <c r="G1375" i="9"/>
  <c r="D1375" i="9"/>
  <c r="C1375" i="9"/>
  <c r="G1374" i="9"/>
  <c r="D1374" i="9"/>
  <c r="C1374" i="9"/>
  <c r="G1373" i="9"/>
  <c r="D1373" i="9"/>
  <c r="C1373" i="9"/>
  <c r="G1372" i="9"/>
  <c r="D1372" i="9"/>
  <c r="C1372" i="9"/>
  <c r="G1371" i="9"/>
  <c r="D1371" i="9"/>
  <c r="C1371" i="9"/>
  <c r="G1370" i="9"/>
  <c r="D1370" i="9"/>
  <c r="C1370" i="9"/>
  <c r="G1369" i="9"/>
  <c r="D1369" i="9"/>
  <c r="C1369" i="9"/>
  <c r="G1368" i="9"/>
  <c r="D1368" i="9"/>
  <c r="C1368" i="9"/>
  <c r="G1367" i="9"/>
  <c r="D1367" i="9"/>
  <c r="C1367" i="9"/>
  <c r="G1366" i="9"/>
  <c r="D1366" i="9"/>
  <c r="C1366" i="9"/>
  <c r="G1365" i="9"/>
  <c r="D1365" i="9"/>
  <c r="C1365" i="9"/>
  <c r="G1364" i="9"/>
  <c r="D1364" i="9"/>
  <c r="C1364" i="9"/>
  <c r="G1363" i="9"/>
  <c r="D1363" i="9"/>
  <c r="C1363" i="9"/>
  <c r="G1362" i="9"/>
  <c r="D1362" i="9"/>
  <c r="C1362" i="9"/>
  <c r="G1361" i="9"/>
  <c r="D1361" i="9"/>
  <c r="C1361" i="9"/>
  <c r="G1360" i="9"/>
  <c r="D1360" i="9"/>
  <c r="C1360" i="9"/>
  <c r="G1359" i="9"/>
  <c r="D1359" i="9"/>
  <c r="C1359" i="9"/>
  <c r="G1358" i="9"/>
  <c r="D1358" i="9"/>
  <c r="C1358" i="9"/>
  <c r="G1357" i="9"/>
  <c r="D1357" i="9"/>
  <c r="C1357" i="9"/>
  <c r="G1356" i="9"/>
  <c r="D1356" i="9"/>
  <c r="C1356" i="9"/>
  <c r="G1355" i="9"/>
  <c r="D1355" i="9"/>
  <c r="C1355" i="9"/>
  <c r="G1354" i="9"/>
  <c r="D1354" i="9"/>
  <c r="C1354" i="9"/>
  <c r="G1353" i="9"/>
  <c r="D1353" i="9"/>
  <c r="C1353" i="9"/>
  <c r="G1352" i="9"/>
  <c r="D1352" i="9"/>
  <c r="C1352" i="9"/>
  <c r="G1351" i="9"/>
  <c r="D1351" i="9"/>
  <c r="C1351" i="9"/>
  <c r="G1350" i="9"/>
  <c r="D1350" i="9"/>
  <c r="C1350" i="9"/>
  <c r="G1349" i="9"/>
  <c r="D1349" i="9"/>
  <c r="C1349" i="9"/>
  <c r="G1348" i="9"/>
  <c r="D1348" i="9"/>
  <c r="C1348" i="9"/>
  <c r="G1347" i="9"/>
  <c r="D1347" i="9"/>
  <c r="C1347" i="9"/>
  <c r="G1346" i="9"/>
  <c r="D1346" i="9"/>
  <c r="C1346" i="9"/>
  <c r="G1345" i="9"/>
  <c r="D1345" i="9"/>
  <c r="C1345" i="9"/>
  <c r="G1344" i="9"/>
  <c r="D1344" i="9"/>
  <c r="C1344" i="9"/>
  <c r="G1343" i="9"/>
  <c r="D1343" i="9"/>
  <c r="C1343" i="9"/>
  <c r="G1342" i="9"/>
  <c r="D1342" i="9"/>
  <c r="C1342" i="9"/>
  <c r="G1341" i="9"/>
  <c r="D1341" i="9"/>
  <c r="C1341" i="9"/>
  <c r="G1340" i="9"/>
  <c r="D1340" i="9"/>
  <c r="C1340" i="9"/>
  <c r="G1339" i="9"/>
  <c r="D1339" i="9"/>
  <c r="C1339" i="9"/>
  <c r="G1338" i="9"/>
  <c r="D1338" i="9"/>
  <c r="C1338" i="9"/>
  <c r="G1337" i="9"/>
  <c r="D1337" i="9"/>
  <c r="C1337" i="9"/>
  <c r="G1336" i="9"/>
  <c r="D1336" i="9"/>
  <c r="C1336" i="9"/>
  <c r="G1335" i="9"/>
  <c r="D1335" i="9"/>
  <c r="C1335" i="9"/>
  <c r="G1334" i="9"/>
  <c r="D1334" i="9"/>
  <c r="C1334" i="9"/>
  <c r="G1333" i="9"/>
  <c r="D1333" i="9"/>
  <c r="C1333" i="9"/>
  <c r="G1332" i="9"/>
  <c r="D1332" i="9"/>
  <c r="C1332" i="9"/>
  <c r="G1331" i="9"/>
  <c r="D1331" i="9"/>
  <c r="C1331" i="9"/>
  <c r="G1330" i="9"/>
  <c r="D1330" i="9"/>
  <c r="C1330" i="9"/>
  <c r="G1329" i="9"/>
  <c r="D1329" i="9"/>
  <c r="C1329" i="9"/>
  <c r="G1328" i="9"/>
  <c r="D1328" i="9"/>
  <c r="C1328" i="9"/>
  <c r="G1327" i="9"/>
  <c r="D1327" i="9"/>
  <c r="C1327" i="9"/>
  <c r="G1326" i="9"/>
  <c r="D1326" i="9"/>
  <c r="C1326" i="9"/>
  <c r="G1325" i="9"/>
  <c r="D1325" i="9"/>
  <c r="C1325" i="9"/>
  <c r="G1324" i="9"/>
  <c r="D1324" i="9"/>
  <c r="C1324" i="9"/>
  <c r="G1323" i="9"/>
  <c r="D1323" i="9"/>
  <c r="C1323" i="9"/>
  <c r="G1322" i="9"/>
  <c r="D1322" i="9"/>
  <c r="C1322" i="9"/>
  <c r="G1321" i="9"/>
  <c r="D1321" i="9"/>
  <c r="C1321" i="9"/>
  <c r="G1320" i="9"/>
  <c r="D1320" i="9"/>
  <c r="C1320" i="9"/>
  <c r="G1319" i="9"/>
  <c r="D1319" i="9"/>
  <c r="C1319" i="9"/>
  <c r="G1318" i="9"/>
  <c r="D1318" i="9"/>
  <c r="C1318" i="9"/>
  <c r="G1317" i="9"/>
  <c r="D1317" i="9"/>
  <c r="C1317" i="9"/>
  <c r="G1316" i="9"/>
  <c r="D1316" i="9"/>
  <c r="C1316" i="9"/>
  <c r="G1315" i="9"/>
  <c r="D1315" i="9"/>
  <c r="C1315" i="9"/>
  <c r="G1314" i="9"/>
  <c r="D1314" i="9"/>
  <c r="C1314" i="9"/>
  <c r="G1313" i="9"/>
  <c r="D1313" i="9"/>
  <c r="C1313" i="9"/>
  <c r="G1312" i="9"/>
  <c r="D1312" i="9"/>
  <c r="C1312" i="9"/>
  <c r="G1311" i="9"/>
  <c r="D1311" i="9"/>
  <c r="C1311" i="9"/>
  <c r="G1310" i="9"/>
  <c r="D1310" i="9"/>
  <c r="C1310" i="9"/>
  <c r="G1309" i="9"/>
  <c r="D1309" i="9"/>
  <c r="C1309" i="9"/>
  <c r="G1308" i="9"/>
  <c r="D1308" i="9"/>
  <c r="C1308" i="9"/>
  <c r="G1307" i="9"/>
  <c r="D1307" i="9"/>
  <c r="C1307" i="9"/>
  <c r="G1306" i="9"/>
  <c r="D1306" i="9"/>
  <c r="C1306" i="9"/>
  <c r="G1305" i="9"/>
  <c r="D1305" i="9"/>
  <c r="C1305" i="9"/>
  <c r="G1304" i="9"/>
  <c r="D1304" i="9"/>
  <c r="C1304" i="9"/>
  <c r="G1303" i="9"/>
  <c r="D1303" i="9"/>
  <c r="C1303" i="9"/>
  <c r="G1302" i="9"/>
  <c r="D1302" i="9"/>
  <c r="C1302" i="9"/>
  <c r="G1301" i="9"/>
  <c r="D1301" i="9"/>
  <c r="C1301" i="9"/>
  <c r="G1300" i="9"/>
  <c r="D1300" i="9"/>
  <c r="C1300" i="9"/>
  <c r="G1299" i="9"/>
  <c r="D1299" i="9"/>
  <c r="C1299" i="9"/>
  <c r="G1298" i="9"/>
  <c r="D1298" i="9"/>
  <c r="C1298" i="9"/>
  <c r="G1297" i="9"/>
  <c r="D1297" i="9"/>
  <c r="C1297" i="9"/>
  <c r="G1296" i="9"/>
  <c r="D1296" i="9"/>
  <c r="C1296" i="9"/>
  <c r="G1295" i="9"/>
  <c r="D1295" i="9"/>
  <c r="C1295" i="9"/>
  <c r="G1294" i="9"/>
  <c r="D1294" i="9"/>
  <c r="C1294" i="9"/>
  <c r="G1293" i="9"/>
  <c r="D1293" i="9"/>
  <c r="C1293" i="9"/>
  <c r="G1292" i="9"/>
  <c r="D1292" i="9"/>
  <c r="C1292" i="9"/>
  <c r="G1291" i="9"/>
  <c r="D1291" i="9"/>
  <c r="C1291" i="9"/>
  <c r="G1290" i="9"/>
  <c r="D1290" i="9"/>
  <c r="C1290" i="9"/>
  <c r="G1289" i="9"/>
  <c r="D1289" i="9"/>
  <c r="C1289" i="9"/>
  <c r="G1288" i="9"/>
  <c r="D1288" i="9"/>
  <c r="C1288" i="9"/>
  <c r="G1287" i="9"/>
  <c r="D1287" i="9"/>
  <c r="C1287" i="9"/>
  <c r="G1286" i="9"/>
  <c r="D1286" i="9"/>
  <c r="C1286" i="9"/>
  <c r="G1285" i="9"/>
  <c r="D1285" i="9"/>
  <c r="C1285" i="9"/>
  <c r="G1284" i="9"/>
  <c r="D1284" i="9"/>
  <c r="C1284" i="9"/>
  <c r="G1283" i="9"/>
  <c r="D1283" i="9"/>
  <c r="C1283" i="9"/>
  <c r="G1282" i="9"/>
  <c r="D1282" i="9"/>
  <c r="C1282" i="9"/>
  <c r="G1281" i="9"/>
  <c r="D1281" i="9"/>
  <c r="C1281" i="9"/>
  <c r="G1280" i="9"/>
  <c r="D1280" i="9"/>
  <c r="C1280" i="9"/>
  <c r="G1279" i="9"/>
  <c r="D1279" i="9"/>
  <c r="C1279" i="9"/>
  <c r="G1278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C144" i="8"/>
  <c r="C143" i="8"/>
  <c r="C142" i="8"/>
  <c r="C141" i="8"/>
  <c r="C140" i="8"/>
  <c r="C139" i="8"/>
  <c r="C138" i="8"/>
  <c r="B138" i="8"/>
  <c r="C137" i="8"/>
  <c r="B137" i="8"/>
  <c r="C136" i="8"/>
  <c r="B136" i="8"/>
  <c r="C135" i="8"/>
  <c r="B135" i="8"/>
  <c r="C134" i="8"/>
  <c r="B134" i="8"/>
  <c r="C133" i="8"/>
  <c r="B133" i="8"/>
  <c r="C132" i="8"/>
  <c r="B132" i="8"/>
  <c r="C131" i="8"/>
  <c r="B131" i="8"/>
  <c r="C130" i="8"/>
  <c r="B130" i="8"/>
  <c r="C129" i="8"/>
  <c r="B129" i="8"/>
  <c r="C128" i="8"/>
  <c r="B128" i="8"/>
  <c r="C127" i="8"/>
  <c r="B127" i="8"/>
  <c r="C126" i="8"/>
  <c r="B126" i="8"/>
  <c r="C125" i="8"/>
  <c r="B125" i="8"/>
  <c r="C124" i="8"/>
  <c r="B124" i="8"/>
  <c r="C123" i="8"/>
  <c r="B123" i="8"/>
  <c r="C122" i="8"/>
  <c r="B122" i="8"/>
  <c r="C121" i="8"/>
  <c r="B121" i="8"/>
  <c r="C120" i="8"/>
  <c r="B120" i="8"/>
  <c r="C119" i="8"/>
  <c r="B119" i="8"/>
  <c r="C118" i="8"/>
  <c r="B118" i="8"/>
  <c r="C117" i="8"/>
  <c r="B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J42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226" i="6"/>
  <c r="C225" i="6"/>
  <c r="C224" i="6"/>
  <c r="C223" i="6"/>
  <c r="C222" i="6"/>
  <c r="C221" i="6"/>
  <c r="C220" i="6"/>
  <c r="C219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C505" i="5"/>
  <c r="B505" i="5"/>
  <c r="C504" i="5"/>
  <c r="B504" i="5"/>
  <c r="C503" i="5"/>
  <c r="B503" i="5"/>
  <c r="C502" i="5"/>
  <c r="B502" i="5"/>
  <c r="C501" i="5"/>
  <c r="B501" i="5"/>
  <c r="C500" i="5"/>
  <c r="B500" i="5"/>
  <c r="C499" i="5"/>
  <c r="B499" i="5"/>
  <c r="C498" i="5"/>
  <c r="B498" i="5"/>
  <c r="C497" i="5"/>
  <c r="B497" i="5"/>
  <c r="C496" i="5"/>
  <c r="B496" i="5"/>
  <c r="C495" i="5"/>
  <c r="B495" i="5"/>
  <c r="C494" i="5"/>
  <c r="B494" i="5"/>
  <c r="C493" i="5"/>
  <c r="B493" i="5"/>
  <c r="C492" i="5"/>
  <c r="B492" i="5"/>
  <c r="C491" i="5"/>
  <c r="B491" i="5"/>
  <c r="C490" i="5"/>
  <c r="B490" i="5"/>
  <c r="C489" i="5"/>
  <c r="B489" i="5"/>
  <c r="C488" i="5"/>
  <c r="B488" i="5"/>
  <c r="C487" i="5"/>
  <c r="B487" i="5"/>
  <c r="C486" i="5"/>
  <c r="B486" i="5"/>
  <c r="C485" i="5"/>
  <c r="B485" i="5"/>
  <c r="C484" i="5"/>
  <c r="B484" i="5"/>
  <c r="C483" i="5"/>
  <c r="B483" i="5"/>
  <c r="C482" i="5"/>
  <c r="B482" i="5"/>
  <c r="C481" i="5"/>
  <c r="B481" i="5"/>
  <c r="C480" i="5"/>
  <c r="B480" i="5"/>
  <c r="C479" i="5"/>
  <c r="B479" i="5"/>
  <c r="C478" i="5"/>
  <c r="B478" i="5"/>
  <c r="C477" i="5"/>
  <c r="B477" i="5"/>
  <c r="C476" i="5"/>
  <c r="B476" i="5"/>
  <c r="C475" i="5"/>
  <c r="B475" i="5"/>
  <c r="C474" i="5"/>
  <c r="B474" i="5"/>
  <c r="C473" i="5"/>
  <c r="B473" i="5"/>
  <c r="C472" i="5"/>
  <c r="B472" i="5"/>
  <c r="C471" i="5"/>
  <c r="B471" i="5"/>
  <c r="C470" i="5"/>
  <c r="B470" i="5"/>
  <c r="C469" i="5"/>
  <c r="B469" i="5"/>
  <c r="C468" i="5"/>
  <c r="B468" i="5"/>
  <c r="C467" i="5"/>
  <c r="B467" i="5"/>
  <c r="C466" i="5"/>
  <c r="B466" i="5"/>
  <c r="C465" i="5"/>
  <c r="B465" i="5"/>
  <c r="C464" i="5"/>
  <c r="B464" i="5"/>
  <c r="C463" i="5"/>
  <c r="B463" i="5"/>
  <c r="C462" i="5"/>
  <c r="B462" i="5"/>
  <c r="C461" i="5"/>
  <c r="B461" i="5"/>
  <c r="C460" i="5"/>
  <c r="B460" i="5"/>
  <c r="C459" i="5"/>
  <c r="B459" i="5"/>
  <c r="C458" i="5"/>
  <c r="B458" i="5"/>
  <c r="C457" i="5"/>
  <c r="B457" i="5"/>
  <c r="C456" i="5"/>
  <c r="B456" i="5"/>
  <c r="C455" i="5"/>
  <c r="B455" i="5"/>
  <c r="C454" i="5"/>
  <c r="B454" i="5"/>
  <c r="C453" i="5"/>
  <c r="B453" i="5"/>
  <c r="C452" i="5"/>
  <c r="B452" i="5"/>
  <c r="C451" i="5"/>
  <c r="B451" i="5"/>
  <c r="C450" i="5"/>
  <c r="B450" i="5"/>
  <c r="C449" i="5"/>
  <c r="B449" i="5"/>
  <c r="C448" i="5"/>
  <c r="B448" i="5"/>
  <c r="C447" i="5"/>
  <c r="B447" i="5"/>
  <c r="C446" i="5"/>
  <c r="B446" i="5"/>
  <c r="C445" i="5"/>
  <c r="B445" i="5"/>
  <c r="C444" i="5"/>
  <c r="B444" i="5"/>
  <c r="C443" i="5"/>
  <c r="B443" i="5"/>
  <c r="C442" i="5"/>
  <c r="B442" i="5"/>
  <c r="C441" i="5"/>
  <c r="B441" i="5"/>
  <c r="C440" i="5"/>
  <c r="B440" i="5"/>
  <c r="C439" i="5"/>
  <c r="B439" i="5"/>
  <c r="C438" i="5"/>
  <c r="B438" i="5"/>
  <c r="C437" i="5"/>
  <c r="B437" i="5"/>
  <c r="C436" i="5"/>
  <c r="B436" i="5"/>
  <c r="C435" i="5"/>
  <c r="B435" i="5"/>
  <c r="C434" i="5"/>
  <c r="B434" i="5"/>
  <c r="C433" i="5"/>
  <c r="B433" i="5"/>
  <c r="C432" i="5"/>
  <c r="B432" i="5"/>
  <c r="C431" i="5"/>
  <c r="B431" i="5"/>
  <c r="C430" i="5"/>
  <c r="B430" i="5"/>
  <c r="C429" i="5"/>
  <c r="B429" i="5"/>
  <c r="C428" i="5"/>
  <c r="B428" i="5"/>
  <c r="C427" i="5"/>
  <c r="B427" i="5"/>
  <c r="C426" i="5"/>
  <c r="B426" i="5"/>
  <c r="C425" i="5"/>
  <c r="B425" i="5"/>
  <c r="C424" i="5"/>
  <c r="B424" i="5"/>
  <c r="C423" i="5"/>
  <c r="B423" i="5"/>
  <c r="C422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C362" i="5"/>
  <c r="B362" i="5"/>
  <c r="C361" i="5"/>
  <c r="B361" i="5"/>
  <c r="C360" i="5"/>
  <c r="B360" i="5"/>
  <c r="C359" i="5"/>
  <c r="B359" i="5"/>
  <c r="C358" i="5"/>
  <c r="B358" i="5"/>
  <c r="C357" i="5"/>
  <c r="B357" i="5"/>
  <c r="C356" i="5"/>
  <c r="B356" i="5"/>
  <c r="C355" i="5"/>
  <c r="B355" i="5"/>
  <c r="C354" i="5"/>
  <c r="B354" i="5"/>
  <c r="C353" i="5"/>
  <c r="B353" i="5"/>
  <c r="C352" i="5"/>
  <c r="B352" i="5"/>
  <c r="C351" i="5"/>
  <c r="B351" i="5"/>
  <c r="C350" i="5"/>
  <c r="B350" i="5"/>
  <c r="C349" i="5"/>
  <c r="B349" i="5"/>
  <c r="C348" i="5"/>
  <c r="B348" i="5"/>
  <c r="C347" i="5"/>
  <c r="B347" i="5"/>
  <c r="C346" i="5"/>
  <c r="B346" i="5"/>
  <c r="C345" i="5"/>
  <c r="B345" i="5"/>
  <c r="C344" i="5"/>
  <c r="B344" i="5"/>
  <c r="C343" i="5"/>
  <c r="B343" i="5"/>
  <c r="C342" i="5"/>
  <c r="B342" i="5"/>
  <c r="C341" i="5"/>
  <c r="B341" i="5"/>
  <c r="C340" i="5"/>
  <c r="B340" i="5"/>
  <c r="C339" i="5"/>
  <c r="B339" i="5"/>
  <c r="C338" i="5"/>
  <c r="B338" i="5"/>
  <c r="C337" i="5"/>
  <c r="B337" i="5"/>
  <c r="C336" i="5"/>
  <c r="B336" i="5"/>
  <c r="C335" i="5"/>
  <c r="B335" i="5"/>
  <c r="C334" i="5"/>
  <c r="B334" i="5"/>
  <c r="C333" i="5"/>
  <c r="B333" i="5"/>
  <c r="C332" i="5"/>
  <c r="B332" i="5"/>
  <c r="C331" i="5"/>
  <c r="B331" i="5"/>
  <c r="C330" i="5"/>
  <c r="B330" i="5"/>
  <c r="C329" i="5"/>
  <c r="B329" i="5"/>
  <c r="C328" i="5"/>
  <c r="B328" i="5"/>
  <c r="C327" i="5"/>
  <c r="B327" i="5"/>
  <c r="C326" i="5"/>
  <c r="B326" i="5"/>
  <c r="C325" i="5"/>
  <c r="B325" i="5"/>
  <c r="C324" i="5"/>
  <c r="B324" i="5"/>
  <c r="C323" i="5"/>
  <c r="B323" i="5"/>
  <c r="C322" i="5"/>
  <c r="B322" i="5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P49" i="2"/>
  <c r="M49" i="2"/>
  <c r="B49" i="2"/>
  <c r="P48" i="2"/>
  <c r="M48" i="2"/>
  <c r="B48" i="2"/>
  <c r="P47" i="2"/>
  <c r="M47" i="2"/>
  <c r="B47" i="2"/>
  <c r="P46" i="2"/>
  <c r="M46" i="2"/>
  <c r="B46" i="2"/>
  <c r="P45" i="2"/>
  <c r="B45" i="2"/>
  <c r="P44" i="2"/>
  <c r="B44" i="2"/>
  <c r="P43" i="2"/>
  <c r="B43" i="2"/>
  <c r="P42" i="2"/>
  <c r="B42" i="2"/>
  <c r="P41" i="2"/>
  <c r="B41" i="2"/>
  <c r="P40" i="2"/>
  <c r="B40" i="2"/>
  <c r="P39" i="2"/>
  <c r="B39" i="2"/>
  <c r="P38" i="2"/>
  <c r="B38" i="2"/>
  <c r="P37" i="2"/>
  <c r="B37" i="2"/>
  <c r="P36" i="2"/>
  <c r="B36" i="2"/>
  <c r="P35" i="2"/>
  <c r="B35" i="2"/>
  <c r="P34" i="2"/>
  <c r="B34" i="2"/>
  <c r="P33" i="2"/>
  <c r="B33" i="2"/>
  <c r="P32" i="2"/>
  <c r="B32" i="2"/>
  <c r="P31" i="2"/>
  <c r="B31" i="2"/>
  <c r="P30" i="2"/>
  <c r="B30" i="2"/>
  <c r="P29" i="2"/>
  <c r="B29" i="2"/>
  <c r="P28" i="2"/>
  <c r="B28" i="2"/>
  <c r="P27" i="2"/>
  <c r="B27" i="2"/>
  <c r="P26" i="2"/>
  <c r="B26" i="2"/>
  <c r="P25" i="2"/>
  <c r="B25" i="2"/>
  <c r="P24" i="2"/>
  <c r="B24" i="2"/>
  <c r="P23" i="2"/>
  <c r="B23" i="2"/>
  <c r="P22" i="2"/>
  <c r="B22" i="2"/>
  <c r="P21" i="2"/>
  <c r="B21" i="2"/>
  <c r="P20" i="2"/>
  <c r="B20" i="2"/>
  <c r="P19" i="2"/>
  <c r="B19" i="2"/>
  <c r="P18" i="2"/>
  <c r="B18" i="2"/>
  <c r="P17" i="2"/>
  <c r="B17" i="2"/>
  <c r="P16" i="2"/>
  <c r="B16" i="2"/>
  <c r="P15" i="2"/>
  <c r="B15" i="2"/>
  <c r="P14" i="2"/>
  <c r="B14" i="2"/>
  <c r="P13" i="2"/>
  <c r="B13" i="2"/>
  <c r="P12" i="2"/>
  <c r="B12" i="2"/>
  <c r="P11" i="2"/>
  <c r="B11" i="2"/>
  <c r="P10" i="2"/>
  <c r="B10" i="2"/>
  <c r="P9" i="2"/>
  <c r="B9" i="2"/>
  <c r="P8" i="2"/>
  <c r="L8" i="2"/>
  <c r="L12" i="2" s="1"/>
  <c r="K8" i="2"/>
  <c r="I8" i="2"/>
  <c r="I12" i="2" s="1"/>
  <c r="H8" i="2"/>
  <c r="F8" i="2"/>
  <c r="F12" i="2" s="1"/>
  <c r="E8" i="2"/>
  <c r="B8" i="2"/>
  <c r="P7" i="2"/>
  <c r="B7" i="2"/>
  <c r="P6" i="2"/>
  <c r="L6" i="2"/>
  <c r="L10" i="2" s="1"/>
  <c r="K6" i="2"/>
  <c r="I6" i="2"/>
  <c r="I10" i="2" s="1"/>
  <c r="H6" i="2"/>
  <c r="F6" i="2"/>
  <c r="F10" i="2" s="1"/>
  <c r="E6" i="2"/>
  <c r="B6" i="2"/>
  <c r="P5" i="2"/>
  <c r="B5" i="2"/>
  <c r="P4" i="2"/>
  <c r="B4" i="2"/>
  <c r="P3" i="2"/>
  <c r="B3" i="2"/>
  <c r="P2" i="2"/>
  <c r="B2" i="2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F334" i="1"/>
  <c r="C334" i="1"/>
  <c r="B334" i="1"/>
  <c r="F333" i="1"/>
  <c r="C333" i="1"/>
  <c r="B333" i="1"/>
  <c r="F332" i="1"/>
  <c r="C332" i="1"/>
  <c r="B332" i="1"/>
  <c r="C331" i="1"/>
  <c r="B331" i="1"/>
  <c r="F330" i="1"/>
  <c r="C330" i="1"/>
  <c r="B330" i="1"/>
  <c r="F329" i="1"/>
  <c r="C329" i="1"/>
  <c r="B329" i="1"/>
  <c r="F328" i="1"/>
  <c r="C328" i="1"/>
  <c r="B328" i="1"/>
  <c r="F327" i="1"/>
  <c r="C327" i="1"/>
  <c r="B327" i="1"/>
  <c r="F326" i="1"/>
  <c r="C326" i="1"/>
  <c r="B326" i="1"/>
  <c r="F325" i="1"/>
  <c r="C325" i="1"/>
  <c r="B325" i="1"/>
  <c r="F324" i="1"/>
  <c r="C324" i="1"/>
  <c r="B324" i="1"/>
  <c r="F323" i="1"/>
  <c r="C323" i="1"/>
  <c r="B323" i="1"/>
  <c r="F322" i="1"/>
  <c r="C322" i="1"/>
  <c r="B322" i="1"/>
  <c r="F321" i="1"/>
  <c r="C321" i="1"/>
  <c r="B321" i="1"/>
  <c r="F320" i="1"/>
  <c r="C320" i="1"/>
  <c r="B320" i="1"/>
  <c r="F319" i="1"/>
  <c r="C319" i="1"/>
  <c r="B319" i="1"/>
  <c r="F318" i="1"/>
  <c r="C318" i="1"/>
  <c r="B318" i="1"/>
  <c r="F317" i="1"/>
  <c r="C317" i="1"/>
  <c r="B317" i="1"/>
  <c r="F316" i="1"/>
  <c r="C316" i="1"/>
  <c r="B316" i="1"/>
  <c r="F315" i="1"/>
  <c r="C315" i="1"/>
  <c r="B315" i="1"/>
  <c r="F314" i="1"/>
  <c r="C314" i="1"/>
  <c r="B314" i="1"/>
  <c r="C313" i="1"/>
  <c r="B313" i="1"/>
  <c r="C312" i="1"/>
  <c r="B312" i="1"/>
  <c r="F311" i="1"/>
  <c r="C311" i="1"/>
  <c r="B311" i="1"/>
  <c r="F310" i="1"/>
  <c r="C310" i="1"/>
  <c r="B310" i="1"/>
  <c r="F309" i="1"/>
  <c r="C309" i="1"/>
  <c r="B309" i="1"/>
  <c r="F308" i="1"/>
  <c r="C308" i="1"/>
  <c r="B308" i="1"/>
  <c r="F307" i="1"/>
  <c r="C307" i="1"/>
  <c r="B307" i="1"/>
  <c r="F306" i="1"/>
  <c r="C306" i="1"/>
  <c r="B306" i="1"/>
  <c r="F305" i="1"/>
  <c r="C305" i="1"/>
  <c r="B305" i="1"/>
  <c r="F304" i="1"/>
  <c r="C304" i="1"/>
  <c r="B304" i="1"/>
  <c r="F303" i="1"/>
  <c r="C303" i="1"/>
  <c r="B303" i="1"/>
  <c r="F302" i="1"/>
  <c r="C302" i="1"/>
  <c r="B302" i="1"/>
  <c r="F301" i="1"/>
  <c r="C301" i="1"/>
  <c r="B301" i="1"/>
  <c r="F300" i="1"/>
  <c r="C300" i="1"/>
  <c r="B300" i="1"/>
  <c r="F299" i="1"/>
  <c r="C299" i="1"/>
  <c r="B299" i="1"/>
  <c r="F298" i="1"/>
  <c r="C298" i="1"/>
  <c r="B298" i="1"/>
  <c r="F297" i="1"/>
  <c r="C297" i="1"/>
  <c r="B297" i="1"/>
  <c r="F296" i="1"/>
  <c r="C296" i="1"/>
  <c r="B296" i="1"/>
  <c r="F295" i="1"/>
  <c r="C295" i="1"/>
  <c r="B295" i="1"/>
  <c r="F294" i="1"/>
  <c r="C294" i="1"/>
  <c r="B294" i="1"/>
  <c r="F293" i="1"/>
  <c r="C293" i="1"/>
  <c r="B293" i="1"/>
  <c r="F292" i="1"/>
  <c r="C292" i="1"/>
  <c r="B292" i="1"/>
  <c r="F291" i="1"/>
  <c r="C291" i="1"/>
  <c r="B291" i="1"/>
  <c r="F290" i="1"/>
  <c r="C290" i="1"/>
  <c r="B290" i="1"/>
  <c r="C289" i="1"/>
  <c r="B289" i="1"/>
  <c r="F288" i="1"/>
  <c r="C288" i="1"/>
  <c r="B288" i="1"/>
  <c r="F287" i="1"/>
  <c r="C287" i="1"/>
  <c r="B287" i="1"/>
  <c r="F286" i="1"/>
  <c r="C286" i="1"/>
  <c r="B286" i="1"/>
  <c r="F285" i="1"/>
  <c r="C285" i="1"/>
  <c r="B285" i="1"/>
  <c r="F284" i="1"/>
  <c r="C284" i="1"/>
  <c r="B284" i="1"/>
  <c r="F283" i="1"/>
  <c r="C283" i="1"/>
  <c r="B283" i="1"/>
  <c r="F282" i="1"/>
  <c r="C282" i="1"/>
  <c r="B282" i="1"/>
  <c r="F281" i="1"/>
  <c r="C281" i="1"/>
  <c r="B281" i="1"/>
  <c r="F280" i="1"/>
  <c r="C280" i="1"/>
  <c r="B280" i="1"/>
  <c r="F279" i="1"/>
  <c r="C279" i="1"/>
  <c r="B279" i="1"/>
  <c r="F278" i="1"/>
  <c r="C278" i="1"/>
  <c r="B278" i="1"/>
  <c r="F277" i="1"/>
  <c r="C277" i="1"/>
  <c r="B277" i="1"/>
  <c r="F276" i="1"/>
  <c r="C276" i="1"/>
  <c r="B276" i="1"/>
  <c r="F275" i="1"/>
  <c r="C275" i="1"/>
  <c r="B275" i="1"/>
  <c r="F274" i="1"/>
  <c r="C274" i="1"/>
  <c r="B274" i="1"/>
  <c r="F273" i="1"/>
  <c r="C273" i="1"/>
  <c r="B273" i="1"/>
  <c r="F272" i="1"/>
  <c r="C272" i="1"/>
  <c r="B272" i="1"/>
  <c r="F271" i="1"/>
  <c r="C271" i="1"/>
  <c r="B271" i="1"/>
  <c r="F270" i="1"/>
  <c r="C270" i="1"/>
  <c r="B270" i="1"/>
  <c r="F269" i="1"/>
  <c r="C269" i="1"/>
  <c r="B269" i="1"/>
  <c r="F268" i="1"/>
  <c r="C268" i="1"/>
  <c r="B268" i="1"/>
  <c r="F267" i="1"/>
  <c r="C267" i="1"/>
  <c r="B267" i="1"/>
  <c r="F266" i="1"/>
  <c r="C266" i="1"/>
  <c r="B266" i="1"/>
  <c r="C265" i="1"/>
  <c r="B265" i="1"/>
  <c r="F264" i="1"/>
  <c r="C264" i="1"/>
  <c r="B264" i="1"/>
  <c r="F263" i="1"/>
  <c r="C263" i="1"/>
  <c r="B263" i="1"/>
  <c r="F262" i="1"/>
  <c r="C262" i="1"/>
  <c r="B262" i="1"/>
  <c r="F261" i="1"/>
  <c r="C261" i="1"/>
  <c r="B261" i="1"/>
  <c r="F260" i="1"/>
  <c r="C260" i="1"/>
  <c r="B260" i="1"/>
  <c r="F259" i="1"/>
  <c r="C259" i="1"/>
  <c r="B259" i="1"/>
  <c r="F258" i="1"/>
  <c r="C258" i="1"/>
  <c r="B258" i="1"/>
  <c r="F257" i="1"/>
  <c r="C257" i="1"/>
  <c r="B257" i="1"/>
  <c r="F256" i="1"/>
  <c r="C256" i="1"/>
  <c r="B256" i="1"/>
  <c r="F255" i="1"/>
  <c r="C255" i="1"/>
  <c r="B255" i="1"/>
  <c r="F254" i="1"/>
  <c r="C254" i="1"/>
  <c r="B254" i="1"/>
  <c r="F253" i="1"/>
  <c r="C253" i="1"/>
  <c r="B253" i="1"/>
  <c r="F252" i="1"/>
  <c r="C252" i="1"/>
  <c r="B252" i="1"/>
  <c r="F251" i="1"/>
  <c r="C251" i="1"/>
  <c r="B251" i="1"/>
  <c r="F250" i="1"/>
  <c r="C250" i="1"/>
  <c r="B250" i="1"/>
  <c r="F249" i="1"/>
  <c r="C249" i="1"/>
  <c r="B249" i="1"/>
  <c r="F248" i="1"/>
  <c r="C248" i="1"/>
  <c r="B248" i="1"/>
  <c r="F247" i="1"/>
  <c r="C247" i="1"/>
  <c r="B247" i="1"/>
  <c r="F246" i="1"/>
  <c r="C246" i="1"/>
  <c r="B246" i="1"/>
  <c r="F245" i="1"/>
  <c r="C245" i="1"/>
  <c r="B245" i="1"/>
  <c r="F244" i="1"/>
  <c r="C244" i="1"/>
  <c r="B244" i="1"/>
  <c r="F243" i="1"/>
  <c r="C243" i="1"/>
  <c r="B243" i="1"/>
  <c r="F242" i="1"/>
  <c r="C242" i="1"/>
  <c r="B242" i="1"/>
  <c r="C241" i="1"/>
  <c r="B241" i="1"/>
  <c r="F240" i="1"/>
  <c r="C240" i="1"/>
  <c r="B240" i="1"/>
  <c r="F239" i="1"/>
  <c r="C239" i="1"/>
  <c r="B239" i="1"/>
  <c r="F238" i="1"/>
  <c r="C238" i="1"/>
  <c r="B238" i="1"/>
  <c r="F237" i="1"/>
  <c r="C237" i="1"/>
  <c r="B237" i="1"/>
  <c r="F236" i="1"/>
  <c r="C236" i="1"/>
  <c r="B236" i="1"/>
  <c r="F235" i="1"/>
  <c r="C235" i="1"/>
  <c r="B235" i="1"/>
  <c r="F234" i="1"/>
  <c r="C234" i="1"/>
  <c r="B234" i="1"/>
  <c r="F233" i="1"/>
  <c r="C233" i="1"/>
  <c r="B233" i="1"/>
  <c r="F232" i="1"/>
  <c r="C232" i="1"/>
  <c r="B232" i="1"/>
  <c r="F231" i="1"/>
  <c r="C231" i="1"/>
  <c r="B231" i="1"/>
  <c r="F230" i="1"/>
  <c r="C230" i="1"/>
  <c r="B230" i="1"/>
  <c r="F229" i="1"/>
  <c r="C229" i="1"/>
  <c r="B229" i="1"/>
  <c r="F228" i="1"/>
  <c r="C228" i="1"/>
  <c r="B228" i="1"/>
  <c r="F227" i="1"/>
  <c r="C227" i="1"/>
  <c r="B227" i="1"/>
  <c r="F226" i="1"/>
  <c r="C226" i="1"/>
  <c r="B226" i="1"/>
  <c r="F225" i="1"/>
  <c r="C225" i="1"/>
  <c r="B225" i="1"/>
  <c r="F224" i="1"/>
  <c r="C224" i="1"/>
  <c r="B224" i="1"/>
  <c r="F223" i="1"/>
  <c r="C223" i="1"/>
  <c r="B223" i="1"/>
  <c r="F222" i="1"/>
  <c r="C222" i="1"/>
  <c r="B222" i="1"/>
  <c r="F221" i="1"/>
  <c r="C221" i="1"/>
  <c r="B221" i="1"/>
  <c r="F220" i="1"/>
  <c r="C220" i="1"/>
  <c r="B220" i="1"/>
  <c r="F219" i="1"/>
  <c r="C219" i="1"/>
  <c r="B219" i="1"/>
  <c r="F218" i="1"/>
  <c r="C218" i="1"/>
  <c r="B218" i="1"/>
  <c r="C217" i="1"/>
  <c r="B217" i="1"/>
  <c r="F216" i="1"/>
  <c r="C216" i="1"/>
  <c r="B216" i="1"/>
  <c r="F215" i="1"/>
  <c r="C215" i="1"/>
  <c r="B215" i="1"/>
  <c r="F214" i="1"/>
  <c r="C214" i="1"/>
  <c r="B214" i="1"/>
  <c r="F213" i="1"/>
  <c r="C213" i="1"/>
  <c r="B213" i="1"/>
  <c r="F212" i="1"/>
  <c r="C212" i="1"/>
  <c r="B212" i="1"/>
  <c r="F211" i="1"/>
  <c r="C211" i="1"/>
  <c r="B211" i="1"/>
  <c r="F210" i="1"/>
  <c r="C210" i="1"/>
  <c r="B210" i="1"/>
  <c r="F209" i="1"/>
  <c r="C209" i="1"/>
  <c r="B209" i="1"/>
  <c r="F208" i="1"/>
  <c r="C208" i="1"/>
  <c r="B208" i="1"/>
  <c r="F207" i="1"/>
  <c r="C207" i="1"/>
  <c r="B207" i="1"/>
  <c r="F206" i="1"/>
  <c r="C206" i="1"/>
  <c r="B206" i="1"/>
  <c r="F205" i="1"/>
  <c r="C205" i="1"/>
  <c r="B205" i="1"/>
  <c r="F204" i="1"/>
  <c r="C204" i="1"/>
  <c r="B204" i="1"/>
  <c r="F203" i="1"/>
  <c r="C203" i="1"/>
  <c r="B203" i="1"/>
  <c r="F202" i="1"/>
  <c r="C202" i="1"/>
  <c r="B202" i="1"/>
  <c r="F201" i="1"/>
  <c r="C201" i="1"/>
  <c r="B201" i="1"/>
  <c r="F200" i="1"/>
  <c r="C200" i="1"/>
  <c r="B200" i="1"/>
  <c r="F199" i="1"/>
  <c r="C199" i="1"/>
  <c r="B199" i="1"/>
  <c r="F198" i="1"/>
  <c r="C198" i="1"/>
  <c r="B198" i="1"/>
  <c r="F197" i="1"/>
  <c r="C197" i="1"/>
  <c r="B197" i="1"/>
  <c r="F196" i="1"/>
  <c r="C196" i="1"/>
  <c r="B196" i="1"/>
  <c r="F195" i="1"/>
  <c r="C195" i="1"/>
  <c r="B195" i="1"/>
  <c r="F194" i="1"/>
  <c r="C194" i="1"/>
  <c r="B194" i="1"/>
  <c r="C193" i="1"/>
  <c r="B193" i="1"/>
  <c r="F192" i="1"/>
  <c r="C192" i="1"/>
  <c r="B192" i="1"/>
  <c r="F191" i="1"/>
  <c r="C191" i="1"/>
  <c r="B191" i="1"/>
  <c r="F190" i="1"/>
  <c r="C190" i="1"/>
  <c r="B190" i="1"/>
  <c r="F189" i="1"/>
  <c r="C189" i="1"/>
  <c r="B189" i="1"/>
  <c r="F188" i="1"/>
  <c r="C188" i="1"/>
  <c r="B188" i="1"/>
  <c r="F187" i="1"/>
  <c r="C187" i="1"/>
  <c r="B187" i="1"/>
  <c r="F186" i="1"/>
  <c r="C186" i="1"/>
  <c r="B186" i="1"/>
  <c r="F185" i="1"/>
  <c r="C185" i="1"/>
  <c r="B185" i="1"/>
  <c r="F184" i="1"/>
  <c r="C184" i="1"/>
  <c r="B184" i="1"/>
  <c r="F183" i="1"/>
  <c r="C183" i="1"/>
  <c r="B183" i="1"/>
  <c r="F182" i="1"/>
  <c r="C182" i="1"/>
  <c r="B182" i="1"/>
  <c r="F181" i="1"/>
  <c r="C181" i="1"/>
  <c r="B181" i="1"/>
  <c r="F180" i="1"/>
  <c r="C180" i="1"/>
  <c r="B180" i="1"/>
  <c r="F179" i="1"/>
  <c r="C179" i="1"/>
  <c r="B179" i="1"/>
  <c r="F178" i="1"/>
  <c r="C178" i="1"/>
  <c r="B178" i="1"/>
  <c r="F177" i="1"/>
  <c r="C177" i="1"/>
  <c r="B177" i="1"/>
  <c r="F176" i="1"/>
  <c r="C176" i="1"/>
  <c r="B176" i="1"/>
  <c r="F175" i="1"/>
  <c r="C175" i="1"/>
  <c r="B175" i="1"/>
  <c r="F174" i="1"/>
  <c r="C174" i="1"/>
  <c r="B174" i="1"/>
  <c r="F173" i="1"/>
  <c r="C173" i="1"/>
  <c r="B173" i="1"/>
  <c r="F172" i="1"/>
  <c r="C172" i="1"/>
  <c r="B172" i="1"/>
  <c r="F171" i="1"/>
  <c r="C171" i="1"/>
  <c r="B171" i="1"/>
  <c r="F170" i="1"/>
  <c r="C170" i="1"/>
  <c r="B170" i="1"/>
  <c r="C169" i="1"/>
  <c r="B169" i="1"/>
  <c r="F168" i="1"/>
  <c r="C168" i="1"/>
  <c r="B168" i="1"/>
  <c r="C167" i="1"/>
  <c r="B167" i="1"/>
  <c r="F166" i="1"/>
  <c r="C166" i="1"/>
  <c r="B166" i="1"/>
  <c r="F165" i="1"/>
  <c r="C165" i="1"/>
  <c r="B165" i="1"/>
  <c r="F164" i="1"/>
  <c r="C164" i="1"/>
  <c r="B164" i="1"/>
  <c r="F163" i="1"/>
  <c r="C163" i="1"/>
  <c r="B163" i="1"/>
  <c r="F162" i="1"/>
  <c r="C162" i="1"/>
  <c r="B162" i="1"/>
  <c r="F161" i="1"/>
  <c r="C161" i="1"/>
  <c r="B161" i="1"/>
  <c r="F160" i="1"/>
  <c r="C160" i="1"/>
  <c r="B160" i="1"/>
  <c r="F159" i="1"/>
  <c r="C159" i="1"/>
  <c r="B159" i="1"/>
  <c r="F158" i="1"/>
  <c r="C158" i="1"/>
  <c r="B158" i="1"/>
  <c r="F157" i="1"/>
  <c r="C157" i="1"/>
  <c r="B157" i="1"/>
  <c r="F156" i="1"/>
  <c r="C156" i="1"/>
  <c r="B156" i="1"/>
  <c r="F155" i="1"/>
  <c r="C155" i="1"/>
  <c r="B155" i="1"/>
  <c r="F154" i="1"/>
  <c r="C154" i="1"/>
  <c r="B154" i="1"/>
  <c r="F153" i="1"/>
  <c r="C153" i="1"/>
  <c r="B153" i="1"/>
  <c r="F152" i="1"/>
  <c r="C152" i="1"/>
  <c r="B152" i="1"/>
  <c r="F151" i="1"/>
  <c r="C151" i="1"/>
  <c r="B151" i="1"/>
  <c r="F150" i="1"/>
  <c r="C150" i="1"/>
  <c r="B150" i="1"/>
  <c r="F149" i="1"/>
  <c r="C149" i="1"/>
  <c r="B149" i="1"/>
  <c r="F148" i="1"/>
  <c r="C148" i="1"/>
  <c r="B148" i="1"/>
  <c r="F147" i="1"/>
  <c r="C147" i="1"/>
  <c r="B147" i="1"/>
  <c r="F146" i="1"/>
  <c r="C146" i="1"/>
  <c r="B146" i="1"/>
  <c r="C145" i="1"/>
  <c r="B145" i="1"/>
  <c r="F144" i="1"/>
  <c r="C144" i="1"/>
  <c r="B144" i="1"/>
  <c r="C143" i="1"/>
  <c r="B143" i="1"/>
  <c r="F142" i="1"/>
  <c r="C142" i="1"/>
  <c r="B142" i="1"/>
  <c r="F141" i="1"/>
  <c r="C141" i="1"/>
  <c r="B141" i="1"/>
  <c r="F140" i="1"/>
  <c r="C140" i="1"/>
  <c r="B140" i="1"/>
  <c r="F139" i="1"/>
  <c r="C139" i="1"/>
  <c r="B139" i="1"/>
  <c r="F138" i="1"/>
  <c r="C138" i="1"/>
  <c r="B138" i="1"/>
  <c r="F137" i="1"/>
  <c r="C137" i="1"/>
  <c r="B137" i="1"/>
  <c r="F136" i="1"/>
  <c r="C136" i="1"/>
  <c r="B136" i="1"/>
  <c r="F135" i="1"/>
  <c r="C135" i="1"/>
  <c r="B135" i="1"/>
  <c r="F134" i="1"/>
  <c r="C134" i="1"/>
  <c r="B134" i="1"/>
  <c r="F133" i="1"/>
  <c r="C133" i="1"/>
  <c r="B133" i="1"/>
  <c r="F132" i="1"/>
  <c r="C132" i="1"/>
  <c r="B132" i="1"/>
  <c r="F131" i="1"/>
  <c r="C131" i="1"/>
  <c r="B131" i="1"/>
  <c r="F130" i="1"/>
  <c r="C130" i="1"/>
  <c r="B130" i="1"/>
  <c r="F129" i="1"/>
  <c r="C129" i="1"/>
  <c r="B129" i="1"/>
  <c r="F128" i="1"/>
  <c r="C128" i="1"/>
  <c r="B128" i="1"/>
  <c r="F127" i="1"/>
  <c r="C127" i="1"/>
  <c r="B127" i="1"/>
  <c r="F126" i="1"/>
  <c r="C126" i="1"/>
  <c r="B126" i="1"/>
  <c r="F125" i="1"/>
  <c r="C125" i="1"/>
  <c r="B125" i="1"/>
  <c r="F124" i="1"/>
  <c r="C124" i="1"/>
  <c r="B124" i="1"/>
  <c r="F123" i="1"/>
  <c r="C123" i="1"/>
  <c r="B123" i="1"/>
  <c r="F122" i="1"/>
  <c r="C122" i="1"/>
  <c r="B122" i="1"/>
  <c r="C121" i="1"/>
  <c r="B121" i="1"/>
  <c r="F120" i="1"/>
  <c r="C120" i="1"/>
  <c r="B120" i="1"/>
  <c r="C119" i="1"/>
  <c r="B119" i="1"/>
  <c r="F118" i="1"/>
  <c r="C118" i="1"/>
  <c r="B118" i="1"/>
  <c r="F117" i="1"/>
  <c r="C117" i="1"/>
  <c r="B117" i="1"/>
  <c r="F116" i="1"/>
  <c r="C116" i="1"/>
  <c r="B116" i="1"/>
  <c r="F115" i="1"/>
  <c r="C115" i="1"/>
  <c r="B115" i="1"/>
  <c r="F114" i="1"/>
  <c r="C114" i="1"/>
  <c r="B114" i="1"/>
  <c r="F113" i="1"/>
  <c r="C113" i="1"/>
  <c r="B113" i="1"/>
  <c r="F112" i="1"/>
  <c r="C112" i="1"/>
  <c r="B112" i="1"/>
  <c r="F111" i="1"/>
  <c r="C111" i="1"/>
  <c r="B111" i="1"/>
  <c r="F110" i="1"/>
  <c r="C110" i="1"/>
  <c r="B110" i="1"/>
  <c r="F109" i="1"/>
  <c r="C109" i="1"/>
  <c r="B109" i="1"/>
  <c r="F108" i="1"/>
  <c r="C108" i="1"/>
  <c r="B108" i="1"/>
  <c r="F107" i="1"/>
  <c r="C107" i="1"/>
  <c r="B107" i="1"/>
  <c r="F106" i="1"/>
  <c r="C106" i="1"/>
  <c r="B106" i="1"/>
  <c r="F105" i="1"/>
  <c r="C105" i="1"/>
  <c r="B105" i="1"/>
  <c r="F104" i="1"/>
  <c r="C104" i="1"/>
  <c r="B104" i="1"/>
  <c r="F103" i="1"/>
  <c r="C103" i="1"/>
  <c r="B103" i="1"/>
  <c r="F102" i="1"/>
  <c r="C102" i="1"/>
  <c r="B102" i="1"/>
  <c r="F101" i="1"/>
  <c r="C101" i="1"/>
  <c r="B101" i="1"/>
  <c r="F100" i="1"/>
  <c r="C100" i="1"/>
  <c r="B100" i="1"/>
  <c r="F99" i="1"/>
  <c r="C99" i="1"/>
  <c r="B99" i="1"/>
  <c r="F98" i="1"/>
  <c r="C98" i="1"/>
  <c r="B98" i="1"/>
  <c r="C97" i="1"/>
  <c r="B97" i="1"/>
  <c r="F96" i="1"/>
  <c r="C96" i="1"/>
  <c r="B96" i="1"/>
  <c r="C95" i="1"/>
  <c r="B95" i="1"/>
  <c r="F94" i="1"/>
  <c r="C94" i="1"/>
  <c r="B94" i="1"/>
  <c r="F93" i="1"/>
  <c r="C93" i="1"/>
  <c r="B93" i="1"/>
  <c r="F92" i="1"/>
  <c r="C92" i="1"/>
  <c r="B92" i="1"/>
  <c r="F91" i="1"/>
  <c r="C91" i="1"/>
  <c r="B91" i="1"/>
  <c r="F90" i="1"/>
  <c r="C90" i="1"/>
  <c r="B90" i="1"/>
  <c r="F89" i="1"/>
  <c r="C89" i="1"/>
  <c r="B89" i="1"/>
  <c r="F88" i="1"/>
  <c r="C88" i="1"/>
  <c r="B88" i="1"/>
  <c r="F87" i="1"/>
  <c r="C87" i="1"/>
  <c r="B87" i="1"/>
  <c r="F86" i="1"/>
  <c r="C86" i="1"/>
  <c r="B86" i="1"/>
  <c r="F85" i="1"/>
  <c r="C85" i="1"/>
  <c r="B85" i="1"/>
  <c r="F84" i="1"/>
  <c r="C84" i="1"/>
  <c r="B84" i="1"/>
  <c r="F83" i="1"/>
  <c r="C83" i="1"/>
  <c r="B83" i="1"/>
  <c r="F82" i="1"/>
  <c r="C82" i="1"/>
  <c r="B82" i="1"/>
  <c r="F81" i="1"/>
  <c r="C81" i="1"/>
  <c r="B81" i="1"/>
  <c r="F80" i="1"/>
  <c r="C80" i="1"/>
  <c r="B80" i="1"/>
  <c r="F79" i="1"/>
  <c r="C79" i="1"/>
  <c r="B79" i="1"/>
  <c r="F78" i="1"/>
  <c r="C78" i="1"/>
  <c r="B78" i="1"/>
  <c r="F77" i="1"/>
  <c r="C77" i="1"/>
  <c r="B77" i="1"/>
  <c r="F76" i="1"/>
  <c r="C76" i="1"/>
  <c r="B76" i="1"/>
  <c r="F75" i="1"/>
  <c r="C75" i="1"/>
  <c r="B75" i="1"/>
  <c r="F74" i="1"/>
  <c r="C74" i="1"/>
  <c r="B74" i="1"/>
  <c r="C73" i="1"/>
  <c r="B73" i="1"/>
  <c r="F72" i="1"/>
  <c r="C72" i="1"/>
  <c r="B72" i="1"/>
  <c r="C71" i="1"/>
  <c r="B71" i="1"/>
  <c r="F70" i="1"/>
  <c r="C70" i="1"/>
  <c r="B70" i="1"/>
  <c r="F69" i="1"/>
  <c r="C69" i="1"/>
  <c r="B69" i="1"/>
  <c r="F68" i="1"/>
  <c r="C68" i="1"/>
  <c r="B68" i="1"/>
  <c r="F67" i="1"/>
  <c r="C67" i="1"/>
  <c r="B67" i="1"/>
  <c r="F66" i="1"/>
  <c r="C66" i="1"/>
  <c r="B66" i="1"/>
  <c r="F65" i="1"/>
  <c r="C65" i="1"/>
  <c r="B65" i="1"/>
  <c r="F64" i="1"/>
  <c r="C64" i="1"/>
  <c r="B64" i="1"/>
  <c r="F63" i="1"/>
  <c r="C63" i="1"/>
  <c r="B63" i="1"/>
  <c r="F62" i="1"/>
  <c r="C62" i="1"/>
  <c r="B62" i="1"/>
  <c r="F61" i="1"/>
  <c r="C61" i="1"/>
  <c r="B61" i="1"/>
  <c r="F60" i="1"/>
  <c r="C60" i="1"/>
  <c r="B60" i="1"/>
  <c r="F59" i="1"/>
  <c r="C59" i="1"/>
  <c r="B59" i="1"/>
  <c r="F58" i="1"/>
  <c r="C58" i="1"/>
  <c r="B58" i="1"/>
  <c r="F57" i="1"/>
  <c r="C57" i="1"/>
  <c r="B57" i="1"/>
  <c r="F56" i="1"/>
  <c r="C56" i="1"/>
  <c r="B56" i="1"/>
  <c r="F55" i="1"/>
  <c r="C55" i="1"/>
  <c r="B55" i="1"/>
  <c r="F54" i="1"/>
  <c r="C54" i="1"/>
  <c r="B54" i="1"/>
  <c r="F53" i="1"/>
  <c r="C53" i="1"/>
  <c r="B53" i="1"/>
  <c r="F52" i="1"/>
  <c r="C52" i="1"/>
  <c r="B52" i="1"/>
  <c r="F51" i="1"/>
  <c r="C51" i="1"/>
  <c r="B51" i="1"/>
  <c r="F50" i="1"/>
  <c r="C50" i="1"/>
  <c r="B50" i="1"/>
  <c r="C49" i="1"/>
  <c r="B49" i="1"/>
  <c r="F48" i="1"/>
  <c r="C48" i="1"/>
  <c r="B48" i="1"/>
  <c r="C47" i="1"/>
  <c r="B47" i="1"/>
  <c r="F46" i="1"/>
  <c r="C46" i="1"/>
  <c r="B46" i="1"/>
  <c r="F45" i="1"/>
  <c r="C45" i="1"/>
  <c r="B45" i="1"/>
  <c r="F44" i="1"/>
  <c r="C44" i="1"/>
  <c r="B44" i="1"/>
  <c r="F43" i="1"/>
  <c r="C43" i="1"/>
  <c r="B43" i="1"/>
  <c r="F42" i="1"/>
  <c r="C42" i="1"/>
  <c r="B42" i="1"/>
  <c r="F41" i="1"/>
  <c r="C41" i="1"/>
  <c r="B41" i="1"/>
  <c r="F40" i="1"/>
  <c r="C40" i="1"/>
  <c r="B40" i="1"/>
  <c r="F39" i="1"/>
  <c r="C39" i="1"/>
  <c r="B39" i="1"/>
  <c r="F38" i="1"/>
  <c r="C38" i="1"/>
  <c r="B38" i="1"/>
  <c r="F37" i="1"/>
  <c r="C37" i="1"/>
  <c r="B37" i="1"/>
  <c r="F36" i="1"/>
  <c r="C36" i="1"/>
  <c r="B36" i="1"/>
  <c r="C35" i="1"/>
  <c r="B35" i="1"/>
  <c r="F34" i="1"/>
  <c r="C34" i="1"/>
  <c r="B34" i="1"/>
  <c r="F33" i="1"/>
  <c r="C33" i="1"/>
  <c r="B33" i="1"/>
  <c r="F32" i="1"/>
  <c r="C32" i="1"/>
  <c r="B32" i="1"/>
  <c r="F31" i="1"/>
  <c r="C31" i="1"/>
  <c r="B31" i="1"/>
  <c r="F30" i="1"/>
  <c r="C30" i="1"/>
  <c r="B30" i="1"/>
  <c r="F29" i="1"/>
  <c r="C29" i="1"/>
  <c r="B29" i="1"/>
  <c r="F28" i="1"/>
  <c r="C28" i="1"/>
  <c r="B28" i="1"/>
  <c r="F27" i="1"/>
  <c r="C27" i="1"/>
  <c r="B27" i="1"/>
  <c r="F26" i="1"/>
  <c r="C26" i="1"/>
  <c r="B26" i="1"/>
  <c r="C25" i="1"/>
  <c r="B25" i="1"/>
  <c r="C24" i="1"/>
  <c r="B24" i="1"/>
  <c r="C23" i="1"/>
  <c r="B23" i="1"/>
  <c r="C22" i="1"/>
  <c r="B22" i="1"/>
  <c r="F21" i="1"/>
  <c r="C21" i="1"/>
  <c r="B21" i="1"/>
  <c r="F20" i="1"/>
  <c r="C20" i="1"/>
  <c r="B20" i="1"/>
  <c r="C19" i="1"/>
  <c r="B19" i="1"/>
  <c r="F18" i="1"/>
  <c r="C18" i="1"/>
  <c r="B18" i="1"/>
  <c r="F17" i="1"/>
  <c r="C17" i="1"/>
  <c r="B17" i="1"/>
  <c r="F16" i="1"/>
  <c r="C16" i="1"/>
  <c r="B16" i="1"/>
  <c r="F15" i="1"/>
  <c r="C15" i="1"/>
  <c r="B15" i="1"/>
  <c r="F14" i="1"/>
  <c r="C14" i="1"/>
  <c r="B14" i="1"/>
  <c r="F13" i="1"/>
  <c r="C13" i="1"/>
  <c r="B13" i="1"/>
  <c r="F12" i="1"/>
  <c r="C12" i="1"/>
  <c r="B12" i="1"/>
  <c r="C11" i="1"/>
  <c r="B11" i="1"/>
  <c r="F10" i="1"/>
  <c r="C10" i="1"/>
  <c r="B10" i="1"/>
  <c r="F9" i="1"/>
  <c r="C9" i="1"/>
  <c r="B9" i="1"/>
  <c r="F8" i="1"/>
  <c r="C8" i="1"/>
  <c r="B8" i="1"/>
  <c r="F7" i="1"/>
  <c r="C7" i="1"/>
  <c r="B7" i="1"/>
  <c r="F6" i="1"/>
  <c r="C6" i="1"/>
  <c r="B6" i="1"/>
  <c r="F5" i="1"/>
  <c r="C5" i="1"/>
  <c r="B5" i="1"/>
  <c r="F4" i="1"/>
  <c r="C4" i="1"/>
  <c r="B4" i="1"/>
  <c r="F3" i="1"/>
  <c r="C3" i="1"/>
  <c r="B3" i="1"/>
  <c r="F2" i="1"/>
  <c r="C2" i="1"/>
  <c r="B2" i="1"/>
  <c r="E10" i="2" l="1"/>
  <c r="E14" i="2" s="1"/>
  <c r="G6" i="2"/>
  <c r="F14" i="2"/>
  <c r="F18" i="2" s="1"/>
  <c r="F22" i="2" s="1"/>
  <c r="F26" i="2" s="1"/>
  <c r="F30" i="2" s="1"/>
  <c r="F34" i="2" s="1"/>
  <c r="F38" i="2" s="1"/>
  <c r="F42" i="2" s="1"/>
  <c r="F46" i="2" s="1"/>
  <c r="G10" i="2"/>
  <c r="H10" i="2"/>
  <c r="H14" i="2" s="1"/>
  <c r="J6" i="2"/>
  <c r="I14" i="2"/>
  <c r="I18" i="2" s="1"/>
  <c r="I22" i="2" s="1"/>
  <c r="I26" i="2" s="1"/>
  <c r="I30" i="2" s="1"/>
  <c r="I34" i="2" s="1"/>
  <c r="I38" i="2" s="1"/>
  <c r="I42" i="2" s="1"/>
  <c r="I46" i="2" s="1"/>
  <c r="J10" i="2"/>
  <c r="K10" i="2"/>
  <c r="K14" i="2" s="1"/>
  <c r="M6" i="2"/>
  <c r="L14" i="2"/>
  <c r="L18" i="2" s="1"/>
  <c r="L22" i="2" s="1"/>
  <c r="L26" i="2" s="1"/>
  <c r="L30" i="2" s="1"/>
  <c r="L34" i="2" s="1"/>
  <c r="L38" i="2" s="1"/>
  <c r="L42" i="2" s="1"/>
  <c r="M10" i="2"/>
  <c r="E12" i="2"/>
  <c r="E16" i="2" s="1"/>
  <c r="G8" i="2"/>
  <c r="F16" i="2"/>
  <c r="F20" i="2" s="1"/>
  <c r="F24" i="2" s="1"/>
  <c r="F28" i="2" s="1"/>
  <c r="F32" i="2" s="1"/>
  <c r="F36" i="2" s="1"/>
  <c r="F40" i="2" s="1"/>
  <c r="F44" i="2" s="1"/>
  <c r="F48" i="2" s="1"/>
  <c r="G12" i="2"/>
  <c r="H12" i="2"/>
  <c r="H16" i="2" s="1"/>
  <c r="J8" i="2"/>
  <c r="I16" i="2"/>
  <c r="I20" i="2" s="1"/>
  <c r="I24" i="2" s="1"/>
  <c r="I28" i="2" s="1"/>
  <c r="I32" i="2" s="1"/>
  <c r="I36" i="2" s="1"/>
  <c r="I40" i="2" s="1"/>
  <c r="I44" i="2" s="1"/>
  <c r="I48" i="2" s="1"/>
  <c r="J12" i="2"/>
  <c r="K12" i="2"/>
  <c r="K16" i="2" s="1"/>
  <c r="M8" i="2"/>
  <c r="L16" i="2"/>
  <c r="L20" i="2" s="1"/>
  <c r="L24" i="2" s="1"/>
  <c r="L28" i="2" s="1"/>
  <c r="L32" i="2" s="1"/>
  <c r="L36" i="2" s="1"/>
  <c r="L40" i="2" s="1"/>
  <c r="L44" i="2" s="1"/>
  <c r="M12" i="2"/>
  <c r="K20" i="2" l="1"/>
  <c r="M16" i="2"/>
  <c r="H20" i="2"/>
  <c r="J16" i="2"/>
  <c r="E20" i="2"/>
  <c r="G16" i="2"/>
  <c r="K18" i="2"/>
  <c r="M14" i="2"/>
  <c r="H18" i="2"/>
  <c r="J14" i="2"/>
  <c r="E18" i="2"/>
  <c r="G14" i="2"/>
  <c r="E22" i="2" l="1"/>
  <c r="G18" i="2"/>
  <c r="H22" i="2"/>
  <c r="J18" i="2"/>
  <c r="K22" i="2"/>
  <c r="M18" i="2"/>
  <c r="E24" i="2"/>
  <c r="G20" i="2"/>
  <c r="H24" i="2"/>
  <c r="J20" i="2"/>
  <c r="K24" i="2"/>
  <c r="M20" i="2"/>
  <c r="K28" i="2" l="1"/>
  <c r="M24" i="2"/>
  <c r="H28" i="2"/>
  <c r="J24" i="2"/>
  <c r="E28" i="2"/>
  <c r="G24" i="2"/>
  <c r="K26" i="2"/>
  <c r="M22" i="2"/>
  <c r="H26" i="2"/>
  <c r="J22" i="2"/>
  <c r="E26" i="2"/>
  <c r="G22" i="2"/>
  <c r="E30" i="2" l="1"/>
  <c r="G26" i="2"/>
  <c r="H30" i="2"/>
  <c r="J26" i="2"/>
  <c r="K30" i="2"/>
  <c r="M26" i="2"/>
  <c r="E32" i="2"/>
  <c r="G28" i="2"/>
  <c r="H32" i="2"/>
  <c r="J28" i="2"/>
  <c r="K32" i="2"/>
  <c r="M28" i="2"/>
  <c r="K36" i="2" l="1"/>
  <c r="M32" i="2"/>
  <c r="H36" i="2"/>
  <c r="J32" i="2"/>
  <c r="E36" i="2"/>
  <c r="G32" i="2"/>
  <c r="K34" i="2"/>
  <c r="M30" i="2"/>
  <c r="H34" i="2"/>
  <c r="J30" i="2"/>
  <c r="E34" i="2"/>
  <c r="G30" i="2"/>
  <c r="E38" i="2" l="1"/>
  <c r="G34" i="2"/>
  <c r="H38" i="2"/>
  <c r="J34" i="2"/>
  <c r="K38" i="2"/>
  <c r="M34" i="2"/>
  <c r="E40" i="2"/>
  <c r="G36" i="2"/>
  <c r="H40" i="2"/>
  <c r="J36" i="2"/>
  <c r="K40" i="2"/>
  <c r="M36" i="2"/>
  <c r="K44" i="2" l="1"/>
  <c r="M44" i="2" s="1"/>
  <c r="M40" i="2"/>
  <c r="H44" i="2"/>
  <c r="J40" i="2"/>
  <c r="E44" i="2"/>
  <c r="G40" i="2"/>
  <c r="K42" i="2"/>
  <c r="M42" i="2" s="1"/>
  <c r="M38" i="2"/>
  <c r="H42" i="2"/>
  <c r="J38" i="2"/>
  <c r="E42" i="2"/>
  <c r="G38" i="2"/>
  <c r="E46" i="2" l="1"/>
  <c r="G46" i="2" s="1"/>
  <c r="G42" i="2"/>
  <c r="H46" i="2"/>
  <c r="J46" i="2" s="1"/>
  <c r="J42" i="2"/>
  <c r="E48" i="2"/>
  <c r="G48" i="2" s="1"/>
  <c r="G44" i="2"/>
  <c r="H48" i="2"/>
  <c r="J48" i="2" s="1"/>
  <c r="J44" i="2"/>
</calcChain>
</file>

<file path=xl/sharedStrings.xml><?xml version="1.0" encoding="utf-8"?>
<sst xmlns="http://schemas.openxmlformats.org/spreadsheetml/2006/main" count="12781" uniqueCount="307">
  <si>
    <t>TANGGAL</t>
  </si>
  <si>
    <t>YEAR</t>
  </si>
  <si>
    <t>MONTH</t>
  </si>
  <si>
    <t>LOP</t>
  </si>
  <si>
    <t>TEUS</t>
  </si>
  <si>
    <t>%</t>
  </si>
  <si>
    <t>01/2022</t>
  </si>
  <si>
    <t>CMA</t>
  </si>
  <si>
    <t>EMC</t>
  </si>
  <si>
    <t>MSK</t>
  </si>
  <si>
    <t>MSC</t>
  </si>
  <si>
    <t>ONE</t>
  </si>
  <si>
    <t>WHL</t>
  </si>
  <si>
    <t>COSCO</t>
  </si>
  <si>
    <t>OOCL</t>
  </si>
  <si>
    <t>RCL</t>
  </si>
  <si>
    <t>HAPAG</t>
  </si>
  <si>
    <t>SITC</t>
  </si>
  <si>
    <t>KMTC</t>
  </si>
  <si>
    <t>YML</t>
  </si>
  <si>
    <t>GSL</t>
  </si>
  <si>
    <t>OTHERS</t>
  </si>
  <si>
    <t>SSL</t>
  </si>
  <si>
    <t>PIL</t>
  </si>
  <si>
    <t>ANL</t>
  </si>
  <si>
    <t>HMM</t>
  </si>
  <si>
    <t>XCL</t>
  </si>
  <si>
    <t>MELL</t>
  </si>
  <si>
    <t>BEN</t>
  </si>
  <si>
    <t>KRL</t>
  </si>
  <si>
    <t>KSL</t>
  </si>
  <si>
    <t>03/2024</t>
  </si>
  <si>
    <t>TSL</t>
  </si>
  <si>
    <t>SWI</t>
  </si>
  <si>
    <t>TAHUN</t>
  </si>
  <si>
    <t>DESCRIPTION</t>
  </si>
  <si>
    <t>UNIT</t>
  </si>
  <si>
    <t>2022 ACTUAL</t>
  </si>
  <si>
    <t>2022 BUDGET</t>
  </si>
  <si>
    <t>2022 ACTUAL VS 2022 BUDGET</t>
  </si>
  <si>
    <t>2023 ACTUAL</t>
  </si>
  <si>
    <t>2023 BUDGET</t>
  </si>
  <si>
    <t>2023 ACTUAL VS 2023 BUDGET</t>
  </si>
  <si>
    <t xml:space="preserve">2024 ACTUAL </t>
  </si>
  <si>
    <t>2024 BUDGET</t>
  </si>
  <si>
    <t>2024 ACTUAL VS 2024 ACTUAL BUDGET</t>
  </si>
  <si>
    <t>2025 ACTUAL</t>
  </si>
  <si>
    <t>2025 BUDGET</t>
  </si>
  <si>
    <t>2025 ACTUAL VS 2025 BUDGET</t>
  </si>
  <si>
    <t>2026 ACTUAL</t>
  </si>
  <si>
    <t>2026 BUDGET</t>
  </si>
  <si>
    <t>2026 ACTUAL VS 2026 BUDGET</t>
  </si>
  <si>
    <t>Kumulatif International</t>
  </si>
  <si>
    <t>TEUs</t>
  </si>
  <si>
    <t>International</t>
  </si>
  <si>
    <t>Kumulatif Domestic</t>
  </si>
  <si>
    <t>Domestic</t>
  </si>
  <si>
    <t>DATE</t>
  </si>
  <si>
    <t>CATEGORY</t>
  </si>
  <si>
    <t>INTERNATIONAL</t>
  </si>
  <si>
    <t>04/2024</t>
  </si>
  <si>
    <t>DOMESTIC</t>
  </si>
  <si>
    <t xml:space="preserve">TEUS </t>
  </si>
  <si>
    <t>BOX</t>
  </si>
  <si>
    <t>DPP</t>
  </si>
  <si>
    <t>BCH</t>
  </si>
  <si>
    <t>BSH</t>
  </si>
  <si>
    <t>AVERAGE CD</t>
  </si>
  <si>
    <t>TEUS 2023</t>
  </si>
  <si>
    <t>BOX 2023</t>
  </si>
  <si>
    <t>DPP 2023</t>
  </si>
  <si>
    <t>BCH 2023</t>
  </si>
  <si>
    <t>BSH 2023</t>
  </si>
  <si>
    <t>AVERAGE CD 2023</t>
  </si>
  <si>
    <t>Rp. 16.341.982.320</t>
  </si>
  <si>
    <t>CNC</t>
  </si>
  <si>
    <t>Rp. 16.655.410.181</t>
  </si>
  <si>
    <t>Rp. 13.168.083.042</t>
  </si>
  <si>
    <t>Rp. 10.435.664.983</t>
  </si>
  <si>
    <t>COS</t>
  </si>
  <si>
    <t>Rp. 9.725.904.427</t>
  </si>
  <si>
    <t>Rp. 8.407.390.538</t>
  </si>
  <si>
    <t>Rp. 6.714.230.932</t>
  </si>
  <si>
    <t>Rp. 4.541.270.822</t>
  </si>
  <si>
    <t>SIT</t>
  </si>
  <si>
    <t>Rp. 3.936.766.752</t>
  </si>
  <si>
    <t>Rp. 2.349.174.700</t>
  </si>
  <si>
    <t>Rp. 1.552.933.479</t>
  </si>
  <si>
    <t>KMT</t>
  </si>
  <si>
    <t>Rp. 1.326.466.739</t>
  </si>
  <si>
    <t>Rp. 1.125.059.378</t>
  </si>
  <si>
    <t>OOL</t>
  </si>
  <si>
    <t>Rp. 1.087.991.525</t>
  </si>
  <si>
    <t>LMA</t>
  </si>
  <si>
    <t>Rp 11,452,777,869</t>
  </si>
  <si>
    <t>Rp 11,248,304,961</t>
  </si>
  <si>
    <t>Rp 9,771,781,402</t>
  </si>
  <si>
    <t>Rp 11,819,763,544</t>
  </si>
  <si>
    <t>Rp 9,901,929,726</t>
  </si>
  <si>
    <t>Rp3,093,903,137</t>
  </si>
  <si>
    <t>Rp 1,042,143,789</t>
  </si>
  <si>
    <t>NSS</t>
  </si>
  <si>
    <t>HPL</t>
  </si>
  <si>
    <t>MAA</t>
  </si>
  <si>
    <t>KAL</t>
  </si>
  <si>
    <t>ACL</t>
  </si>
  <si>
    <t>ESL</t>
  </si>
  <si>
    <t>-</t>
  </si>
  <si>
    <t>Rp -</t>
  </si>
  <si>
    <t>Rp-</t>
  </si>
  <si>
    <t>2.0</t>
  </si>
  <si>
    <t>SPI</t>
  </si>
  <si>
    <t>Rp. 2.113.335.293</t>
  </si>
  <si>
    <t>TIL</t>
  </si>
  <si>
    <t>Rp. 227.765.975</t>
  </si>
  <si>
    <t>TAS</t>
  </si>
  <si>
    <t>MPN</t>
  </si>
  <si>
    <t>ICON</t>
  </si>
  <si>
    <t>PNJ</t>
  </si>
  <si>
    <t>ICN</t>
  </si>
  <si>
    <t>CTP</t>
  </si>
  <si>
    <t>2022 (TEUS)</t>
  </si>
  <si>
    <t>2023 (TEUS)</t>
  </si>
  <si>
    <t>2024 (TEUS)</t>
  </si>
  <si>
    <t>2025 (TEUS)</t>
  </si>
  <si>
    <t>2026 (TEUS)</t>
  </si>
  <si>
    <t>OTHER</t>
  </si>
  <si>
    <t>0.0%</t>
  </si>
  <si>
    <t>6.18%</t>
  </si>
  <si>
    <t>17.74%</t>
  </si>
  <si>
    <t>3.76%</t>
  </si>
  <si>
    <t>26.96%</t>
  </si>
  <si>
    <t>8.75%</t>
  </si>
  <si>
    <t>37.07%</t>
  </si>
  <si>
    <t>-35.55%</t>
  </si>
  <si>
    <t>5.36%</t>
  </si>
  <si>
    <t>37.54%</t>
  </si>
  <si>
    <t>64.96%</t>
  </si>
  <si>
    <t>-0.26%</t>
  </si>
  <si>
    <t>16.12%</t>
  </si>
  <si>
    <t>-2.76%</t>
  </si>
  <si>
    <t>46.17%</t>
  </si>
  <si>
    <t>-42.33%</t>
  </si>
  <si>
    <t>-6.48%</t>
  </si>
  <si>
    <t>-36.37%</t>
  </si>
  <si>
    <t>0.00%</t>
  </si>
  <si>
    <t>-48.48%</t>
  </si>
  <si>
    <t>-54.72%</t>
  </si>
  <si>
    <t>151.76%</t>
  </si>
  <si>
    <t>-96.71%</t>
  </si>
  <si>
    <t>TANTO</t>
  </si>
  <si>
    <t>SPIL</t>
  </si>
  <si>
    <t>MERATUS</t>
  </si>
  <si>
    <t>TEMAS</t>
  </si>
  <si>
    <t>PPNP</t>
  </si>
  <si>
    <t>ICON LINE</t>
  </si>
  <si>
    <t>No.</t>
  </si>
  <si>
    <t>VESSEL OPERATOR</t>
  </si>
  <si>
    <t>SERVICE</t>
  </si>
  <si>
    <t>ROUTES</t>
  </si>
  <si>
    <t>CITY PORT</t>
  </si>
  <si>
    <t>Service Mode</t>
  </si>
  <si>
    <t>Total Call</t>
  </si>
  <si>
    <t>BMPH</t>
  </si>
  <si>
    <t>GMPH</t>
  </si>
  <si>
    <t>Average CD</t>
  </si>
  <si>
    <t>Boxes*</t>
  </si>
  <si>
    <t>ON</t>
  </si>
  <si>
    <t>Moves</t>
  </si>
  <si>
    <t>STATUS</t>
  </si>
  <si>
    <t>GMI</t>
  </si>
  <si>
    <t>IDJKT-IDSUB-SGSIN-MYPGU-SGSIN-MYKLA</t>
  </si>
  <si>
    <t>Jakarta-Surabaya-Singapore-Pasir Gudang-Singapore-Port Kelang West</t>
  </si>
  <si>
    <t>Feeder</t>
  </si>
  <si>
    <t>SSS-SAT</t>
  </si>
  <si>
    <t>SGSIN-IDSUB-SGSIN</t>
  </si>
  <si>
    <t>Singapore-Surabaya-Singapore</t>
  </si>
  <si>
    <t>SSS-WED</t>
  </si>
  <si>
    <t>ITS</t>
  </si>
  <si>
    <t>MYKLA-SGSIN-IDSRG-IDSUB-MYKLA- SGSIN-THBKK THSCS-THLCH</t>
  </si>
  <si>
    <t>Port Klang-Singapore-Semarang-Surabaya-Port Klang- Singapore-Bangkok Sahathai Terminal-Laem Chabang</t>
  </si>
  <si>
    <t>CIT</t>
  </si>
  <si>
    <t>CNNBO-CNSGH-HKHKG (Zhujiang)-CNSHK-IDSUB-IDSRG-IDJKT-SGSIN-THLCH-HKHKG-CNNBO</t>
  </si>
  <si>
    <t>Ningbo-Shanghai-Hong Kong (Zhujiang)-Shekou-Surabaya-Semarang-Jakarta-Singapore-Laemchabang-Hong Kong-Ningbo</t>
  </si>
  <si>
    <t>Direct</t>
  </si>
  <si>
    <t>JPI-A</t>
  </si>
  <si>
    <t>JPYOK-JPTYO-JPSMZ-JPNGO-JPUKB-TWTPE-TWKHH-PHMNL South-IDSUB-IDJKT-MYTPP-MYBTU-TWKHH</t>
  </si>
  <si>
    <t>Yokohama-Tokyo-Shimizu-Nagoya-Kobe-Taipei-Kaohsiung-Manila South-Surabaya-Jakarta-Tanjung Pelepas-Bintulu-Kaohsiung</t>
  </si>
  <si>
    <t>JPI-B</t>
  </si>
  <si>
    <t>CNSHK-HKHKG-IDJKT-IDSRG-IDSUB-PHMNL South-TWKHH-TWTPE-JPYOK</t>
  </si>
  <si>
    <t>Shekou-Hong Kong-Jakarta-Semarang-Surabaya-Manila South-Kaohsiung-Taipei-Yokohama</t>
  </si>
  <si>
    <t>TMI</t>
  </si>
  <si>
    <t>IDSUB-IDSRG-MYTPP-THLCH</t>
  </si>
  <si>
    <t>Surabaya-Semarang-Tanjung Pelepas-Laemchabang</t>
  </si>
  <si>
    <t>TIS (Discontinue)</t>
  </si>
  <si>
    <t>CKI</t>
  </si>
  <si>
    <t>KRPUS-KRKWA-CNSGH-CNNBO-HKHKG-IDJKT-IDSUB-VNSGN VNCLI-CNNBO-CNSGH-KRPUS</t>
  </si>
  <si>
    <t>Pusan-Kwangyang-Shanghai-Ningbo-Hongkong-Jakarta-Surabaya-Hochiminh Cat Lai-Ningbo-Shanghai-Pusan</t>
  </si>
  <si>
    <t>Ad Hoc KRL</t>
  </si>
  <si>
    <t>Various route</t>
  </si>
  <si>
    <t>Ad Hoc</t>
  </si>
  <si>
    <t>MEL</t>
  </si>
  <si>
    <t>SDS</t>
  </si>
  <si>
    <t>IDSUB-TLDIL-IDSUB-SGSIN (optional)-IDSUB</t>
  </si>
  <si>
    <t>Surabaya-Dili-Surabaya-Singapore (optional)-Surabaya</t>
  </si>
  <si>
    <t>KPG</t>
  </si>
  <si>
    <t>IDJKT-IDSUB-MYKLA West-INNSA-AEJEA-LKCMB-SADMM-PKKHI-INMUN</t>
  </si>
  <si>
    <t>Jakarta-Surabaya-Port Klang West-Nhava Sheva-Jebel Ali-Colomba-Dammam-Karachi-Mundra</t>
  </si>
  <si>
    <t>NEW JAVA F</t>
  </si>
  <si>
    <t>SGSIN-MYTPP-IDJKT-IDSUB-SGSIN</t>
  </si>
  <si>
    <t>Singapore-Tanjung Pelepas-Jakarta-Surabaya-Singapore</t>
  </si>
  <si>
    <t>NEW JAVA T</t>
  </si>
  <si>
    <t>SGSIN-MYTPP-IDSRG-IDSUB</t>
  </si>
  <si>
    <t>Singapore-Tanjung Pelepas-Semarang-Surabaya</t>
  </si>
  <si>
    <t>DOLPHIN</t>
  </si>
  <si>
    <t>CNSGH-CNNBO-CNXAM-MYTPP-SGSIN-IDJKT-IDSUB-MYTPP-SGSIN-THLCH-VNVUT-CNSGH</t>
  </si>
  <si>
    <t>Shanghai-Ningbo-Xiamen-Tanjung Pelepas-Singapore-Jakarta-Surabaya-Tanjung Pelepas-Singapore-Laem Chabang-Vung Tau-Shanghai</t>
  </si>
  <si>
    <t>IA-8</t>
  </si>
  <si>
    <t>CNSGH-CNTXG-CNQIN-TWKEL-SGSIN-MYTPP-IDJKT-IDSUB-PHDVO-CNSGH</t>
  </si>
  <si>
    <t>Shanghai-Xingang-Qingdao-Keelung-Singapore-Tanjung Pelepas-Jakarta-Surabaya-Davao-Shanghai</t>
  </si>
  <si>
    <t>CS 2</t>
  </si>
  <si>
    <t>HKHKG–CNNSH–CNSHK–IDSUB–IDSRG– IDJKT–MYKLA (North)–MYKLA (West)– HKHKG</t>
  </si>
  <si>
    <t>HongKong–Nansha–Shekou–Surabaya–Semarang– Jakarta–Port Klang (North)–Port Klang (West)– HongKong</t>
  </si>
  <si>
    <t>SSE</t>
  </si>
  <si>
    <t>SUS</t>
  </si>
  <si>
    <t>RMI3</t>
  </si>
  <si>
    <t>SGSIN-IDSUB-SGSIN-MYKLA-MYNTL-MYKLA-SGSIN</t>
  </si>
  <si>
    <t>Singapore-Surabaya-Singapore-Port Klang-Penang-Port Klang-Singapore</t>
  </si>
  <si>
    <t>CMI</t>
  </si>
  <si>
    <t>IDJKT-IDSRG-IDSUB-IDMAK-PHBTG-CNSGH-CNXAM-CNSHK-CNNSH-MYBTU-IDJKT</t>
  </si>
  <si>
    <t>Jakarta-Semarang-Surabaya-Makassar-Batangas-Shanghai-Xiamen-Shekou-Nansha-Bintulu-Jakarta</t>
  </si>
  <si>
    <t>CMI2</t>
  </si>
  <si>
    <t>CNSHK-CNNSH-VNSGN-IDJKT-IDSRG- IDSUB-MYBTU-CNQGS-CNSHK</t>
  </si>
  <si>
    <t>Shekou-Nansha-Hochiminh-Jakarta-Semarang- Surabaya-Bintulu-Qinzhao-Shekou</t>
  </si>
  <si>
    <t>TPI</t>
  </si>
  <si>
    <t>IDJKT-IDSRG-IDSUB-TWKHH-TWTXG-TWKHH-TWTPE</t>
  </si>
  <si>
    <t>Jakarta-Semarang-Surabaya-Kaohsiung-Taichung-Kaohsiung-Taipei</t>
  </si>
  <si>
    <t>Ad Hoc WHL</t>
  </si>
  <si>
    <t>SSX</t>
  </si>
  <si>
    <t>CHINA 1</t>
  </si>
  <si>
    <t>CNSGH-CNNBO-CNSTG-CNSHK-IDJKT-IDSUB-PHMNL South-PHMNL North-CNSGH</t>
  </si>
  <si>
    <t>Shanghai-Ningbo-Shantou-Shekou-Jakarta-Surabaya-Manila South-Manila North-Shanghai</t>
  </si>
  <si>
    <t>KCS</t>
  </si>
  <si>
    <t>North South: CNLYG-CNQIN-CNNSH-MYTPP-SGSIN-IDJKT-IDSUB-PHDVO-CNSGH-CNDAL. East-West: CNYTN-CNNSH-CNCWN-HKHKG-PHMNL South-PHMNL North</t>
  </si>
  <si>
    <t>North South: Lianyungang-Qingdao-Nansha-Port Kelang-Singapore-Jakarta-Surabaya-Davao-Shanghai-Dalian. East-West: Yantian-Nansha-Chiwan-Hongkong-Manila South-Manila North</t>
  </si>
  <si>
    <t>VMI</t>
  </si>
  <si>
    <t>VNHPH-VNSGN-MYKLA West Port-MYTPP-IDJKT-IDSRG-IDSUB</t>
  </si>
  <si>
    <t>Haipong-Ho Chi Minh City-Port Klang West Port-Tanjung Pelepas-Jakarta-Semarang-Surabaya</t>
  </si>
  <si>
    <t>Ad Hoc MKP</t>
  </si>
  <si>
    <t>KCI</t>
  </si>
  <si>
    <t>IDJKT-IDSUB-CNSHK-CNXAM-KRPUS-CNQIN-CNSGH-CNNBO-IDJKT</t>
  </si>
  <si>
    <t>Jakarta-Surabaya-Shekou-Xiamen-Pusan-Qingdao-Shanghai-Ningbo-Jakarta</t>
  </si>
  <si>
    <t>C18</t>
  </si>
  <si>
    <t>IDSUB-SGSIN-MYKLA- INMUN-INNSA</t>
  </si>
  <si>
    <t>Surabaya-Singapore-Port Klang- Mundra-Nhava Sheva</t>
  </si>
  <si>
    <t>JSS</t>
  </si>
  <si>
    <t>SGSIN-IDSRG-IDSUB-SGSIN</t>
  </si>
  <si>
    <t>Singapore-Semarang-Surabaya-Singapore</t>
  </si>
  <si>
    <t>Ad Hoc CMA</t>
  </si>
  <si>
    <t>APR</t>
  </si>
  <si>
    <t>MYKLA-SGSIN-IDJKT-IDSUB-PGLAE-PGKIM-PGMTK- AUTSV-MYKLA</t>
  </si>
  <si>
    <t>Port Klang-Singapore-Jakarta-Surabaya-Lae-Kimbe-Motukea Island- Townsville-Port Klang</t>
  </si>
  <si>
    <t>PAX</t>
  </si>
  <si>
    <t>SGSIN-IDSUB-TLDIL-AUDRW-SGSIN</t>
  </si>
  <si>
    <t>Singapore-Surabaya-Dili-Darwin-Singapore</t>
  </si>
  <si>
    <t>ETS/SDD</t>
  </si>
  <si>
    <t>SGSIN-IDSUB-TLDIL</t>
  </si>
  <si>
    <t>Singapore-Surabaya-Dili</t>
  </si>
  <si>
    <t>Seahorse</t>
  </si>
  <si>
    <t>CNSGH-CNNBO-THLCH-MYKLA-SGSIN-IDSUB-IDJKT-MYTPP-CNQZH-HKHKG-CNSGH</t>
  </si>
  <si>
    <t>Shanghai-Ningbo-Laem Chabang-Port Klang-Singapore-Surabaya-Jakarta-Tanjung Pelepas-Qinzhou-Hongkong-Shanghai</t>
  </si>
  <si>
    <t>MPN AD HOC</t>
  </si>
  <si>
    <t>AD HOC CMA</t>
  </si>
  <si>
    <t>MTMAL</t>
  </si>
  <si>
    <t>Malta</t>
  </si>
  <si>
    <t>SPIL AD HO</t>
  </si>
  <si>
    <t>IDSUB - IDJKT - IDMAK - IDPAL</t>
  </si>
  <si>
    <t>Surabaya - Jakarta - Makassar - Palu</t>
  </si>
  <si>
    <t>DOMESTIK</t>
  </si>
  <si>
    <t>TIL AD HOC</t>
  </si>
  <si>
    <t>Various POO</t>
  </si>
  <si>
    <t>TEMAS AD H</t>
  </si>
  <si>
    <t>IDSUB - IDMAK</t>
  </si>
  <si>
    <t>Surabaya - Makassar</t>
  </si>
  <si>
    <t>MPN-BOA</t>
  </si>
  <si>
    <t>IDSUB - IDBNA</t>
  </si>
  <si>
    <t>Surabaya - Benoa</t>
  </si>
  <si>
    <t>PPNP-SUBMK</t>
  </si>
  <si>
    <t>AD HOC HPA</t>
  </si>
  <si>
    <t>CHINA1</t>
  </si>
  <si>
    <t>AD HOC SSL</t>
  </si>
  <si>
    <t>0.6</t>
  </si>
  <si>
    <t>0.0</t>
  </si>
  <si>
    <t>NCI</t>
  </si>
  <si>
    <t>0.88</t>
  </si>
  <si>
    <t>0.89</t>
  </si>
  <si>
    <t>0.98</t>
  </si>
  <si>
    <t>05/2024</t>
  </si>
  <si>
    <t xml:space="preserve">CNXGA-CNDAL-CNQIN-KRKUV-CNNBG-CNNSA-VNSGN-MYTPP-IDJKT-IDSUB-PHMNL-PHBTG-JPHKT-CNTXG
</t>
  </si>
  <si>
    <t>TANTO INTIM LINE</t>
  </si>
  <si>
    <t>SALAM PACIFIC LINE</t>
  </si>
  <si>
    <t>TEMPURAN EMAS</t>
  </si>
  <si>
    <t>SERVICE MODE</t>
  </si>
  <si>
    <t>TOTAL CALL</t>
  </si>
  <si>
    <t>AVERAGE CD*</t>
  </si>
  <si>
    <t>BOXES*</t>
  </si>
  <si>
    <t>MOVES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</si>
</sst>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mm/yyyy"/>
    <numFmt numFmtId="166" formatCode="m/yyyy"/>
    <numFmt numFmtId="167" formatCode="[$Rp]#,##0"/>
    <numFmt numFmtId="168" formatCode="0.0"/>
    <numFmt numFmtId="169" formatCode="&quot;Rp&quot;#,##0"/>
    <numFmt numFmtId="170" formatCode="#,##0.0"/>
    <numFmt numFmtId="171" formatCode="[$Rp-421]#,##0"/>
    <numFmt numFmtId="172" formatCode="d\.m"/>
    <numFmt numFmtId="173" formatCode="0.000"/>
    <numFmt numFmtId="174" formatCode="dd\.mm"/>
    <numFmt numFmtId="175" formatCode="[$Rp-421]#,##0.00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2"/>
      <color theme="1"/>
      <name val="Arial"/>
      <scheme val="minor"/>
    </font>
    <font>
      <sz val="10"/>
      <color rgb="FF000000"/>
      <name val="Calibri"/>
    </font>
    <font>
      <sz val="10"/>
      <color rgb="FF000000"/>
      <name val="Arial"/>
      <scheme val="minor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0" borderId="1" xfId="0" quotePrefix="1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4" fillId="0" borderId="0" xfId="0" applyNumberFormat="1" applyFont="1"/>
    <xf numFmtId="0" fontId="1" fillId="2" borderId="0" xfId="0" applyFont="1" applyFill="1"/>
    <xf numFmtId="3" fontId="1" fillId="2" borderId="0" xfId="0" applyNumberFormat="1" applyFont="1" applyFill="1"/>
    <xf numFmtId="10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1" fillId="0" borderId="0" xfId="0" quotePrefix="1" applyFont="1"/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7" fontId="1" fillId="0" borderId="1" xfId="0" applyNumberFormat="1" applyFont="1" applyBorder="1"/>
    <xf numFmtId="168" fontId="1" fillId="0" borderId="1" xfId="0" applyNumberFormat="1" applyFont="1" applyBorder="1"/>
    <xf numFmtId="169" fontId="1" fillId="0" borderId="1" xfId="0" applyNumberFormat="1" applyFont="1" applyBorder="1"/>
    <xf numFmtId="1" fontId="1" fillId="0" borderId="1" xfId="0" applyNumberFormat="1" applyFont="1" applyBorder="1"/>
    <xf numFmtId="170" fontId="1" fillId="0" borderId="1" xfId="0" applyNumberFormat="1" applyFont="1" applyBorder="1"/>
    <xf numFmtId="171" fontId="1" fillId="0" borderId="1" xfId="0" applyNumberFormat="1" applyFont="1" applyBorder="1"/>
    <xf numFmtId="169" fontId="1" fillId="2" borderId="1" xfId="0" applyNumberFormat="1" applyFont="1" applyFill="1" applyBorder="1"/>
    <xf numFmtId="170" fontId="1" fillId="4" borderId="1" xfId="0" applyNumberFormat="1" applyFont="1" applyFill="1" applyBorder="1"/>
    <xf numFmtId="0" fontId="1" fillId="0" borderId="1" xfId="0" applyFont="1" applyBorder="1" applyAlignment="1">
      <alignment horizontal="right"/>
    </xf>
    <xf numFmtId="168" fontId="1" fillId="0" borderId="1" xfId="0" applyNumberFormat="1" applyFont="1" applyBorder="1" applyAlignment="1">
      <alignment horizontal="right"/>
    </xf>
    <xf numFmtId="172" fontId="1" fillId="0" borderId="1" xfId="0" applyNumberFormat="1" applyFont="1" applyBorder="1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167" fontId="6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/>
    </xf>
    <xf numFmtId="169" fontId="8" fillId="0" borderId="1" xfId="0" applyNumberFormat="1" applyFont="1" applyBorder="1"/>
    <xf numFmtId="0" fontId="8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7" fontId="8" fillId="0" borderId="1" xfId="0" applyNumberFormat="1" applyFont="1" applyBorder="1"/>
    <xf numFmtId="171" fontId="8" fillId="0" borderId="1" xfId="0" applyNumberFormat="1" applyFont="1" applyBorder="1"/>
    <xf numFmtId="1" fontId="8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73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167" fontId="8" fillId="0" borderId="3" xfId="0" applyNumberFormat="1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4" fontId="1" fillId="0" borderId="1" xfId="0" applyNumberFormat="1" applyFon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165" fontId="1" fillId="4" borderId="1" xfId="0" applyNumberFormat="1" applyFont="1" applyFill="1" applyBorder="1"/>
    <xf numFmtId="0" fontId="1" fillId="4" borderId="1" xfId="0" applyFont="1" applyFill="1" applyBorder="1"/>
    <xf numFmtId="0" fontId="6" fillId="4" borderId="1" xfId="0" applyFont="1" applyFill="1" applyBorder="1" applyAlignment="1">
      <alignment horizontal="center"/>
    </xf>
    <xf numFmtId="3" fontId="8" fillId="4" borderId="1" xfId="0" applyNumberFormat="1" applyFont="1" applyFill="1" applyBorder="1" applyAlignment="1">
      <alignment horizontal="right"/>
    </xf>
    <xf numFmtId="167" fontId="8" fillId="4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7" fontId="1" fillId="0" borderId="0" xfId="0" applyNumberFormat="1" applyFont="1"/>
    <xf numFmtId="3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70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7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9" fontId="8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0" xfId="0" applyNumberFormat="1" applyFont="1"/>
    <xf numFmtId="0" fontId="1" fillId="0" borderId="0" xfId="0" applyFont="1" applyAlignment="1">
      <alignment wrapText="1"/>
    </xf>
    <xf numFmtId="9" fontId="1" fillId="0" borderId="0" xfId="0" applyNumberFormat="1" applyFont="1"/>
    <xf numFmtId="1" fontId="1" fillId="0" borderId="0" xfId="0" applyNumberFormat="1" applyFont="1"/>
    <xf numFmtId="173" fontId="1" fillId="0" borderId="0" xfId="0" applyNumberFormat="1" applyFont="1"/>
    <xf numFmtId="0" fontId="1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9" fontId="12" fillId="5" borderId="4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 applyAlignment="1">
      <alignment horizontal="center"/>
    </xf>
    <xf numFmtId="1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/>
    <xf numFmtId="165" fontId="7" fillId="0" borderId="6" xfId="0" applyNumberFormat="1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166" fontId="7" fillId="0" borderId="6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166" fontId="5" fillId="0" borderId="0" xfId="0" applyNumberFormat="1" applyFont="1"/>
    <xf numFmtId="0" fontId="7" fillId="0" borderId="8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8" xfId="0" applyFont="1" applyBorder="1" applyAlignment="1">
      <alignment horizontal="center"/>
    </xf>
    <xf numFmtId="9" fontId="7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2" xfId="0" applyFont="1" applyBorder="1"/>
    <xf numFmtId="1" fontId="1" fillId="0" borderId="0" xfId="0" applyNumberFormat="1" applyFont="1" applyAlignment="1">
      <alignment horizontal="right"/>
    </xf>
    <xf numFmtId="0" fontId="6" fillId="5" borderId="10" xfId="0" applyFont="1" applyFill="1" applyBorder="1" applyAlignment="1">
      <alignment horizontal="center"/>
    </xf>
    <xf numFmtId="3" fontId="6" fillId="5" borderId="10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1" fontId="6" fillId="5" borderId="10" xfId="0" applyNumberFormat="1" applyFont="1" applyFill="1" applyBorder="1" applyAlignment="1">
      <alignment horizontal="right"/>
    </xf>
    <xf numFmtId="0" fontId="6" fillId="0" borderId="10" xfId="0" applyFont="1" applyBorder="1" applyAlignment="1">
      <alignment horizontal="center"/>
    </xf>
    <xf numFmtId="3" fontId="6" fillId="0" borderId="10" xfId="0" applyNumberFormat="1" applyFont="1" applyBorder="1" applyAlignment="1">
      <alignment horizontal="right"/>
    </xf>
    <xf numFmtId="1" fontId="6" fillId="2" borderId="10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6" fillId="5" borderId="10" xfId="0" applyFont="1" applyFill="1" applyBorder="1" applyAlignment="1">
      <alignment horizontal="right"/>
    </xf>
    <xf numFmtId="0" fontId="8" fillId="0" borderId="0" xfId="0" applyFont="1"/>
    <xf numFmtId="3" fontId="8" fillId="0" borderId="0" xfId="0" applyNumberFormat="1" applyFont="1"/>
    <xf numFmtId="1" fontId="8" fillId="0" borderId="0" xfId="0" applyNumberFormat="1" applyFont="1"/>
    <xf numFmtId="1" fontId="8" fillId="0" borderId="0" xfId="0" applyNumberFormat="1" applyFont="1" applyAlignment="1">
      <alignment horizontal="right"/>
    </xf>
    <xf numFmtId="0" fontId="2" fillId="0" borderId="0" xfId="0" applyFont="1"/>
    <xf numFmtId="3" fontId="8" fillId="5" borderId="10" xfId="0" applyNumberFormat="1" applyFont="1" applyFill="1" applyBorder="1" applyAlignment="1">
      <alignment horizontal="right"/>
    </xf>
    <xf numFmtId="167" fontId="8" fillId="2" borderId="1" xfId="0" applyNumberFormat="1" applyFont="1" applyFill="1" applyBorder="1"/>
    <xf numFmtId="0" fontId="8" fillId="2" borderId="10" xfId="0" applyFont="1" applyFill="1" applyBorder="1" applyAlignment="1">
      <alignment horizontal="right"/>
    </xf>
    <xf numFmtId="3" fontId="8" fillId="0" borderId="10" xfId="0" applyNumberFormat="1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5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right"/>
    </xf>
    <xf numFmtId="0" fontId="2" fillId="0" borderId="11" xfId="0" applyFont="1" applyBorder="1" applyAlignment="1">
      <alignment horizontal="center"/>
    </xf>
    <xf numFmtId="171" fontId="8" fillId="0" borderId="0" xfId="0" applyNumberFormat="1" applyFont="1"/>
    <xf numFmtId="175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175" fontId="1" fillId="0" borderId="1" xfId="0" applyNumberFormat="1" applyFont="1" applyBorder="1" applyAlignment="1">
      <alignment horizontal="right"/>
    </xf>
    <xf numFmtId="169" fontId="8" fillId="0" borderId="1" xfId="0" applyNumberFormat="1" applyFont="1" applyBorder="1" applyAlignment="1">
      <alignment horizontal="right"/>
    </xf>
    <xf numFmtId="0" fontId="2" fillId="5" borderId="11" xfId="0" applyFont="1" applyFill="1" applyBorder="1"/>
    <xf numFmtId="169" fontId="8" fillId="5" borderId="10" xfId="0" applyNumberFormat="1" applyFont="1" applyFill="1" applyBorder="1" applyAlignment="1">
      <alignment horizontal="right"/>
    </xf>
    <xf numFmtId="0" fontId="2" fillId="0" borderId="11" xfId="0" applyFont="1" applyBorder="1"/>
    <xf numFmtId="169" fontId="8" fillId="0" borderId="10" xfId="0" applyNumberFormat="1" applyFont="1" applyBorder="1" applyAlignment="1">
      <alignment horizontal="right"/>
    </xf>
    <xf numFmtId="3" fontId="3" fillId="3" borderId="1" xfId="0" applyNumberFormat="1" applyFont="1" applyFill="1" applyBorder="1"/>
    <xf numFmtId="169" fontId="3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center"/>
    </xf>
    <xf numFmtId="165" fontId="3" fillId="0" borderId="0" xfId="0" applyNumberFormat="1" applyFont="1"/>
    <xf numFmtId="166" fontId="3" fillId="0" borderId="0" xfId="0" applyNumberFormat="1" applyFont="1"/>
    <xf numFmtId="9" fontId="3" fillId="0" borderId="0" xfId="0" applyNumberFormat="1" applyFont="1"/>
    <xf numFmtId="0" fontId="3" fillId="0" borderId="8" xfId="0" applyFont="1" applyBorder="1"/>
    <xf numFmtId="165" fontId="3" fillId="0" borderId="9" xfId="0" applyNumberFormat="1" applyFont="1" applyBorder="1" applyAlignment="1">
      <alignment horizontal="right"/>
    </xf>
    <xf numFmtId="0" fontId="3" fillId="0" borderId="0" xfId="0" quotePrefix="1" applyFont="1"/>
    <xf numFmtId="172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49"/>
  <sheetViews>
    <sheetView tabSelected="1" workbookViewId="0"/>
  </sheetViews>
  <sheetFormatPr defaultColWidth="12.5703125" defaultRowHeight="15.75" customHeight="1"/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</row>
    <row r="2" spans="1:7">
      <c r="A2" s="5" t="s">
        <v>6</v>
      </c>
      <c r="B2" s="1">
        <f t="shared" ref="B2:B649" si="0">YEAR(A2)</f>
        <v>2022</v>
      </c>
      <c r="C2" s="1">
        <f t="shared" ref="C2:C649" si="1">MONTH(A2)</f>
        <v>1</v>
      </c>
      <c r="D2" s="2" t="s">
        <v>7</v>
      </c>
      <c r="E2" s="6">
        <v>12085</v>
      </c>
      <c r="F2" s="7">
        <f t="shared" ref="F2:F10" si="2">(E290-E2)/E290</f>
        <v>0.14641898573244808</v>
      </c>
    </row>
    <row r="3" spans="1:7">
      <c r="A3" s="5" t="s">
        <v>6</v>
      </c>
      <c r="B3" s="1">
        <f t="shared" si="0"/>
        <v>2022</v>
      </c>
      <c r="C3" s="1">
        <f t="shared" si="1"/>
        <v>1</v>
      </c>
      <c r="D3" s="2" t="s">
        <v>8</v>
      </c>
      <c r="E3" s="6">
        <v>12494</v>
      </c>
      <c r="F3" s="7">
        <f t="shared" si="2"/>
        <v>8.139107418572164E-2</v>
      </c>
    </row>
    <row r="4" spans="1:7">
      <c r="A4" s="1" t="s">
        <v>6</v>
      </c>
      <c r="B4" s="1">
        <f t="shared" si="0"/>
        <v>2022</v>
      </c>
      <c r="C4" s="1">
        <f t="shared" si="1"/>
        <v>1</v>
      </c>
      <c r="D4" s="2" t="s">
        <v>9</v>
      </c>
      <c r="E4" s="6">
        <v>14065</v>
      </c>
      <c r="F4" s="7">
        <f t="shared" si="2"/>
        <v>-0.42228739002932553</v>
      </c>
    </row>
    <row r="5" spans="1:7">
      <c r="A5" s="1" t="s">
        <v>6</v>
      </c>
      <c r="B5" s="1">
        <f t="shared" si="0"/>
        <v>2022</v>
      </c>
      <c r="C5" s="1">
        <f t="shared" si="1"/>
        <v>1</v>
      </c>
      <c r="D5" s="2" t="s">
        <v>10</v>
      </c>
      <c r="E5" s="6">
        <v>11120</v>
      </c>
      <c r="F5" s="7">
        <f t="shared" si="2"/>
        <v>-3.403384787055979E-2</v>
      </c>
    </row>
    <row r="6" spans="1:7">
      <c r="A6" s="1" t="s">
        <v>6</v>
      </c>
      <c r="B6" s="1">
        <f t="shared" si="0"/>
        <v>2022</v>
      </c>
      <c r="C6" s="1">
        <f t="shared" si="1"/>
        <v>1</v>
      </c>
      <c r="D6" s="2" t="s">
        <v>11</v>
      </c>
      <c r="E6" s="6">
        <v>12015</v>
      </c>
      <c r="F6" s="7">
        <f t="shared" si="2"/>
        <v>-0.13434667673716011</v>
      </c>
    </row>
    <row r="7" spans="1:7">
      <c r="A7" s="1" t="s">
        <v>6</v>
      </c>
      <c r="B7" s="1">
        <f t="shared" si="0"/>
        <v>2022</v>
      </c>
      <c r="C7" s="1">
        <f t="shared" si="1"/>
        <v>1</v>
      </c>
      <c r="D7" s="2" t="s">
        <v>12</v>
      </c>
      <c r="E7" s="6">
        <v>6221</v>
      </c>
      <c r="F7" s="7">
        <f t="shared" si="2"/>
        <v>0.12157582603784242</v>
      </c>
    </row>
    <row r="8" spans="1:7">
      <c r="A8" s="1" t="s">
        <v>6</v>
      </c>
      <c r="B8" s="1">
        <f t="shared" si="0"/>
        <v>2022</v>
      </c>
      <c r="C8" s="1">
        <f t="shared" si="1"/>
        <v>1</v>
      </c>
      <c r="D8" s="2" t="s">
        <v>13</v>
      </c>
      <c r="E8" s="6">
        <v>10768</v>
      </c>
      <c r="F8" s="7">
        <f t="shared" si="2"/>
        <v>-0.54801610120759059</v>
      </c>
    </row>
    <row r="9" spans="1:7">
      <c r="A9" s="1" t="s">
        <v>6</v>
      </c>
      <c r="B9" s="1">
        <f t="shared" si="0"/>
        <v>2022</v>
      </c>
      <c r="C9" s="1">
        <f t="shared" si="1"/>
        <v>1</v>
      </c>
      <c r="D9" s="2" t="s">
        <v>14</v>
      </c>
      <c r="E9" s="6">
        <v>5100</v>
      </c>
      <c r="F9" s="7">
        <f t="shared" si="2"/>
        <v>4.3690230639414962E-2</v>
      </c>
    </row>
    <row r="10" spans="1:7">
      <c r="A10" s="1" t="s">
        <v>6</v>
      </c>
      <c r="B10" s="1">
        <f t="shared" si="0"/>
        <v>2022</v>
      </c>
      <c r="C10" s="1">
        <f t="shared" si="1"/>
        <v>1</v>
      </c>
      <c r="D10" s="2" t="s">
        <v>15</v>
      </c>
      <c r="E10" s="6">
        <v>618</v>
      </c>
      <c r="F10" s="7">
        <f t="shared" si="2"/>
        <v>0.8179139658220389</v>
      </c>
    </row>
    <row r="11" spans="1:7">
      <c r="A11" s="1" t="s">
        <v>6</v>
      </c>
      <c r="B11" s="1">
        <f t="shared" si="0"/>
        <v>2022</v>
      </c>
      <c r="C11" s="1">
        <f t="shared" si="1"/>
        <v>1</v>
      </c>
      <c r="D11" s="2" t="s">
        <v>16</v>
      </c>
      <c r="E11" s="6">
        <v>0</v>
      </c>
      <c r="F11" s="8">
        <v>0</v>
      </c>
    </row>
    <row r="12" spans="1:7">
      <c r="A12" s="1" t="s">
        <v>6</v>
      </c>
      <c r="B12" s="1">
        <f t="shared" si="0"/>
        <v>2022</v>
      </c>
      <c r="C12" s="1">
        <f t="shared" si="1"/>
        <v>1</v>
      </c>
      <c r="D12" s="2" t="s">
        <v>17</v>
      </c>
      <c r="E12" s="6">
        <v>4174</v>
      </c>
      <c r="F12" s="7">
        <f t="shared" ref="F12:F18" si="3">(E300-E12)/E300</f>
        <v>-0.23967923967923968</v>
      </c>
    </row>
    <row r="13" spans="1:7">
      <c r="A13" s="1" t="s">
        <v>6</v>
      </c>
      <c r="B13" s="1">
        <f t="shared" si="0"/>
        <v>2022</v>
      </c>
      <c r="C13" s="1">
        <f t="shared" si="1"/>
        <v>1</v>
      </c>
      <c r="D13" s="2" t="s">
        <v>18</v>
      </c>
      <c r="E13" s="6">
        <v>3316</v>
      </c>
      <c r="F13" s="7">
        <f t="shared" si="3"/>
        <v>-0.97852028639618138</v>
      </c>
    </row>
    <row r="14" spans="1:7">
      <c r="A14" s="1" t="s">
        <v>6</v>
      </c>
      <c r="B14" s="1">
        <f t="shared" si="0"/>
        <v>2022</v>
      </c>
      <c r="C14" s="1">
        <f t="shared" si="1"/>
        <v>1</v>
      </c>
      <c r="D14" s="2" t="s">
        <v>19</v>
      </c>
      <c r="E14" s="6">
        <v>2275</v>
      </c>
      <c r="F14" s="7">
        <f t="shared" si="3"/>
        <v>0.12968630451415455</v>
      </c>
    </row>
    <row r="15" spans="1:7">
      <c r="A15" s="1" t="s">
        <v>6</v>
      </c>
      <c r="B15" s="1">
        <f t="shared" si="0"/>
        <v>2022</v>
      </c>
      <c r="C15" s="1">
        <f t="shared" si="1"/>
        <v>1</v>
      </c>
      <c r="D15" s="2" t="s">
        <v>20</v>
      </c>
      <c r="E15" s="6">
        <v>1186</v>
      </c>
      <c r="F15" s="7">
        <f t="shared" si="3"/>
        <v>0.2263535551206784</v>
      </c>
    </row>
    <row r="16" spans="1:7">
      <c r="A16" s="1" t="s">
        <v>6</v>
      </c>
      <c r="B16" s="1">
        <f t="shared" si="0"/>
        <v>2022</v>
      </c>
      <c r="C16" s="1">
        <f t="shared" si="1"/>
        <v>1</v>
      </c>
      <c r="D16" s="2" t="s">
        <v>21</v>
      </c>
      <c r="E16" s="6">
        <v>2347</v>
      </c>
      <c r="F16" s="7">
        <f t="shared" si="3"/>
        <v>0.2756172839506173</v>
      </c>
    </row>
    <row r="17" spans="1:6">
      <c r="A17" s="1" t="s">
        <v>6</v>
      </c>
      <c r="B17" s="1">
        <f t="shared" si="0"/>
        <v>2022</v>
      </c>
      <c r="C17" s="1">
        <f t="shared" si="1"/>
        <v>1</v>
      </c>
      <c r="D17" s="2" t="s">
        <v>22</v>
      </c>
      <c r="E17" s="6">
        <v>2157</v>
      </c>
      <c r="F17" s="7">
        <f t="shared" si="3"/>
        <v>-1.5678571428571428</v>
      </c>
    </row>
    <row r="18" spans="1:6">
      <c r="A18" s="1" t="s">
        <v>6</v>
      </c>
      <c r="B18" s="1">
        <f t="shared" si="0"/>
        <v>2022</v>
      </c>
      <c r="C18" s="1">
        <f t="shared" si="1"/>
        <v>1</v>
      </c>
      <c r="D18" s="2" t="s">
        <v>23</v>
      </c>
      <c r="E18" s="6">
        <v>2262</v>
      </c>
      <c r="F18" s="7">
        <f t="shared" si="3"/>
        <v>-1.2987804878048781</v>
      </c>
    </row>
    <row r="19" spans="1:6">
      <c r="A19" s="1" t="s">
        <v>6</v>
      </c>
      <c r="B19" s="1">
        <f t="shared" si="0"/>
        <v>2022</v>
      </c>
      <c r="C19" s="1">
        <f t="shared" si="1"/>
        <v>1</v>
      </c>
      <c r="D19" s="2" t="s">
        <v>24</v>
      </c>
      <c r="E19" s="6">
        <v>0</v>
      </c>
      <c r="F19" s="8">
        <v>0</v>
      </c>
    </row>
    <row r="20" spans="1:6">
      <c r="A20" s="1" t="s">
        <v>6</v>
      </c>
      <c r="B20" s="1">
        <f t="shared" si="0"/>
        <v>2022</v>
      </c>
      <c r="C20" s="1">
        <f t="shared" si="1"/>
        <v>1</v>
      </c>
      <c r="D20" s="2" t="s">
        <v>25</v>
      </c>
      <c r="E20" s="6">
        <v>1559</v>
      </c>
      <c r="F20" s="7">
        <f t="shared" ref="F20:F21" si="4">(E308-E20)/E308</f>
        <v>-2.6425233644859811</v>
      </c>
    </row>
    <row r="21" spans="1:6">
      <c r="A21" s="1" t="s">
        <v>6</v>
      </c>
      <c r="B21" s="1">
        <f t="shared" si="0"/>
        <v>2022</v>
      </c>
      <c r="C21" s="1">
        <f t="shared" si="1"/>
        <v>1</v>
      </c>
      <c r="D21" s="2" t="s">
        <v>26</v>
      </c>
      <c r="E21" s="6">
        <v>1542</v>
      </c>
      <c r="F21" s="7">
        <f t="shared" si="4"/>
        <v>-6.7487437185929648</v>
      </c>
    </row>
    <row r="22" spans="1:6">
      <c r="A22" s="1" t="s">
        <v>6</v>
      </c>
      <c r="B22" s="1">
        <f t="shared" si="0"/>
        <v>2022</v>
      </c>
      <c r="C22" s="1">
        <f t="shared" si="1"/>
        <v>1</v>
      </c>
      <c r="D22" s="2" t="s">
        <v>27</v>
      </c>
      <c r="E22" s="6">
        <v>255</v>
      </c>
      <c r="F22" s="8">
        <v>0</v>
      </c>
    </row>
    <row r="23" spans="1:6">
      <c r="A23" s="1" t="s">
        <v>6</v>
      </c>
      <c r="B23" s="1">
        <f t="shared" si="0"/>
        <v>2022</v>
      </c>
      <c r="C23" s="1">
        <f t="shared" si="1"/>
        <v>1</v>
      </c>
      <c r="D23" s="2" t="s">
        <v>28</v>
      </c>
      <c r="E23" s="6">
        <v>0</v>
      </c>
      <c r="F23" s="8">
        <v>0</v>
      </c>
    </row>
    <row r="24" spans="1:6">
      <c r="A24" s="1" t="s">
        <v>6</v>
      </c>
      <c r="B24" s="1">
        <f t="shared" si="0"/>
        <v>2022</v>
      </c>
      <c r="C24" s="1">
        <f t="shared" si="1"/>
        <v>1</v>
      </c>
      <c r="D24" s="2" t="s">
        <v>29</v>
      </c>
      <c r="E24" s="6">
        <v>0</v>
      </c>
      <c r="F24" s="8">
        <v>0</v>
      </c>
    </row>
    <row r="25" spans="1:6">
      <c r="A25" s="9">
        <v>44593</v>
      </c>
      <c r="B25" s="1">
        <f t="shared" si="0"/>
        <v>2022</v>
      </c>
      <c r="C25" s="1">
        <f t="shared" si="1"/>
        <v>2</v>
      </c>
      <c r="D25" s="2" t="s">
        <v>30</v>
      </c>
      <c r="E25" s="6">
        <v>0</v>
      </c>
      <c r="F25" s="8">
        <v>0</v>
      </c>
    </row>
    <row r="26" spans="1:6">
      <c r="A26" s="9">
        <v>44594</v>
      </c>
      <c r="B26" s="1">
        <f t="shared" si="0"/>
        <v>2022</v>
      </c>
      <c r="C26" s="1">
        <f t="shared" si="1"/>
        <v>2</v>
      </c>
      <c r="D26" s="2" t="s">
        <v>7</v>
      </c>
      <c r="E26" s="6">
        <v>25419</v>
      </c>
      <c r="F26" s="7">
        <f t="shared" ref="F26:F34" si="5">(E314-E26)/E314</f>
        <v>2.8956717729304349E-2</v>
      </c>
    </row>
    <row r="27" spans="1:6">
      <c r="A27" s="9">
        <v>44595</v>
      </c>
      <c r="B27" s="1">
        <f t="shared" si="0"/>
        <v>2022</v>
      </c>
      <c r="C27" s="1">
        <f t="shared" si="1"/>
        <v>2</v>
      </c>
      <c r="D27" s="2" t="s">
        <v>8</v>
      </c>
      <c r="E27" s="6">
        <v>26036</v>
      </c>
      <c r="F27" s="7">
        <f t="shared" si="5"/>
        <v>1.2291350531107739E-2</v>
      </c>
    </row>
    <row r="28" spans="1:6">
      <c r="A28" s="9">
        <v>44596</v>
      </c>
      <c r="B28" s="1">
        <f t="shared" si="0"/>
        <v>2022</v>
      </c>
      <c r="C28" s="1">
        <f t="shared" si="1"/>
        <v>2</v>
      </c>
      <c r="D28" s="2" t="s">
        <v>9</v>
      </c>
      <c r="E28" s="6">
        <v>27297</v>
      </c>
      <c r="F28" s="7">
        <f t="shared" si="5"/>
        <v>-0.17240046385775029</v>
      </c>
    </row>
    <row r="29" spans="1:6">
      <c r="A29" s="9">
        <v>44597</v>
      </c>
      <c r="B29" s="1">
        <f t="shared" si="0"/>
        <v>2022</v>
      </c>
      <c r="C29" s="1">
        <f t="shared" si="1"/>
        <v>2</v>
      </c>
      <c r="D29" s="2" t="s">
        <v>10</v>
      </c>
      <c r="E29" s="6">
        <v>22751</v>
      </c>
      <c r="F29" s="7">
        <f t="shared" si="5"/>
        <v>-0.20305642218814446</v>
      </c>
    </row>
    <row r="30" spans="1:6">
      <c r="A30" s="9">
        <v>44598</v>
      </c>
      <c r="B30" s="1">
        <f t="shared" si="0"/>
        <v>2022</v>
      </c>
      <c r="C30" s="1">
        <f t="shared" si="1"/>
        <v>2</v>
      </c>
      <c r="D30" s="2" t="s">
        <v>11</v>
      </c>
      <c r="E30" s="6">
        <v>21359</v>
      </c>
      <c r="F30" s="7">
        <f t="shared" si="5"/>
        <v>-7.2885272252360855E-2</v>
      </c>
    </row>
    <row r="31" spans="1:6">
      <c r="A31" s="9">
        <v>44599</v>
      </c>
      <c r="B31" s="1">
        <f t="shared" si="0"/>
        <v>2022</v>
      </c>
      <c r="C31" s="1">
        <f t="shared" si="1"/>
        <v>2</v>
      </c>
      <c r="D31" s="2" t="s">
        <v>12</v>
      </c>
      <c r="E31" s="6">
        <v>13712</v>
      </c>
      <c r="F31" s="7">
        <f t="shared" si="5"/>
        <v>2.2874652604574931E-2</v>
      </c>
    </row>
    <row r="32" spans="1:6">
      <c r="A32" s="9">
        <v>44600</v>
      </c>
      <c r="B32" s="1">
        <f t="shared" si="0"/>
        <v>2022</v>
      </c>
      <c r="C32" s="1">
        <f t="shared" si="1"/>
        <v>2</v>
      </c>
      <c r="D32" s="2" t="s">
        <v>13</v>
      </c>
      <c r="E32" s="6">
        <v>23893</v>
      </c>
      <c r="F32" s="7">
        <f t="shared" si="5"/>
        <v>-0.67964850615114236</v>
      </c>
    </row>
    <row r="33" spans="1:6">
      <c r="A33" s="9">
        <v>44601</v>
      </c>
      <c r="B33" s="1">
        <f t="shared" si="0"/>
        <v>2022</v>
      </c>
      <c r="C33" s="1">
        <f t="shared" si="1"/>
        <v>2</v>
      </c>
      <c r="D33" s="2" t="s">
        <v>14</v>
      </c>
      <c r="E33" s="6">
        <v>9161</v>
      </c>
      <c r="F33" s="7">
        <f t="shared" si="5"/>
        <v>0.1717747039146551</v>
      </c>
    </row>
    <row r="34" spans="1:6">
      <c r="A34" s="9">
        <v>44602</v>
      </c>
      <c r="B34" s="1">
        <f t="shared" si="0"/>
        <v>2022</v>
      </c>
      <c r="C34" s="1">
        <f t="shared" si="1"/>
        <v>2</v>
      </c>
      <c r="D34" s="2" t="s">
        <v>15</v>
      </c>
      <c r="E34" s="6">
        <v>1061</v>
      </c>
      <c r="F34" s="7">
        <f t="shared" si="5"/>
        <v>0.84415393654524085</v>
      </c>
    </row>
    <row r="35" spans="1:6">
      <c r="A35" s="9">
        <v>44603</v>
      </c>
      <c r="B35" s="1">
        <f t="shared" si="0"/>
        <v>2022</v>
      </c>
      <c r="C35" s="1">
        <f t="shared" si="1"/>
        <v>2</v>
      </c>
      <c r="D35" s="2" t="s">
        <v>16</v>
      </c>
      <c r="E35" s="6">
        <v>0</v>
      </c>
      <c r="F35" s="8">
        <v>0</v>
      </c>
    </row>
    <row r="36" spans="1:6">
      <c r="A36" s="9">
        <v>44604</v>
      </c>
      <c r="B36" s="1">
        <f t="shared" si="0"/>
        <v>2022</v>
      </c>
      <c r="C36" s="1">
        <f t="shared" si="1"/>
        <v>2</v>
      </c>
      <c r="D36" s="2" t="s">
        <v>17</v>
      </c>
      <c r="E36" s="6">
        <v>7321</v>
      </c>
      <c r="F36" s="7">
        <f t="shared" ref="F36:F46" si="6">(E324-E36)/E324</f>
        <v>-0.23311436752568637</v>
      </c>
    </row>
    <row r="37" spans="1:6">
      <c r="A37" s="9">
        <v>44605</v>
      </c>
      <c r="B37" s="1">
        <f t="shared" si="0"/>
        <v>2022</v>
      </c>
      <c r="C37" s="1">
        <f t="shared" si="1"/>
        <v>2</v>
      </c>
      <c r="D37" s="2" t="s">
        <v>18</v>
      </c>
      <c r="E37" s="6">
        <v>5047</v>
      </c>
      <c r="F37" s="7">
        <f t="shared" si="6"/>
        <v>-0.48005865102639295</v>
      </c>
    </row>
    <row r="38" spans="1:6">
      <c r="A38" s="9">
        <v>44606</v>
      </c>
      <c r="B38" s="1">
        <f t="shared" si="0"/>
        <v>2022</v>
      </c>
      <c r="C38" s="1">
        <f t="shared" si="1"/>
        <v>2</v>
      </c>
      <c r="D38" s="2" t="s">
        <v>19</v>
      </c>
      <c r="E38" s="6">
        <v>4176</v>
      </c>
      <c r="F38" s="7">
        <f t="shared" si="6"/>
        <v>0.21415129845690628</v>
      </c>
    </row>
    <row r="39" spans="1:6">
      <c r="A39" s="9">
        <v>44607</v>
      </c>
      <c r="B39" s="1">
        <f t="shared" si="0"/>
        <v>2022</v>
      </c>
      <c r="C39" s="1">
        <f t="shared" si="1"/>
        <v>2</v>
      </c>
      <c r="D39" s="2" t="s">
        <v>20</v>
      </c>
      <c r="E39" s="6">
        <v>2395</v>
      </c>
      <c r="F39" s="7">
        <f t="shared" si="6"/>
        <v>0.25851393188854488</v>
      </c>
    </row>
    <row r="40" spans="1:6">
      <c r="A40" s="9">
        <v>44608</v>
      </c>
      <c r="B40" s="1">
        <f t="shared" si="0"/>
        <v>2022</v>
      </c>
      <c r="C40" s="1">
        <f t="shared" si="1"/>
        <v>2</v>
      </c>
      <c r="D40" s="2" t="s">
        <v>21</v>
      </c>
      <c r="E40" s="6">
        <v>4257</v>
      </c>
      <c r="F40" s="7">
        <f t="shared" si="6"/>
        <v>0.32126913265306123</v>
      </c>
    </row>
    <row r="41" spans="1:6">
      <c r="A41" s="9">
        <v>44609</v>
      </c>
      <c r="B41" s="1">
        <f t="shared" si="0"/>
        <v>2022</v>
      </c>
      <c r="C41" s="1">
        <f t="shared" si="1"/>
        <v>2</v>
      </c>
      <c r="D41" s="2" t="s">
        <v>22</v>
      </c>
      <c r="E41" s="6">
        <v>3774</v>
      </c>
      <c r="F41" s="7">
        <f t="shared" si="6"/>
        <v>-1.2160892542571933</v>
      </c>
    </row>
    <row r="42" spans="1:6">
      <c r="A42" s="9">
        <v>44610</v>
      </c>
      <c r="B42" s="1">
        <f t="shared" si="0"/>
        <v>2022</v>
      </c>
      <c r="C42" s="1">
        <f t="shared" si="1"/>
        <v>2</v>
      </c>
      <c r="D42" s="2" t="s">
        <v>23</v>
      </c>
      <c r="E42" s="6">
        <v>4322</v>
      </c>
      <c r="F42" s="7">
        <f t="shared" si="6"/>
        <v>-0.76624438087454028</v>
      </c>
    </row>
    <row r="43" spans="1:6">
      <c r="A43" s="9">
        <v>44611</v>
      </c>
      <c r="B43" s="1">
        <f t="shared" si="0"/>
        <v>2022</v>
      </c>
      <c r="C43" s="1">
        <f t="shared" si="1"/>
        <v>2</v>
      </c>
      <c r="D43" s="2" t="s">
        <v>24</v>
      </c>
      <c r="E43" s="6">
        <v>0</v>
      </c>
      <c r="F43" s="7">
        <f t="shared" si="6"/>
        <v>1</v>
      </c>
    </row>
    <row r="44" spans="1:6">
      <c r="A44" s="9">
        <v>44612</v>
      </c>
      <c r="B44" s="1">
        <f t="shared" si="0"/>
        <v>2022</v>
      </c>
      <c r="C44" s="1">
        <f t="shared" si="1"/>
        <v>2</v>
      </c>
      <c r="D44" s="2" t="s">
        <v>25</v>
      </c>
      <c r="E44" s="6">
        <v>3142</v>
      </c>
      <c r="F44" s="7">
        <f t="shared" si="6"/>
        <v>-2.5664018161180477</v>
      </c>
    </row>
    <row r="45" spans="1:6">
      <c r="A45" s="9">
        <v>44613</v>
      </c>
      <c r="B45" s="1">
        <f t="shared" si="0"/>
        <v>2022</v>
      </c>
      <c r="C45" s="1">
        <f t="shared" si="1"/>
        <v>2</v>
      </c>
      <c r="D45" s="2" t="s">
        <v>26</v>
      </c>
      <c r="E45" s="6">
        <v>2448</v>
      </c>
      <c r="F45" s="7">
        <f t="shared" si="6"/>
        <v>-4.4400000000000004</v>
      </c>
    </row>
    <row r="46" spans="1:6">
      <c r="A46" s="9">
        <v>44614</v>
      </c>
      <c r="B46" s="1">
        <f t="shared" si="0"/>
        <v>2022</v>
      </c>
      <c r="C46" s="1">
        <f t="shared" si="1"/>
        <v>2</v>
      </c>
      <c r="D46" s="2" t="s">
        <v>27</v>
      </c>
      <c r="E46" s="6">
        <v>261</v>
      </c>
      <c r="F46" s="7">
        <f t="shared" si="6"/>
        <v>-2.2625000000000002</v>
      </c>
    </row>
    <row r="47" spans="1:6">
      <c r="A47" s="9">
        <v>44615</v>
      </c>
      <c r="B47" s="1">
        <f t="shared" si="0"/>
        <v>2022</v>
      </c>
      <c r="C47" s="1">
        <f t="shared" si="1"/>
        <v>2</v>
      </c>
      <c r="D47" s="2" t="s">
        <v>28</v>
      </c>
      <c r="E47" s="6">
        <v>0</v>
      </c>
      <c r="F47" s="8">
        <v>0</v>
      </c>
    </row>
    <row r="48" spans="1:6">
      <c r="A48" s="9">
        <v>44616</v>
      </c>
      <c r="B48" s="1">
        <f t="shared" si="0"/>
        <v>2022</v>
      </c>
      <c r="C48" s="1">
        <f t="shared" si="1"/>
        <v>2</v>
      </c>
      <c r="D48" s="2" t="s">
        <v>29</v>
      </c>
      <c r="E48" s="6">
        <v>206</v>
      </c>
      <c r="F48" s="7">
        <f>(E336-E48)/E336</f>
        <v>-1.9428571428571428</v>
      </c>
    </row>
    <row r="49" spans="1:6">
      <c r="A49" s="9">
        <v>44617</v>
      </c>
      <c r="B49" s="1">
        <f t="shared" si="0"/>
        <v>2022</v>
      </c>
      <c r="C49" s="1">
        <f t="shared" si="1"/>
        <v>2</v>
      </c>
      <c r="D49" s="2" t="s">
        <v>30</v>
      </c>
      <c r="E49" s="6">
        <v>0</v>
      </c>
      <c r="F49" s="8">
        <v>0</v>
      </c>
    </row>
    <row r="50" spans="1:6">
      <c r="A50" s="9">
        <v>44621</v>
      </c>
      <c r="B50" s="1">
        <f t="shared" si="0"/>
        <v>2022</v>
      </c>
      <c r="C50" s="1">
        <f t="shared" si="1"/>
        <v>3</v>
      </c>
      <c r="D50" s="2" t="s">
        <v>7</v>
      </c>
      <c r="E50" s="6">
        <v>34294</v>
      </c>
      <c r="F50" s="7">
        <f t="shared" ref="F50:F70" si="7">(E338-E50)/E338</f>
        <v>0.19408737339318027</v>
      </c>
    </row>
    <row r="51" spans="1:6">
      <c r="A51" s="9">
        <v>44622</v>
      </c>
      <c r="B51" s="1">
        <f t="shared" si="0"/>
        <v>2022</v>
      </c>
      <c r="C51" s="1">
        <f t="shared" si="1"/>
        <v>3</v>
      </c>
      <c r="D51" s="2" t="s">
        <v>8</v>
      </c>
      <c r="E51" s="6">
        <v>38881</v>
      </c>
      <c r="F51" s="7">
        <f t="shared" si="7"/>
        <v>0.11388395095492046</v>
      </c>
    </row>
    <row r="52" spans="1:6">
      <c r="A52" s="9">
        <v>44623</v>
      </c>
      <c r="B52" s="1">
        <f t="shared" si="0"/>
        <v>2022</v>
      </c>
      <c r="C52" s="1">
        <f t="shared" si="1"/>
        <v>3</v>
      </c>
      <c r="D52" s="2" t="s">
        <v>9</v>
      </c>
      <c r="E52" s="6">
        <v>41446</v>
      </c>
      <c r="F52" s="7">
        <f t="shared" si="7"/>
        <v>-0.14019257221458048</v>
      </c>
    </row>
    <row r="53" spans="1:6">
      <c r="A53" s="9">
        <v>44624</v>
      </c>
      <c r="B53" s="1">
        <f t="shared" si="0"/>
        <v>2022</v>
      </c>
      <c r="C53" s="1">
        <f t="shared" si="1"/>
        <v>3</v>
      </c>
      <c r="D53" s="2" t="s">
        <v>10</v>
      </c>
      <c r="E53" s="6">
        <v>32928</v>
      </c>
      <c r="F53" s="7">
        <f t="shared" si="7"/>
        <v>-0.11055649241146712</v>
      </c>
    </row>
    <row r="54" spans="1:6">
      <c r="A54" s="9">
        <v>44625</v>
      </c>
      <c r="B54" s="1">
        <f t="shared" si="0"/>
        <v>2022</v>
      </c>
      <c r="C54" s="1">
        <f t="shared" si="1"/>
        <v>3</v>
      </c>
      <c r="D54" s="2" t="s">
        <v>11</v>
      </c>
      <c r="E54" s="6">
        <v>32622</v>
      </c>
      <c r="F54" s="7">
        <f t="shared" si="7"/>
        <v>-3.2243774325222289E-2</v>
      </c>
    </row>
    <row r="55" spans="1:6">
      <c r="A55" s="9">
        <v>44626</v>
      </c>
      <c r="B55" s="1">
        <f t="shared" si="0"/>
        <v>2022</v>
      </c>
      <c r="C55" s="1">
        <f t="shared" si="1"/>
        <v>3</v>
      </c>
      <c r="D55" s="2" t="s">
        <v>12</v>
      </c>
      <c r="E55" s="6">
        <v>17560</v>
      </c>
      <c r="F55" s="7">
        <f t="shared" si="7"/>
        <v>0.29267703214372032</v>
      </c>
    </row>
    <row r="56" spans="1:6">
      <c r="A56" s="9">
        <v>44627</v>
      </c>
      <c r="B56" s="1">
        <f t="shared" si="0"/>
        <v>2022</v>
      </c>
      <c r="C56" s="1">
        <f t="shared" si="1"/>
        <v>3</v>
      </c>
      <c r="D56" s="2" t="s">
        <v>13</v>
      </c>
      <c r="E56" s="6">
        <v>34027</v>
      </c>
      <c r="F56" s="7">
        <f t="shared" si="7"/>
        <v>-0.55338963706916233</v>
      </c>
    </row>
    <row r="57" spans="1:6">
      <c r="A57" s="9">
        <v>44628</v>
      </c>
      <c r="B57" s="1">
        <f t="shared" si="0"/>
        <v>2022</v>
      </c>
      <c r="C57" s="1">
        <f t="shared" si="1"/>
        <v>3</v>
      </c>
      <c r="D57" s="2" t="s">
        <v>14</v>
      </c>
      <c r="E57" s="6">
        <v>14084</v>
      </c>
      <c r="F57" s="7">
        <f t="shared" si="7"/>
        <v>0.18353623188405796</v>
      </c>
    </row>
    <row r="58" spans="1:6">
      <c r="A58" s="9">
        <v>44629</v>
      </c>
      <c r="B58" s="1">
        <f t="shared" si="0"/>
        <v>2022</v>
      </c>
      <c r="C58" s="1">
        <f t="shared" si="1"/>
        <v>3</v>
      </c>
      <c r="D58" s="2" t="s">
        <v>15</v>
      </c>
      <c r="E58" s="6">
        <v>2672</v>
      </c>
      <c r="F58" s="7">
        <f t="shared" si="7"/>
        <v>0.73229135357178643</v>
      </c>
    </row>
    <row r="59" spans="1:6">
      <c r="A59" s="9">
        <v>44630</v>
      </c>
      <c r="B59" s="1">
        <f t="shared" si="0"/>
        <v>2022</v>
      </c>
      <c r="C59" s="1">
        <f t="shared" si="1"/>
        <v>3</v>
      </c>
      <c r="D59" s="2" t="s">
        <v>16</v>
      </c>
      <c r="E59" s="6">
        <v>6210</v>
      </c>
      <c r="F59" s="7">
        <f t="shared" si="7"/>
        <v>0.32257008836042328</v>
      </c>
    </row>
    <row r="60" spans="1:6">
      <c r="A60" s="9">
        <v>44631</v>
      </c>
      <c r="B60" s="1">
        <f t="shared" si="0"/>
        <v>2022</v>
      </c>
      <c r="C60" s="1">
        <f t="shared" si="1"/>
        <v>3</v>
      </c>
      <c r="D60" s="2" t="s">
        <v>17</v>
      </c>
      <c r="E60" s="6">
        <v>10680</v>
      </c>
      <c r="F60" s="7">
        <f t="shared" si="7"/>
        <v>-0.17311072056239016</v>
      </c>
    </row>
    <row r="61" spans="1:6">
      <c r="A61" s="9">
        <v>44632</v>
      </c>
      <c r="B61" s="1">
        <f t="shared" si="0"/>
        <v>2022</v>
      </c>
      <c r="C61" s="1">
        <f t="shared" si="1"/>
        <v>3</v>
      </c>
      <c r="D61" s="2" t="s">
        <v>18</v>
      </c>
      <c r="E61" s="6">
        <v>8354</v>
      </c>
      <c r="F61" s="7">
        <f t="shared" si="7"/>
        <v>-0.46330355578910493</v>
      </c>
    </row>
    <row r="62" spans="1:6">
      <c r="A62" s="9">
        <v>44633</v>
      </c>
      <c r="B62" s="1">
        <f t="shared" si="0"/>
        <v>2022</v>
      </c>
      <c r="C62" s="1">
        <f t="shared" si="1"/>
        <v>3</v>
      </c>
      <c r="D62" s="2" t="s">
        <v>19</v>
      </c>
      <c r="E62" s="6">
        <v>7456</v>
      </c>
      <c r="F62" s="7">
        <f t="shared" si="7"/>
        <v>5.2604828462515886E-2</v>
      </c>
    </row>
    <row r="63" spans="1:6">
      <c r="A63" s="9">
        <v>44634</v>
      </c>
      <c r="B63" s="1">
        <f t="shared" si="0"/>
        <v>2022</v>
      </c>
      <c r="C63" s="1">
        <f t="shared" si="1"/>
        <v>3</v>
      </c>
      <c r="D63" s="2" t="s">
        <v>20</v>
      </c>
      <c r="E63" s="6">
        <v>3437</v>
      </c>
      <c r="F63" s="7">
        <f t="shared" si="7"/>
        <v>0.34707446808510639</v>
      </c>
    </row>
    <row r="64" spans="1:6">
      <c r="A64" s="9">
        <v>44635</v>
      </c>
      <c r="B64" s="1">
        <f t="shared" si="0"/>
        <v>2022</v>
      </c>
      <c r="C64" s="1">
        <f t="shared" si="1"/>
        <v>3</v>
      </c>
      <c r="D64" s="2" t="s">
        <v>21</v>
      </c>
      <c r="E64" s="6">
        <v>9910</v>
      </c>
      <c r="F64" s="7">
        <f t="shared" si="7"/>
        <v>0.18590322845641993</v>
      </c>
    </row>
    <row r="65" spans="1:6">
      <c r="A65" s="9">
        <v>44636</v>
      </c>
      <c r="B65" s="1">
        <f t="shared" si="0"/>
        <v>2022</v>
      </c>
      <c r="C65" s="1">
        <f t="shared" si="1"/>
        <v>3</v>
      </c>
      <c r="D65" s="2" t="s">
        <v>22</v>
      </c>
      <c r="E65" s="6">
        <v>5173</v>
      </c>
      <c r="F65" s="7">
        <f t="shared" si="7"/>
        <v>-0.71860465116279071</v>
      </c>
    </row>
    <row r="66" spans="1:6">
      <c r="A66" s="9">
        <v>44637</v>
      </c>
      <c r="B66" s="1">
        <f t="shared" si="0"/>
        <v>2022</v>
      </c>
      <c r="C66" s="1">
        <f t="shared" si="1"/>
        <v>3</v>
      </c>
      <c r="D66" s="2" t="s">
        <v>23</v>
      </c>
      <c r="E66" s="6">
        <v>6996</v>
      </c>
      <c r="F66" s="7">
        <f t="shared" si="7"/>
        <v>-0.81997918834547345</v>
      </c>
    </row>
    <row r="67" spans="1:6">
      <c r="A67" s="9">
        <v>44638</v>
      </c>
      <c r="B67" s="1">
        <f t="shared" si="0"/>
        <v>2022</v>
      </c>
      <c r="C67" s="1">
        <f t="shared" si="1"/>
        <v>3</v>
      </c>
      <c r="D67" s="2" t="s">
        <v>24</v>
      </c>
      <c r="E67" s="6">
        <v>0</v>
      </c>
      <c r="F67" s="7">
        <f t="shared" si="7"/>
        <v>1</v>
      </c>
    </row>
    <row r="68" spans="1:6">
      <c r="A68" s="9">
        <v>44639</v>
      </c>
      <c r="B68" s="1">
        <f t="shared" si="0"/>
        <v>2022</v>
      </c>
      <c r="C68" s="1">
        <f t="shared" si="1"/>
        <v>3</v>
      </c>
      <c r="D68" s="2" t="s">
        <v>25</v>
      </c>
      <c r="E68" s="6">
        <v>4666</v>
      </c>
      <c r="F68" s="7">
        <f t="shared" si="7"/>
        <v>-2.1893369788106631</v>
      </c>
    </row>
    <row r="69" spans="1:6">
      <c r="A69" s="9">
        <v>44640</v>
      </c>
      <c r="B69" s="1">
        <f t="shared" si="0"/>
        <v>2022</v>
      </c>
      <c r="C69" s="1">
        <f t="shared" si="1"/>
        <v>3</v>
      </c>
      <c r="D69" s="2" t="s">
        <v>26</v>
      </c>
      <c r="E69" s="6">
        <v>4010</v>
      </c>
      <c r="F69" s="7">
        <f t="shared" si="7"/>
        <v>-4.6083916083916083</v>
      </c>
    </row>
    <row r="70" spans="1:6">
      <c r="A70" s="9">
        <v>44641</v>
      </c>
      <c r="B70" s="1">
        <f t="shared" si="0"/>
        <v>2022</v>
      </c>
      <c r="C70" s="1">
        <f t="shared" si="1"/>
        <v>3</v>
      </c>
      <c r="D70" s="2" t="s">
        <v>27</v>
      </c>
      <c r="E70" s="6">
        <v>269</v>
      </c>
      <c r="F70" s="7">
        <f t="shared" si="7"/>
        <v>0.23142857142857143</v>
      </c>
    </row>
    <row r="71" spans="1:6">
      <c r="A71" s="9">
        <v>44642</v>
      </c>
      <c r="B71" s="1">
        <f t="shared" si="0"/>
        <v>2022</v>
      </c>
      <c r="C71" s="1">
        <f t="shared" si="1"/>
        <v>3</v>
      </c>
      <c r="D71" s="2" t="s">
        <v>28</v>
      </c>
      <c r="E71" s="6">
        <v>0</v>
      </c>
      <c r="F71" s="8">
        <v>0</v>
      </c>
    </row>
    <row r="72" spans="1:6">
      <c r="A72" s="9">
        <v>44643</v>
      </c>
      <c r="B72" s="1">
        <f t="shared" si="0"/>
        <v>2022</v>
      </c>
      <c r="C72" s="1">
        <f t="shared" si="1"/>
        <v>3</v>
      </c>
      <c r="D72" s="2" t="s">
        <v>29</v>
      </c>
      <c r="E72" s="6">
        <v>112</v>
      </c>
      <c r="F72" s="7">
        <f>(E360-E72)/E360</f>
        <v>-0.6</v>
      </c>
    </row>
    <row r="73" spans="1:6">
      <c r="A73" s="9">
        <v>44644</v>
      </c>
      <c r="B73" s="1">
        <f t="shared" si="0"/>
        <v>2022</v>
      </c>
      <c r="C73" s="1">
        <f t="shared" si="1"/>
        <v>3</v>
      </c>
      <c r="D73" s="2" t="s">
        <v>30</v>
      </c>
      <c r="E73" s="6">
        <v>0</v>
      </c>
      <c r="F73" s="8">
        <v>0</v>
      </c>
    </row>
    <row r="74" spans="1:6">
      <c r="A74" s="9">
        <v>44652</v>
      </c>
      <c r="B74" s="1">
        <f t="shared" si="0"/>
        <v>2022</v>
      </c>
      <c r="C74" s="1">
        <f t="shared" si="1"/>
        <v>4</v>
      </c>
      <c r="D74" s="2" t="s">
        <v>7</v>
      </c>
      <c r="E74" s="6">
        <v>48138</v>
      </c>
      <c r="F74" s="7">
        <f t="shared" ref="F74:F94" si="8">(E362-E74)/E362</f>
        <v>0.18310480586478414</v>
      </c>
    </row>
    <row r="75" spans="1:6">
      <c r="A75" s="9">
        <v>44653</v>
      </c>
      <c r="B75" s="1">
        <f t="shared" si="0"/>
        <v>2022</v>
      </c>
      <c r="C75" s="1">
        <f t="shared" si="1"/>
        <v>4</v>
      </c>
      <c r="D75" s="2" t="s">
        <v>8</v>
      </c>
      <c r="E75" s="6">
        <v>55238</v>
      </c>
      <c r="F75" s="7">
        <f t="shared" si="8"/>
        <v>9.3260159977043653E-3</v>
      </c>
    </row>
    <row r="76" spans="1:6">
      <c r="A76" s="9">
        <v>44654</v>
      </c>
      <c r="B76" s="1">
        <f t="shared" si="0"/>
        <v>2022</v>
      </c>
      <c r="C76" s="1">
        <f t="shared" si="1"/>
        <v>4</v>
      </c>
      <c r="D76" s="2" t="s">
        <v>9</v>
      </c>
      <c r="E76" s="6">
        <v>61173</v>
      </c>
      <c r="F76" s="7">
        <f t="shared" si="8"/>
        <v>-0.17796691764071557</v>
      </c>
    </row>
    <row r="77" spans="1:6">
      <c r="A77" s="9">
        <v>44655</v>
      </c>
      <c r="B77" s="1">
        <f t="shared" si="0"/>
        <v>2022</v>
      </c>
      <c r="C77" s="1">
        <f t="shared" si="1"/>
        <v>4</v>
      </c>
      <c r="D77" s="2" t="s">
        <v>10</v>
      </c>
      <c r="E77" s="6">
        <v>41616</v>
      </c>
      <c r="F77" s="7">
        <f t="shared" si="8"/>
        <v>-5.2131263589017547E-2</v>
      </c>
    </row>
    <row r="78" spans="1:6">
      <c r="A78" s="9">
        <v>44656</v>
      </c>
      <c r="B78" s="1">
        <f t="shared" si="0"/>
        <v>2022</v>
      </c>
      <c r="C78" s="1">
        <f t="shared" si="1"/>
        <v>4</v>
      </c>
      <c r="D78" s="2" t="s">
        <v>11</v>
      </c>
      <c r="E78" s="6">
        <v>42913</v>
      </c>
      <c r="F78" s="7">
        <f t="shared" si="8"/>
        <v>-5.2588976918737276E-2</v>
      </c>
    </row>
    <row r="79" spans="1:6">
      <c r="A79" s="9">
        <v>44657</v>
      </c>
      <c r="B79" s="1">
        <f t="shared" si="0"/>
        <v>2022</v>
      </c>
      <c r="C79" s="1">
        <f t="shared" si="1"/>
        <v>4</v>
      </c>
      <c r="D79" s="2" t="s">
        <v>12</v>
      </c>
      <c r="E79" s="6">
        <v>22810</v>
      </c>
      <c r="F79" s="7">
        <f t="shared" si="8"/>
        <v>0.27345118649466477</v>
      </c>
    </row>
    <row r="80" spans="1:6">
      <c r="A80" s="9">
        <v>44658</v>
      </c>
      <c r="B80" s="1">
        <f t="shared" si="0"/>
        <v>2022</v>
      </c>
      <c r="C80" s="1">
        <f t="shared" si="1"/>
        <v>4</v>
      </c>
      <c r="D80" s="2" t="s">
        <v>13</v>
      </c>
      <c r="E80" s="6">
        <v>45728</v>
      </c>
      <c r="F80" s="7">
        <f t="shared" si="8"/>
        <v>-0.64934174932371502</v>
      </c>
    </row>
    <row r="81" spans="1:6">
      <c r="A81" s="9">
        <v>44659</v>
      </c>
      <c r="B81" s="1">
        <f t="shared" si="0"/>
        <v>2022</v>
      </c>
      <c r="C81" s="1">
        <f t="shared" si="1"/>
        <v>4</v>
      </c>
      <c r="D81" s="2" t="s">
        <v>14</v>
      </c>
      <c r="E81" s="6">
        <v>18000</v>
      </c>
      <c r="F81" s="7">
        <f t="shared" si="8"/>
        <v>0.17823228634039445</v>
      </c>
    </row>
    <row r="82" spans="1:6">
      <c r="A82" s="9">
        <v>44660</v>
      </c>
      <c r="B82" s="1">
        <f t="shared" si="0"/>
        <v>2022</v>
      </c>
      <c r="C82" s="1">
        <f t="shared" si="1"/>
        <v>4</v>
      </c>
      <c r="D82" s="2" t="s">
        <v>15</v>
      </c>
      <c r="E82" s="6">
        <v>5811</v>
      </c>
      <c r="F82" s="7">
        <f t="shared" si="8"/>
        <v>0.5402689873417722</v>
      </c>
    </row>
    <row r="83" spans="1:6">
      <c r="A83" s="9">
        <v>44661</v>
      </c>
      <c r="B83" s="1">
        <f t="shared" si="0"/>
        <v>2022</v>
      </c>
      <c r="C83" s="1">
        <f t="shared" si="1"/>
        <v>4</v>
      </c>
      <c r="D83" s="2" t="s">
        <v>16</v>
      </c>
      <c r="E83" s="6">
        <v>8478</v>
      </c>
      <c r="F83" s="7">
        <f t="shared" si="8"/>
        <v>0.29672335130651184</v>
      </c>
    </row>
    <row r="84" spans="1:6">
      <c r="A84" s="9">
        <v>44662</v>
      </c>
      <c r="B84" s="1">
        <f t="shared" si="0"/>
        <v>2022</v>
      </c>
      <c r="C84" s="1">
        <f t="shared" si="1"/>
        <v>4</v>
      </c>
      <c r="D84" s="2" t="s">
        <v>17</v>
      </c>
      <c r="E84" s="6">
        <v>13846</v>
      </c>
      <c r="F84" s="7">
        <f t="shared" si="8"/>
        <v>-0.14505458154151504</v>
      </c>
    </row>
    <row r="85" spans="1:6">
      <c r="A85" s="9">
        <v>44663</v>
      </c>
      <c r="B85" s="1">
        <f t="shared" si="0"/>
        <v>2022</v>
      </c>
      <c r="C85" s="1">
        <f t="shared" si="1"/>
        <v>4</v>
      </c>
      <c r="D85" s="2" t="s">
        <v>18</v>
      </c>
      <c r="E85" s="6">
        <v>10478</v>
      </c>
      <c r="F85" s="7">
        <f t="shared" si="8"/>
        <v>-0.38232189973614777</v>
      </c>
    </row>
    <row r="86" spans="1:6">
      <c r="A86" s="9">
        <v>44664</v>
      </c>
      <c r="B86" s="1">
        <f t="shared" si="0"/>
        <v>2022</v>
      </c>
      <c r="C86" s="1">
        <f t="shared" si="1"/>
        <v>4</v>
      </c>
      <c r="D86" s="2" t="s">
        <v>19</v>
      </c>
      <c r="E86" s="6">
        <v>9387</v>
      </c>
      <c r="F86" s="7">
        <f t="shared" si="8"/>
        <v>5.8192033711247114E-2</v>
      </c>
    </row>
    <row r="87" spans="1:6">
      <c r="A87" s="9">
        <v>44665</v>
      </c>
      <c r="B87" s="1">
        <f t="shared" si="0"/>
        <v>2022</v>
      </c>
      <c r="C87" s="1">
        <f t="shared" si="1"/>
        <v>4</v>
      </c>
      <c r="D87" s="2" t="s">
        <v>20</v>
      </c>
      <c r="E87" s="6">
        <v>3829</v>
      </c>
      <c r="F87" s="7">
        <f t="shared" si="8"/>
        <v>0.44723545546412591</v>
      </c>
    </row>
    <row r="88" spans="1:6">
      <c r="A88" s="9">
        <v>44666</v>
      </c>
      <c r="B88" s="1">
        <f t="shared" si="0"/>
        <v>2022</v>
      </c>
      <c r="C88" s="1">
        <f t="shared" si="1"/>
        <v>4</v>
      </c>
      <c r="D88" s="2" t="s">
        <v>21</v>
      </c>
      <c r="E88" s="6">
        <v>8887</v>
      </c>
      <c r="F88" s="7">
        <f t="shared" si="8"/>
        <v>0.47226840855106889</v>
      </c>
    </row>
    <row r="89" spans="1:6">
      <c r="A89" s="9">
        <v>44667</v>
      </c>
      <c r="B89" s="1">
        <f t="shared" si="0"/>
        <v>2022</v>
      </c>
      <c r="C89" s="1">
        <f t="shared" si="1"/>
        <v>4</v>
      </c>
      <c r="D89" s="2" t="s">
        <v>22</v>
      </c>
      <c r="E89" s="6">
        <v>6659</v>
      </c>
      <c r="F89" s="7">
        <f t="shared" si="8"/>
        <v>-0.63692232055063913</v>
      </c>
    </row>
    <row r="90" spans="1:6">
      <c r="A90" s="9">
        <v>44668</v>
      </c>
      <c r="B90" s="1">
        <f t="shared" si="0"/>
        <v>2022</v>
      </c>
      <c r="C90" s="1">
        <f t="shared" si="1"/>
        <v>4</v>
      </c>
      <c r="D90" s="2" t="s">
        <v>23</v>
      </c>
      <c r="E90" s="6">
        <v>9897</v>
      </c>
      <c r="F90" s="7">
        <f t="shared" si="8"/>
        <v>-1.0990455991516437</v>
      </c>
    </row>
    <row r="91" spans="1:6">
      <c r="A91" s="9">
        <v>44669</v>
      </c>
      <c r="B91" s="1">
        <f t="shared" si="0"/>
        <v>2022</v>
      </c>
      <c r="C91" s="1">
        <f t="shared" si="1"/>
        <v>4</v>
      </c>
      <c r="D91" s="2" t="s">
        <v>24</v>
      </c>
      <c r="E91" s="6">
        <v>3304</v>
      </c>
      <c r="F91" s="7">
        <f t="shared" si="8"/>
        <v>-0.28310679611650486</v>
      </c>
    </row>
    <row r="92" spans="1:6">
      <c r="A92" s="9">
        <v>44670</v>
      </c>
      <c r="B92" s="1">
        <f t="shared" si="0"/>
        <v>2022</v>
      </c>
      <c r="C92" s="1">
        <f t="shared" si="1"/>
        <v>4</v>
      </c>
      <c r="D92" s="2" t="s">
        <v>25</v>
      </c>
      <c r="E92" s="6">
        <v>6193</v>
      </c>
      <c r="F92" s="7">
        <f t="shared" si="8"/>
        <v>-2.4253318584070795</v>
      </c>
    </row>
    <row r="93" spans="1:6">
      <c r="A93" s="9">
        <v>44671</v>
      </c>
      <c r="B93" s="1">
        <f t="shared" si="0"/>
        <v>2022</v>
      </c>
      <c r="C93" s="1">
        <f t="shared" si="1"/>
        <v>4</v>
      </c>
      <c r="D93" s="2" t="s">
        <v>26</v>
      </c>
      <c r="E93" s="6">
        <v>5196</v>
      </c>
      <c r="F93" s="7">
        <f t="shared" si="8"/>
        <v>-4.2804878048780486</v>
      </c>
    </row>
    <row r="94" spans="1:6">
      <c r="A94" s="9">
        <v>44672</v>
      </c>
      <c r="B94" s="1">
        <f t="shared" si="0"/>
        <v>2022</v>
      </c>
      <c r="C94" s="1">
        <f t="shared" si="1"/>
        <v>4</v>
      </c>
      <c r="D94" s="2" t="s">
        <v>27</v>
      </c>
      <c r="E94" s="6">
        <v>480</v>
      </c>
      <c r="F94" s="7">
        <f t="shared" si="8"/>
        <v>-0.37142857142857144</v>
      </c>
    </row>
    <row r="95" spans="1:6">
      <c r="A95" s="9">
        <v>44673</v>
      </c>
      <c r="B95" s="1">
        <f t="shared" si="0"/>
        <v>2022</v>
      </c>
      <c r="C95" s="1">
        <f t="shared" si="1"/>
        <v>4</v>
      </c>
      <c r="D95" s="2" t="s">
        <v>28</v>
      </c>
      <c r="E95" s="6">
        <v>0</v>
      </c>
      <c r="F95" s="8">
        <v>0</v>
      </c>
    </row>
    <row r="96" spans="1:6">
      <c r="A96" s="9">
        <v>44674</v>
      </c>
      <c r="B96" s="1">
        <f t="shared" si="0"/>
        <v>2022</v>
      </c>
      <c r="C96" s="1">
        <f t="shared" si="1"/>
        <v>4</v>
      </c>
      <c r="D96" s="2" t="s">
        <v>29</v>
      </c>
      <c r="E96" s="6">
        <v>318</v>
      </c>
      <c r="F96" s="7">
        <f>(E384-E96)/E384</f>
        <v>-3.5428571428571427</v>
      </c>
    </row>
    <row r="97" spans="1:6">
      <c r="A97" s="9">
        <v>44675</v>
      </c>
      <c r="B97" s="1">
        <f t="shared" si="0"/>
        <v>2022</v>
      </c>
      <c r="C97" s="1">
        <f t="shared" si="1"/>
        <v>4</v>
      </c>
      <c r="D97" s="2" t="s">
        <v>30</v>
      </c>
      <c r="E97" s="6">
        <v>285</v>
      </c>
      <c r="F97" s="8">
        <v>0</v>
      </c>
    </row>
    <row r="98" spans="1:6">
      <c r="A98" s="9">
        <v>44682</v>
      </c>
      <c r="B98" s="1">
        <f t="shared" si="0"/>
        <v>2022</v>
      </c>
      <c r="C98" s="1">
        <f t="shared" si="1"/>
        <v>5</v>
      </c>
      <c r="D98" s="2" t="s">
        <v>7</v>
      </c>
      <c r="E98" s="6">
        <v>60113</v>
      </c>
      <c r="F98" s="7">
        <f t="shared" ref="F98:F118" si="9">(E386-E98)/E386</f>
        <v>0.24023963296722742</v>
      </c>
    </row>
    <row r="99" spans="1:6">
      <c r="A99" s="9">
        <v>44683</v>
      </c>
      <c r="B99" s="1">
        <f t="shared" si="0"/>
        <v>2022</v>
      </c>
      <c r="C99" s="1">
        <f t="shared" si="1"/>
        <v>5</v>
      </c>
      <c r="D99" s="2" t="s">
        <v>8</v>
      </c>
      <c r="E99" s="6">
        <v>65036</v>
      </c>
      <c r="F99" s="7">
        <f t="shared" si="9"/>
        <v>0.11241521433543052</v>
      </c>
    </row>
    <row r="100" spans="1:6">
      <c r="A100" s="9">
        <v>44684</v>
      </c>
      <c r="B100" s="1">
        <f t="shared" si="0"/>
        <v>2022</v>
      </c>
      <c r="C100" s="1">
        <f t="shared" si="1"/>
        <v>5</v>
      </c>
      <c r="D100" s="2" t="s">
        <v>9</v>
      </c>
      <c r="E100" s="6">
        <v>75633</v>
      </c>
      <c r="F100" s="7">
        <f t="shared" si="9"/>
        <v>-0.14435937783695454</v>
      </c>
    </row>
    <row r="101" spans="1:6">
      <c r="A101" s="9">
        <v>44685</v>
      </c>
      <c r="B101" s="1">
        <f t="shared" si="0"/>
        <v>2022</v>
      </c>
      <c r="C101" s="1">
        <f t="shared" si="1"/>
        <v>5</v>
      </c>
      <c r="D101" s="2" t="s">
        <v>10</v>
      </c>
      <c r="E101" s="6">
        <v>50535</v>
      </c>
      <c r="F101" s="7">
        <f t="shared" si="9"/>
        <v>7.4941880686082485E-2</v>
      </c>
    </row>
    <row r="102" spans="1:6">
      <c r="A102" s="9">
        <v>44686</v>
      </c>
      <c r="B102" s="1">
        <f t="shared" si="0"/>
        <v>2022</v>
      </c>
      <c r="C102" s="1">
        <f t="shared" si="1"/>
        <v>5</v>
      </c>
      <c r="D102" s="2" t="s">
        <v>11</v>
      </c>
      <c r="E102" s="6">
        <v>52795</v>
      </c>
      <c r="F102" s="7">
        <f t="shared" si="9"/>
        <v>-2.4629608578682124E-4</v>
      </c>
    </row>
    <row r="103" spans="1:6">
      <c r="A103" s="9">
        <v>44687</v>
      </c>
      <c r="B103" s="1">
        <f t="shared" si="0"/>
        <v>2022</v>
      </c>
      <c r="C103" s="1">
        <f t="shared" si="1"/>
        <v>5</v>
      </c>
      <c r="D103" s="2" t="s">
        <v>12</v>
      </c>
      <c r="E103" s="6">
        <v>27038</v>
      </c>
      <c r="F103" s="7">
        <f t="shared" si="9"/>
        <v>0.29869793017585722</v>
      </c>
    </row>
    <row r="104" spans="1:6">
      <c r="A104" s="9">
        <v>44688</v>
      </c>
      <c r="B104" s="1">
        <f t="shared" si="0"/>
        <v>2022</v>
      </c>
      <c r="C104" s="1">
        <f t="shared" si="1"/>
        <v>5</v>
      </c>
      <c r="D104" s="2" t="s">
        <v>13</v>
      </c>
      <c r="E104" s="6">
        <v>56025</v>
      </c>
      <c r="F104" s="7">
        <f t="shared" si="9"/>
        <v>-0.56994339516897385</v>
      </c>
    </row>
    <row r="105" spans="1:6">
      <c r="A105" s="9">
        <v>44689</v>
      </c>
      <c r="B105" s="1">
        <f t="shared" si="0"/>
        <v>2022</v>
      </c>
      <c r="C105" s="1">
        <f t="shared" si="1"/>
        <v>5</v>
      </c>
      <c r="D105" s="2" t="s">
        <v>14</v>
      </c>
      <c r="E105" s="6">
        <v>22510</v>
      </c>
      <c r="F105" s="7">
        <f t="shared" si="9"/>
        <v>0.18204941860465115</v>
      </c>
    </row>
    <row r="106" spans="1:6">
      <c r="A106" s="9">
        <v>44690</v>
      </c>
      <c r="B106" s="1">
        <f t="shared" si="0"/>
        <v>2022</v>
      </c>
      <c r="C106" s="1">
        <f t="shared" si="1"/>
        <v>5</v>
      </c>
      <c r="D106" s="2" t="s">
        <v>15</v>
      </c>
      <c r="E106" s="6">
        <v>7563</v>
      </c>
      <c r="F106" s="7">
        <f t="shared" si="9"/>
        <v>0.53711977477201789</v>
      </c>
    </row>
    <row r="107" spans="1:6">
      <c r="A107" s="9">
        <v>44691</v>
      </c>
      <c r="B107" s="1">
        <f t="shared" si="0"/>
        <v>2022</v>
      </c>
      <c r="C107" s="1">
        <f t="shared" si="1"/>
        <v>5</v>
      </c>
      <c r="D107" s="2" t="s">
        <v>16</v>
      </c>
      <c r="E107" s="6">
        <v>10481</v>
      </c>
      <c r="F107" s="7">
        <f t="shared" si="9"/>
        <v>0.30672046567006217</v>
      </c>
    </row>
    <row r="108" spans="1:6">
      <c r="A108" s="9">
        <v>44692</v>
      </c>
      <c r="B108" s="1">
        <f t="shared" si="0"/>
        <v>2022</v>
      </c>
      <c r="C108" s="1">
        <f t="shared" si="1"/>
        <v>5</v>
      </c>
      <c r="D108" s="2" t="s">
        <v>17</v>
      </c>
      <c r="E108" s="6">
        <v>16806</v>
      </c>
      <c r="F108" s="7">
        <f t="shared" si="9"/>
        <v>-9.5210166177908118E-2</v>
      </c>
    </row>
    <row r="109" spans="1:6">
      <c r="A109" s="9">
        <v>44693</v>
      </c>
      <c r="B109" s="1">
        <f t="shared" si="0"/>
        <v>2022</v>
      </c>
      <c r="C109" s="1">
        <f t="shared" si="1"/>
        <v>5</v>
      </c>
      <c r="D109" s="2" t="s">
        <v>18</v>
      </c>
      <c r="E109" s="6">
        <v>11364</v>
      </c>
      <c r="F109" s="7">
        <f t="shared" si="9"/>
        <v>-0.10760233918128655</v>
      </c>
    </row>
    <row r="110" spans="1:6">
      <c r="A110" s="9">
        <v>44694</v>
      </c>
      <c r="B110" s="1">
        <f t="shared" si="0"/>
        <v>2022</v>
      </c>
      <c r="C110" s="1">
        <f t="shared" si="1"/>
        <v>5</v>
      </c>
      <c r="D110" s="2" t="s">
        <v>19</v>
      </c>
      <c r="E110" s="6">
        <v>11682</v>
      </c>
      <c r="F110" s="7">
        <f t="shared" si="9"/>
        <v>6.9459933089055279E-2</v>
      </c>
    </row>
    <row r="111" spans="1:6">
      <c r="A111" s="9">
        <v>44695</v>
      </c>
      <c r="B111" s="1">
        <f t="shared" si="0"/>
        <v>2022</v>
      </c>
      <c r="C111" s="1">
        <f t="shared" si="1"/>
        <v>5</v>
      </c>
      <c r="D111" s="2" t="s">
        <v>20</v>
      </c>
      <c r="E111" s="6">
        <v>4695</v>
      </c>
      <c r="F111" s="7">
        <f t="shared" si="9"/>
        <v>0.48195961602118503</v>
      </c>
    </row>
    <row r="112" spans="1:6">
      <c r="A112" s="9">
        <v>44696</v>
      </c>
      <c r="B112" s="1">
        <f t="shared" si="0"/>
        <v>2022</v>
      </c>
      <c r="C112" s="1">
        <f t="shared" si="1"/>
        <v>5</v>
      </c>
      <c r="D112" s="2" t="s">
        <v>21</v>
      </c>
      <c r="E112" s="6">
        <v>11760</v>
      </c>
      <c r="F112" s="7">
        <f t="shared" si="9"/>
        <v>-0.15588755651661096</v>
      </c>
    </row>
    <row r="113" spans="1:6">
      <c r="A113" s="9">
        <v>44697</v>
      </c>
      <c r="B113" s="1">
        <f t="shared" si="0"/>
        <v>2022</v>
      </c>
      <c r="C113" s="1">
        <f t="shared" si="1"/>
        <v>5</v>
      </c>
      <c r="D113" s="2" t="s">
        <v>22</v>
      </c>
      <c r="E113" s="6">
        <v>8756</v>
      </c>
      <c r="F113" s="7">
        <f t="shared" si="9"/>
        <v>-0.61074319352465045</v>
      </c>
    </row>
    <row r="114" spans="1:6">
      <c r="A114" s="9">
        <v>44698</v>
      </c>
      <c r="B114" s="1">
        <f t="shared" si="0"/>
        <v>2022</v>
      </c>
      <c r="C114" s="1">
        <f t="shared" si="1"/>
        <v>5</v>
      </c>
      <c r="D114" s="2" t="s">
        <v>23</v>
      </c>
      <c r="E114" s="6">
        <v>11250</v>
      </c>
      <c r="F114" s="7">
        <f t="shared" si="9"/>
        <v>-1.0222901312241597</v>
      </c>
    </row>
    <row r="115" spans="1:6">
      <c r="A115" s="9">
        <v>44699</v>
      </c>
      <c r="B115" s="1">
        <f t="shared" si="0"/>
        <v>2022</v>
      </c>
      <c r="C115" s="1">
        <f t="shared" si="1"/>
        <v>5</v>
      </c>
      <c r="D115" s="2" t="s">
        <v>24</v>
      </c>
      <c r="E115" s="6">
        <v>4080</v>
      </c>
      <c r="F115" s="7">
        <f t="shared" si="9"/>
        <v>-0.13490959666203059</v>
      </c>
    </row>
    <row r="116" spans="1:6">
      <c r="A116" s="9">
        <v>44700</v>
      </c>
      <c r="B116" s="1">
        <f t="shared" si="0"/>
        <v>2022</v>
      </c>
      <c r="C116" s="1">
        <f t="shared" si="1"/>
        <v>5</v>
      </c>
      <c r="D116" s="2" t="s">
        <v>25</v>
      </c>
      <c r="E116" s="6">
        <v>7059</v>
      </c>
      <c r="F116" s="7">
        <f t="shared" si="9"/>
        <v>-1.9547928003348682</v>
      </c>
    </row>
    <row r="117" spans="1:6">
      <c r="A117" s="9">
        <v>44701</v>
      </c>
      <c r="B117" s="1">
        <f t="shared" si="0"/>
        <v>2022</v>
      </c>
      <c r="C117" s="1">
        <f t="shared" si="1"/>
        <v>5</v>
      </c>
      <c r="D117" s="2" t="s">
        <v>26</v>
      </c>
      <c r="E117" s="6">
        <v>5932</v>
      </c>
      <c r="F117" s="7">
        <f t="shared" si="9"/>
        <v>-3.5282442748091603</v>
      </c>
    </row>
    <row r="118" spans="1:6">
      <c r="A118" s="9">
        <v>44702</v>
      </c>
      <c r="B118" s="1">
        <f t="shared" si="0"/>
        <v>2022</v>
      </c>
      <c r="C118" s="1">
        <f t="shared" si="1"/>
        <v>5</v>
      </c>
      <c r="D118" s="2" t="s">
        <v>27</v>
      </c>
      <c r="E118" s="6">
        <v>495</v>
      </c>
      <c r="F118" s="7">
        <f t="shared" si="9"/>
        <v>-0.25954198473282442</v>
      </c>
    </row>
    <row r="119" spans="1:6">
      <c r="A119" s="9">
        <v>44703</v>
      </c>
      <c r="B119" s="1">
        <f t="shared" si="0"/>
        <v>2022</v>
      </c>
      <c r="C119" s="1">
        <f t="shared" si="1"/>
        <v>5</v>
      </c>
      <c r="D119" s="2" t="s">
        <v>28</v>
      </c>
      <c r="E119" s="6">
        <v>0</v>
      </c>
      <c r="F119" s="8">
        <v>0</v>
      </c>
    </row>
    <row r="120" spans="1:6">
      <c r="A120" s="9">
        <v>44704</v>
      </c>
      <c r="B120" s="1">
        <f t="shared" si="0"/>
        <v>2022</v>
      </c>
      <c r="C120" s="1">
        <f t="shared" si="1"/>
        <v>5</v>
      </c>
      <c r="D120" s="2" t="s">
        <v>29</v>
      </c>
      <c r="E120" s="6">
        <v>318</v>
      </c>
      <c r="F120" s="7">
        <f>(E408-E120)/E408</f>
        <v>-3.5428571428571427</v>
      </c>
    </row>
    <row r="121" spans="1:6">
      <c r="A121" s="9">
        <v>44705</v>
      </c>
      <c r="B121" s="1">
        <f t="shared" si="0"/>
        <v>2022</v>
      </c>
      <c r="C121" s="1">
        <f t="shared" si="1"/>
        <v>5</v>
      </c>
      <c r="D121" s="2" t="s">
        <v>30</v>
      </c>
      <c r="E121" s="6">
        <v>333</v>
      </c>
      <c r="F121" s="8">
        <v>0</v>
      </c>
    </row>
    <row r="122" spans="1:6">
      <c r="A122" s="9">
        <v>44713</v>
      </c>
      <c r="B122" s="1">
        <f t="shared" si="0"/>
        <v>2022</v>
      </c>
      <c r="C122" s="1">
        <f t="shared" si="1"/>
        <v>6</v>
      </c>
      <c r="D122" s="2" t="s">
        <v>7</v>
      </c>
      <c r="E122" s="6">
        <v>78840</v>
      </c>
      <c r="F122" s="7">
        <f t="shared" ref="F122:F142" si="10">(E410-E122)/E410</f>
        <v>0.16646402706560237</v>
      </c>
    </row>
    <row r="123" spans="1:6">
      <c r="A123" s="9">
        <v>44714</v>
      </c>
      <c r="B123" s="1">
        <f t="shared" si="0"/>
        <v>2022</v>
      </c>
      <c r="C123" s="1">
        <f t="shared" si="1"/>
        <v>6</v>
      </c>
      <c r="D123" s="2" t="s">
        <v>8</v>
      </c>
      <c r="E123" s="6">
        <v>80647</v>
      </c>
      <c r="F123" s="7">
        <f t="shared" si="10"/>
        <v>9.7211494330075782E-2</v>
      </c>
    </row>
    <row r="124" spans="1:6">
      <c r="A124" s="9">
        <v>44715</v>
      </c>
      <c r="B124" s="1">
        <f t="shared" si="0"/>
        <v>2022</v>
      </c>
      <c r="C124" s="1">
        <f t="shared" si="1"/>
        <v>6</v>
      </c>
      <c r="D124" s="2" t="s">
        <v>9</v>
      </c>
      <c r="E124" s="6">
        <v>89453</v>
      </c>
      <c r="F124" s="7">
        <f t="shared" si="10"/>
        <v>-5.7664112750662126E-2</v>
      </c>
    </row>
    <row r="125" spans="1:6">
      <c r="A125" s="9">
        <v>44716</v>
      </c>
      <c r="B125" s="1">
        <f t="shared" si="0"/>
        <v>2022</v>
      </c>
      <c r="C125" s="1">
        <f t="shared" si="1"/>
        <v>6</v>
      </c>
      <c r="D125" s="2" t="s">
        <v>10</v>
      </c>
      <c r="E125" s="6">
        <v>59848</v>
      </c>
      <c r="F125" s="7">
        <f t="shared" si="10"/>
        <v>9.0511215123700681E-2</v>
      </c>
    </row>
    <row r="126" spans="1:6">
      <c r="A126" s="9">
        <v>44717</v>
      </c>
      <c r="B126" s="1">
        <f t="shared" si="0"/>
        <v>2022</v>
      </c>
      <c r="C126" s="1">
        <f t="shared" si="1"/>
        <v>6</v>
      </c>
      <c r="D126" s="2" t="s">
        <v>11</v>
      </c>
      <c r="E126" s="6">
        <v>63478</v>
      </c>
      <c r="F126" s="7">
        <f t="shared" si="10"/>
        <v>1.4301464308451995E-2</v>
      </c>
    </row>
    <row r="127" spans="1:6">
      <c r="A127" s="9">
        <v>44718</v>
      </c>
      <c r="B127" s="1">
        <f t="shared" si="0"/>
        <v>2022</v>
      </c>
      <c r="C127" s="1">
        <f t="shared" si="1"/>
        <v>6</v>
      </c>
      <c r="D127" s="2" t="s">
        <v>12</v>
      </c>
      <c r="E127" s="6">
        <v>31937</v>
      </c>
      <c r="F127" s="7">
        <f t="shared" si="10"/>
        <v>0.27457126632595119</v>
      </c>
    </row>
    <row r="128" spans="1:6">
      <c r="A128" s="9">
        <v>44719</v>
      </c>
      <c r="B128" s="1">
        <f t="shared" si="0"/>
        <v>2022</v>
      </c>
      <c r="C128" s="1">
        <f t="shared" si="1"/>
        <v>6</v>
      </c>
      <c r="D128" s="2" t="s">
        <v>13</v>
      </c>
      <c r="E128" s="6">
        <v>67829</v>
      </c>
      <c r="F128" s="7">
        <f t="shared" si="10"/>
        <v>-0.5739412924933287</v>
      </c>
    </row>
    <row r="129" spans="1:6">
      <c r="A129" s="9">
        <v>44720</v>
      </c>
      <c r="B129" s="1">
        <f t="shared" si="0"/>
        <v>2022</v>
      </c>
      <c r="C129" s="1">
        <f t="shared" si="1"/>
        <v>6</v>
      </c>
      <c r="D129" s="2" t="s">
        <v>14</v>
      </c>
      <c r="E129" s="6">
        <v>27553</v>
      </c>
      <c r="F129" s="7">
        <f t="shared" si="10"/>
        <v>0.15195444752231455</v>
      </c>
    </row>
    <row r="130" spans="1:6">
      <c r="A130" s="9">
        <v>44721</v>
      </c>
      <c r="B130" s="1">
        <f t="shared" si="0"/>
        <v>2022</v>
      </c>
      <c r="C130" s="1">
        <f t="shared" si="1"/>
        <v>6</v>
      </c>
      <c r="D130" s="2" t="s">
        <v>15</v>
      </c>
      <c r="E130" s="6">
        <v>11183</v>
      </c>
      <c r="F130" s="7">
        <f t="shared" si="10"/>
        <v>0.43625548217976506</v>
      </c>
    </row>
    <row r="131" spans="1:6">
      <c r="A131" s="9">
        <v>44722</v>
      </c>
      <c r="B131" s="1">
        <f t="shared" si="0"/>
        <v>2022</v>
      </c>
      <c r="C131" s="1">
        <f t="shared" si="1"/>
        <v>6</v>
      </c>
      <c r="D131" s="2" t="s">
        <v>16</v>
      </c>
      <c r="E131" s="6">
        <v>12908</v>
      </c>
      <c r="F131" s="7">
        <f t="shared" si="10"/>
        <v>0.2890504516413307</v>
      </c>
    </row>
    <row r="132" spans="1:6">
      <c r="A132" s="9">
        <v>44723</v>
      </c>
      <c r="B132" s="1">
        <f t="shared" si="0"/>
        <v>2022</v>
      </c>
      <c r="C132" s="1">
        <f t="shared" si="1"/>
        <v>6</v>
      </c>
      <c r="D132" s="2" t="s">
        <v>17</v>
      </c>
      <c r="E132" s="6">
        <v>19090</v>
      </c>
      <c r="F132" s="7">
        <f t="shared" si="10"/>
        <v>-3.044370074489906E-2</v>
      </c>
    </row>
    <row r="133" spans="1:6">
      <c r="A133" s="9">
        <v>44724</v>
      </c>
      <c r="B133" s="1">
        <f t="shared" si="0"/>
        <v>2022</v>
      </c>
      <c r="C133" s="1">
        <f t="shared" si="1"/>
        <v>6</v>
      </c>
      <c r="D133" s="2" t="s">
        <v>18</v>
      </c>
      <c r="E133" s="6">
        <v>12493</v>
      </c>
      <c r="F133" s="7">
        <f t="shared" si="10"/>
        <v>7.4249722119303446E-2</v>
      </c>
    </row>
    <row r="134" spans="1:6">
      <c r="A134" s="9">
        <v>44725</v>
      </c>
      <c r="B134" s="1">
        <f t="shared" si="0"/>
        <v>2022</v>
      </c>
      <c r="C134" s="1">
        <f t="shared" si="1"/>
        <v>6</v>
      </c>
      <c r="D134" s="2" t="s">
        <v>19</v>
      </c>
      <c r="E134" s="6">
        <v>13911</v>
      </c>
      <c r="F134" s="7">
        <f t="shared" si="10"/>
        <v>0.10170476559473073</v>
      </c>
    </row>
    <row r="135" spans="1:6">
      <c r="A135" s="9">
        <v>44726</v>
      </c>
      <c r="B135" s="1">
        <f t="shared" si="0"/>
        <v>2022</v>
      </c>
      <c r="C135" s="1">
        <f t="shared" si="1"/>
        <v>6</v>
      </c>
      <c r="D135" s="2" t="s">
        <v>20</v>
      </c>
      <c r="E135" s="6">
        <v>6009</v>
      </c>
      <c r="F135" s="7">
        <f t="shared" si="10"/>
        <v>0.44003354766564162</v>
      </c>
    </row>
    <row r="136" spans="1:6">
      <c r="A136" s="9">
        <v>44727</v>
      </c>
      <c r="B136" s="1">
        <f t="shared" si="0"/>
        <v>2022</v>
      </c>
      <c r="C136" s="1">
        <f t="shared" si="1"/>
        <v>6</v>
      </c>
      <c r="D136" s="2" t="s">
        <v>21</v>
      </c>
      <c r="E136" s="6">
        <v>14710</v>
      </c>
      <c r="F136" s="7">
        <f t="shared" si="10"/>
        <v>-0.19944553163731246</v>
      </c>
    </row>
    <row r="137" spans="1:6">
      <c r="A137" s="9">
        <v>44728</v>
      </c>
      <c r="B137" s="1">
        <f t="shared" si="0"/>
        <v>2022</v>
      </c>
      <c r="C137" s="1">
        <f t="shared" si="1"/>
        <v>6</v>
      </c>
      <c r="D137" s="2" t="s">
        <v>22</v>
      </c>
      <c r="E137" s="6">
        <v>10483</v>
      </c>
      <c r="F137" s="7">
        <f t="shared" si="10"/>
        <v>-0.48589652728561306</v>
      </c>
    </row>
    <row r="138" spans="1:6">
      <c r="A138" s="9">
        <v>44729</v>
      </c>
      <c r="B138" s="1">
        <f t="shared" si="0"/>
        <v>2022</v>
      </c>
      <c r="C138" s="1">
        <f t="shared" si="1"/>
        <v>6</v>
      </c>
      <c r="D138" s="2" t="s">
        <v>23</v>
      </c>
      <c r="E138" s="6">
        <v>12657</v>
      </c>
      <c r="F138" s="7">
        <f t="shared" si="10"/>
        <v>-0.92971489556334808</v>
      </c>
    </row>
    <row r="139" spans="1:6">
      <c r="A139" s="9">
        <v>44730</v>
      </c>
      <c r="B139" s="1">
        <f t="shared" si="0"/>
        <v>2022</v>
      </c>
      <c r="C139" s="1">
        <f t="shared" si="1"/>
        <v>6</v>
      </c>
      <c r="D139" s="2" t="s">
        <v>24</v>
      </c>
      <c r="E139" s="6">
        <v>5269</v>
      </c>
      <c r="F139" s="7">
        <f t="shared" si="10"/>
        <v>-0.2509496676163343</v>
      </c>
    </row>
    <row r="140" spans="1:6">
      <c r="A140" s="9">
        <v>44731</v>
      </c>
      <c r="B140" s="1">
        <f t="shared" si="0"/>
        <v>2022</v>
      </c>
      <c r="C140" s="1">
        <f t="shared" si="1"/>
        <v>6</v>
      </c>
      <c r="D140" s="2" t="s">
        <v>25</v>
      </c>
      <c r="E140" s="6">
        <v>7819</v>
      </c>
      <c r="F140" s="7">
        <f t="shared" si="10"/>
        <v>-1.5805280528052805</v>
      </c>
    </row>
    <row r="141" spans="1:6">
      <c r="A141" s="9">
        <v>44732</v>
      </c>
      <c r="B141" s="1">
        <f t="shared" si="0"/>
        <v>2022</v>
      </c>
      <c r="C141" s="1">
        <f t="shared" si="1"/>
        <v>6</v>
      </c>
      <c r="D141" s="2" t="s">
        <v>26</v>
      </c>
      <c r="E141" s="6">
        <v>6536</v>
      </c>
      <c r="F141" s="7">
        <f t="shared" si="10"/>
        <v>-3.3170409511228534</v>
      </c>
    </row>
    <row r="142" spans="1:6">
      <c r="A142" s="9">
        <v>44733</v>
      </c>
      <c r="B142" s="1">
        <f t="shared" si="0"/>
        <v>2022</v>
      </c>
      <c r="C142" s="1">
        <f t="shared" si="1"/>
        <v>6</v>
      </c>
      <c r="D142" s="2" t="s">
        <v>27</v>
      </c>
      <c r="E142" s="6">
        <v>496</v>
      </c>
      <c r="F142" s="7">
        <f t="shared" si="10"/>
        <v>0.32882273342354534</v>
      </c>
    </row>
    <row r="143" spans="1:6">
      <c r="A143" s="9">
        <v>44734</v>
      </c>
      <c r="B143" s="1">
        <f t="shared" si="0"/>
        <v>2022</v>
      </c>
      <c r="C143" s="1">
        <f t="shared" si="1"/>
        <v>6</v>
      </c>
      <c r="D143" s="2" t="s">
        <v>28</v>
      </c>
      <c r="E143" s="6">
        <v>0</v>
      </c>
      <c r="F143" s="8">
        <v>0</v>
      </c>
    </row>
    <row r="144" spans="1:6">
      <c r="A144" s="9">
        <v>44735</v>
      </c>
      <c r="B144" s="1">
        <f t="shared" si="0"/>
        <v>2022</v>
      </c>
      <c r="C144" s="1">
        <f t="shared" si="1"/>
        <v>6</v>
      </c>
      <c r="D144" s="2" t="s">
        <v>29</v>
      </c>
      <c r="E144" s="6">
        <v>510</v>
      </c>
      <c r="F144" s="7">
        <f>(E432-E144)/E432</f>
        <v>-6.2857142857142856</v>
      </c>
    </row>
    <row r="145" spans="1:6">
      <c r="A145" s="9">
        <v>44736</v>
      </c>
      <c r="B145" s="1">
        <f t="shared" si="0"/>
        <v>2022</v>
      </c>
      <c r="C145" s="1">
        <f t="shared" si="1"/>
        <v>6</v>
      </c>
      <c r="D145" s="2" t="s">
        <v>30</v>
      </c>
      <c r="E145" s="6">
        <v>778</v>
      </c>
      <c r="F145" s="8">
        <v>0</v>
      </c>
    </row>
    <row r="146" spans="1:6">
      <c r="A146" s="9">
        <v>44743</v>
      </c>
      <c r="B146" s="1">
        <f t="shared" si="0"/>
        <v>2022</v>
      </c>
      <c r="C146" s="1">
        <f t="shared" si="1"/>
        <v>7</v>
      </c>
      <c r="D146" s="2" t="s">
        <v>7</v>
      </c>
      <c r="E146" s="6">
        <v>96589</v>
      </c>
      <c r="F146" s="7">
        <f t="shared" ref="F146:F166" si="11">(E434-E146)/E434</f>
        <v>0.17486203420526578</v>
      </c>
    </row>
    <row r="147" spans="1:6">
      <c r="A147" s="9">
        <v>44744</v>
      </c>
      <c r="B147" s="1">
        <f t="shared" si="0"/>
        <v>2022</v>
      </c>
      <c r="C147" s="1">
        <f t="shared" si="1"/>
        <v>7</v>
      </c>
      <c r="D147" s="2" t="s">
        <v>8</v>
      </c>
      <c r="E147" s="6">
        <v>95541</v>
      </c>
      <c r="F147" s="7">
        <f t="shared" si="11"/>
        <v>0.10839337041322931</v>
      </c>
    </row>
    <row r="148" spans="1:6">
      <c r="A148" s="9">
        <v>44745</v>
      </c>
      <c r="B148" s="1">
        <f t="shared" si="0"/>
        <v>2022</v>
      </c>
      <c r="C148" s="1">
        <f t="shared" si="1"/>
        <v>7</v>
      </c>
      <c r="D148" s="2" t="s">
        <v>9</v>
      </c>
      <c r="E148" s="6">
        <v>103180</v>
      </c>
      <c r="F148" s="7">
        <f t="shared" si="11"/>
        <v>-2.0674646354733407E-2</v>
      </c>
    </row>
    <row r="149" spans="1:6">
      <c r="A149" s="9">
        <v>44746</v>
      </c>
      <c r="B149" s="1">
        <f t="shared" si="0"/>
        <v>2022</v>
      </c>
      <c r="C149" s="1">
        <f t="shared" si="1"/>
        <v>7</v>
      </c>
      <c r="D149" s="2" t="s">
        <v>10</v>
      </c>
      <c r="E149" s="6">
        <v>69137</v>
      </c>
      <c r="F149" s="7">
        <f t="shared" si="11"/>
        <v>0.11935241443438165</v>
      </c>
    </row>
    <row r="150" spans="1:6">
      <c r="A150" s="9">
        <v>44747</v>
      </c>
      <c r="B150" s="1">
        <f t="shared" si="0"/>
        <v>2022</v>
      </c>
      <c r="C150" s="1">
        <f t="shared" si="1"/>
        <v>7</v>
      </c>
      <c r="D150" s="2" t="s">
        <v>11</v>
      </c>
      <c r="E150" s="6">
        <v>72893</v>
      </c>
      <c r="F150" s="7">
        <f t="shared" si="11"/>
        <v>3.6163854657005341E-2</v>
      </c>
    </row>
    <row r="151" spans="1:6">
      <c r="A151" s="9">
        <v>44748</v>
      </c>
      <c r="B151" s="1">
        <f t="shared" si="0"/>
        <v>2022</v>
      </c>
      <c r="C151" s="1">
        <f t="shared" si="1"/>
        <v>7</v>
      </c>
      <c r="D151" s="2" t="s">
        <v>12</v>
      </c>
      <c r="E151" s="6">
        <v>37284</v>
      </c>
      <c r="F151" s="7">
        <f t="shared" si="11"/>
        <v>0.28092574734811959</v>
      </c>
    </row>
    <row r="152" spans="1:6">
      <c r="A152" s="9">
        <v>44749</v>
      </c>
      <c r="B152" s="1">
        <f t="shared" si="0"/>
        <v>2022</v>
      </c>
      <c r="C152" s="1">
        <f t="shared" si="1"/>
        <v>7</v>
      </c>
      <c r="D152" s="2" t="s">
        <v>13</v>
      </c>
      <c r="E152" s="6">
        <v>79527</v>
      </c>
      <c r="F152" s="7">
        <f t="shared" si="11"/>
        <v>-0.60204266634435244</v>
      </c>
    </row>
    <row r="153" spans="1:6">
      <c r="A153" s="9">
        <v>44750</v>
      </c>
      <c r="B153" s="1">
        <f t="shared" si="0"/>
        <v>2022</v>
      </c>
      <c r="C153" s="1">
        <f t="shared" si="1"/>
        <v>7</v>
      </c>
      <c r="D153" s="2" t="s">
        <v>14</v>
      </c>
      <c r="E153" s="6">
        <v>32599</v>
      </c>
      <c r="F153" s="7">
        <f t="shared" si="11"/>
        <v>0.12811254647088716</v>
      </c>
    </row>
    <row r="154" spans="1:6">
      <c r="A154" s="9">
        <v>44751</v>
      </c>
      <c r="B154" s="1">
        <f t="shared" si="0"/>
        <v>2022</v>
      </c>
      <c r="C154" s="1">
        <f t="shared" si="1"/>
        <v>7</v>
      </c>
      <c r="D154" s="2" t="s">
        <v>15</v>
      </c>
      <c r="E154" s="6">
        <v>13863</v>
      </c>
      <c r="F154" s="7">
        <f t="shared" si="11"/>
        <v>0.42705405852206979</v>
      </c>
    </row>
    <row r="155" spans="1:6">
      <c r="A155" s="9">
        <v>44752</v>
      </c>
      <c r="B155" s="1">
        <f t="shared" si="0"/>
        <v>2022</v>
      </c>
      <c r="C155" s="1">
        <f t="shared" si="1"/>
        <v>7</v>
      </c>
      <c r="D155" s="2" t="s">
        <v>16</v>
      </c>
      <c r="E155" s="6">
        <v>15329</v>
      </c>
      <c r="F155" s="7">
        <f t="shared" si="11"/>
        <v>0.28100375234521574</v>
      </c>
    </row>
    <row r="156" spans="1:6">
      <c r="A156" s="9">
        <v>44753</v>
      </c>
      <c r="B156" s="1">
        <f t="shared" si="0"/>
        <v>2022</v>
      </c>
      <c r="C156" s="1">
        <f t="shared" si="1"/>
        <v>7</v>
      </c>
      <c r="D156" s="2" t="s">
        <v>17</v>
      </c>
      <c r="E156" s="6">
        <v>22566</v>
      </c>
      <c r="F156" s="7">
        <f t="shared" si="11"/>
        <v>-2.0393398146054714E-2</v>
      </c>
    </row>
    <row r="157" spans="1:6">
      <c r="A157" s="9">
        <v>44754</v>
      </c>
      <c r="B157" s="1">
        <f t="shared" si="0"/>
        <v>2022</v>
      </c>
      <c r="C157" s="1">
        <f t="shared" si="1"/>
        <v>7</v>
      </c>
      <c r="D157" s="2" t="s">
        <v>18</v>
      </c>
      <c r="E157" s="6">
        <v>14851</v>
      </c>
      <c r="F157" s="7">
        <f t="shared" si="11"/>
        <v>0.11685299714557565</v>
      </c>
    </row>
    <row r="158" spans="1:6">
      <c r="A158" s="9">
        <v>44755</v>
      </c>
      <c r="B158" s="1">
        <f t="shared" si="0"/>
        <v>2022</v>
      </c>
      <c r="C158" s="1">
        <f t="shared" si="1"/>
        <v>7</v>
      </c>
      <c r="D158" s="2" t="s">
        <v>19</v>
      </c>
      <c r="E158" s="6">
        <v>17092</v>
      </c>
      <c r="F158" s="7">
        <f t="shared" si="11"/>
        <v>2.8973980229519372E-2</v>
      </c>
    </row>
    <row r="159" spans="1:6">
      <c r="A159" s="9">
        <v>44756</v>
      </c>
      <c r="B159" s="1">
        <f t="shared" si="0"/>
        <v>2022</v>
      </c>
      <c r="C159" s="1">
        <f t="shared" si="1"/>
        <v>7</v>
      </c>
      <c r="D159" s="2" t="s">
        <v>20</v>
      </c>
      <c r="E159" s="6">
        <v>7917</v>
      </c>
      <c r="F159" s="7">
        <f t="shared" si="11"/>
        <v>0.34429352327314894</v>
      </c>
    </row>
    <row r="160" spans="1:6">
      <c r="A160" s="9">
        <v>44757</v>
      </c>
      <c r="B160" s="1">
        <f t="shared" si="0"/>
        <v>2022</v>
      </c>
      <c r="C160" s="1">
        <f t="shared" si="1"/>
        <v>7</v>
      </c>
      <c r="D160" s="2" t="s">
        <v>21</v>
      </c>
      <c r="E160" s="6">
        <v>18015</v>
      </c>
      <c r="F160" s="7">
        <f t="shared" si="11"/>
        <v>-0.31285526891123744</v>
      </c>
    </row>
    <row r="161" spans="1:6">
      <c r="A161" s="9">
        <v>44758</v>
      </c>
      <c r="B161" s="1">
        <f t="shared" si="0"/>
        <v>2022</v>
      </c>
      <c r="C161" s="1">
        <f t="shared" si="1"/>
        <v>7</v>
      </c>
      <c r="D161" s="2" t="s">
        <v>22</v>
      </c>
      <c r="E161" s="6">
        <v>11575</v>
      </c>
      <c r="F161" s="7">
        <f t="shared" si="11"/>
        <v>-0.33583381419503749</v>
      </c>
    </row>
    <row r="162" spans="1:6">
      <c r="A162" s="9">
        <v>44759</v>
      </c>
      <c r="B162" s="1">
        <f t="shared" si="0"/>
        <v>2022</v>
      </c>
      <c r="C162" s="1">
        <f t="shared" si="1"/>
        <v>7</v>
      </c>
      <c r="D162" s="2" t="s">
        <v>23</v>
      </c>
      <c r="E162" s="6">
        <v>13925</v>
      </c>
      <c r="F162" s="7">
        <f t="shared" si="11"/>
        <v>-0.78297055057618437</v>
      </c>
    </row>
    <row r="163" spans="1:6">
      <c r="A163" s="9">
        <v>44760</v>
      </c>
      <c r="B163" s="1">
        <f t="shared" si="0"/>
        <v>2022</v>
      </c>
      <c r="C163" s="1">
        <f t="shared" si="1"/>
        <v>7</v>
      </c>
      <c r="D163" s="2" t="s">
        <v>24</v>
      </c>
      <c r="E163" s="6">
        <v>6282</v>
      </c>
      <c r="F163" s="7">
        <f t="shared" si="11"/>
        <v>-0.17684526039715248</v>
      </c>
    </row>
    <row r="164" spans="1:6">
      <c r="A164" s="9">
        <v>44761</v>
      </c>
      <c r="B164" s="1">
        <f t="shared" si="0"/>
        <v>2022</v>
      </c>
      <c r="C164" s="1">
        <f t="shared" si="1"/>
        <v>7</v>
      </c>
      <c r="D164" s="2" t="s">
        <v>25</v>
      </c>
      <c r="E164" s="6">
        <v>8887</v>
      </c>
      <c r="F164" s="7">
        <f t="shared" si="11"/>
        <v>-1.1975766567754698</v>
      </c>
    </row>
    <row r="165" spans="1:6">
      <c r="A165" s="9">
        <v>44762</v>
      </c>
      <c r="B165" s="1">
        <f t="shared" si="0"/>
        <v>2022</v>
      </c>
      <c r="C165" s="1">
        <f t="shared" si="1"/>
        <v>7</v>
      </c>
      <c r="D165" s="2" t="s">
        <v>26</v>
      </c>
      <c r="E165" s="6">
        <v>7228</v>
      </c>
      <c r="F165" s="7">
        <f t="shared" si="11"/>
        <v>-2.7104722792607805</v>
      </c>
    </row>
    <row r="166" spans="1:6">
      <c r="A166" s="9">
        <v>44763</v>
      </c>
      <c r="B166" s="1">
        <f t="shared" si="0"/>
        <v>2022</v>
      </c>
      <c r="C166" s="1">
        <f t="shared" si="1"/>
        <v>7</v>
      </c>
      <c r="D166" s="2" t="s">
        <v>27</v>
      </c>
      <c r="E166" s="6">
        <v>502</v>
      </c>
      <c r="F166" s="7">
        <f t="shared" si="11"/>
        <v>0.63517441860465118</v>
      </c>
    </row>
    <row r="167" spans="1:6">
      <c r="A167" s="9">
        <v>44764</v>
      </c>
      <c r="B167" s="1">
        <f t="shared" si="0"/>
        <v>2022</v>
      </c>
      <c r="C167" s="1">
        <f t="shared" si="1"/>
        <v>7</v>
      </c>
      <c r="D167" s="2" t="s">
        <v>28</v>
      </c>
      <c r="E167" s="6">
        <v>0</v>
      </c>
      <c r="F167" s="8">
        <v>0</v>
      </c>
    </row>
    <row r="168" spans="1:6">
      <c r="A168" s="9">
        <v>44765</v>
      </c>
      <c r="B168" s="1">
        <f t="shared" si="0"/>
        <v>2022</v>
      </c>
      <c r="C168" s="1">
        <f t="shared" si="1"/>
        <v>7</v>
      </c>
      <c r="D168" s="2" t="s">
        <v>29</v>
      </c>
      <c r="E168" s="6">
        <v>510</v>
      </c>
      <c r="F168" s="7">
        <f>(E456-E168)/E456</f>
        <v>-6.2857142857142856</v>
      </c>
    </row>
    <row r="169" spans="1:6">
      <c r="A169" s="9">
        <v>44766</v>
      </c>
      <c r="B169" s="1">
        <f t="shared" si="0"/>
        <v>2022</v>
      </c>
      <c r="C169" s="1">
        <f t="shared" si="1"/>
        <v>7</v>
      </c>
      <c r="D169" s="2" t="s">
        <v>30</v>
      </c>
      <c r="E169" s="6">
        <v>778</v>
      </c>
      <c r="F169" s="8">
        <v>0</v>
      </c>
    </row>
    <row r="170" spans="1:6">
      <c r="A170" s="9">
        <v>44774</v>
      </c>
      <c r="B170" s="1">
        <f t="shared" si="0"/>
        <v>2022</v>
      </c>
      <c r="C170" s="1">
        <f t="shared" si="1"/>
        <v>8</v>
      </c>
      <c r="D170" s="2" t="s">
        <v>7</v>
      </c>
      <c r="E170" s="6">
        <v>117329</v>
      </c>
      <c r="F170" s="7">
        <f t="shared" ref="F170:F192" si="12">(E458-E170)/E458</f>
        <v>0.13281694617107295</v>
      </c>
    </row>
    <row r="171" spans="1:6">
      <c r="A171" s="9">
        <v>44775</v>
      </c>
      <c r="B171" s="1">
        <f t="shared" si="0"/>
        <v>2022</v>
      </c>
      <c r="C171" s="1">
        <f t="shared" si="1"/>
        <v>8</v>
      </c>
      <c r="D171" s="2" t="s">
        <v>8</v>
      </c>
      <c r="E171" s="6">
        <v>109168</v>
      </c>
      <c r="F171" s="7">
        <f t="shared" si="12"/>
        <v>0.1268376177755027</v>
      </c>
    </row>
    <row r="172" spans="1:6">
      <c r="A172" s="9">
        <v>44776</v>
      </c>
      <c r="B172" s="1">
        <f t="shared" si="0"/>
        <v>2022</v>
      </c>
      <c r="C172" s="1">
        <f t="shared" si="1"/>
        <v>8</v>
      </c>
      <c r="D172" s="2" t="s">
        <v>9</v>
      </c>
      <c r="E172" s="6">
        <v>118877</v>
      </c>
      <c r="F172" s="7">
        <f t="shared" si="12"/>
        <v>-2.9309389394936446E-2</v>
      </c>
    </row>
    <row r="173" spans="1:6">
      <c r="A173" s="9">
        <v>44777</v>
      </c>
      <c r="B173" s="1">
        <f t="shared" si="0"/>
        <v>2022</v>
      </c>
      <c r="C173" s="1">
        <f t="shared" si="1"/>
        <v>8</v>
      </c>
      <c r="D173" s="2" t="s">
        <v>10</v>
      </c>
      <c r="E173" s="6">
        <v>81279</v>
      </c>
      <c r="F173" s="7">
        <f t="shared" si="12"/>
        <v>0.12773926294777962</v>
      </c>
    </row>
    <row r="174" spans="1:6">
      <c r="A174" s="9">
        <v>44778</v>
      </c>
      <c r="B174" s="1">
        <f t="shared" si="0"/>
        <v>2022</v>
      </c>
      <c r="C174" s="1">
        <f t="shared" si="1"/>
        <v>8</v>
      </c>
      <c r="D174" s="2" t="s">
        <v>11</v>
      </c>
      <c r="E174" s="6">
        <v>80591</v>
      </c>
      <c r="F174" s="7">
        <f t="shared" si="12"/>
        <v>7.148946956080926E-2</v>
      </c>
    </row>
    <row r="175" spans="1:6">
      <c r="A175" s="9">
        <v>44779</v>
      </c>
      <c r="B175" s="1">
        <f t="shared" si="0"/>
        <v>2022</v>
      </c>
      <c r="C175" s="1">
        <f t="shared" si="1"/>
        <v>8</v>
      </c>
      <c r="D175" s="2" t="s">
        <v>12</v>
      </c>
      <c r="E175" s="6">
        <v>43163</v>
      </c>
      <c r="F175" s="7">
        <f t="shared" si="12"/>
        <v>0.27205113502209327</v>
      </c>
    </row>
    <row r="176" spans="1:6">
      <c r="A176" s="9">
        <v>44780</v>
      </c>
      <c r="B176" s="1">
        <f t="shared" si="0"/>
        <v>2022</v>
      </c>
      <c r="C176" s="1">
        <f t="shared" si="1"/>
        <v>8</v>
      </c>
      <c r="D176" s="2" t="s">
        <v>13</v>
      </c>
      <c r="E176" s="6">
        <v>89952</v>
      </c>
      <c r="F176" s="7">
        <f t="shared" si="12"/>
        <v>-0.64253889416404941</v>
      </c>
    </row>
    <row r="177" spans="1:6">
      <c r="A177" s="9">
        <v>44781</v>
      </c>
      <c r="B177" s="1">
        <f t="shared" si="0"/>
        <v>2022</v>
      </c>
      <c r="C177" s="1">
        <f t="shared" si="1"/>
        <v>8</v>
      </c>
      <c r="D177" s="2" t="s">
        <v>14</v>
      </c>
      <c r="E177" s="6">
        <v>37879</v>
      </c>
      <c r="F177" s="7">
        <f t="shared" si="12"/>
        <v>0.11360977207843871</v>
      </c>
    </row>
    <row r="178" spans="1:6">
      <c r="A178" s="9">
        <v>44782</v>
      </c>
      <c r="B178" s="1">
        <f t="shared" si="0"/>
        <v>2022</v>
      </c>
      <c r="C178" s="1">
        <f t="shared" si="1"/>
        <v>8</v>
      </c>
      <c r="D178" s="2" t="s">
        <v>15</v>
      </c>
      <c r="E178" s="6">
        <v>17567</v>
      </c>
      <c r="F178" s="7">
        <f t="shared" si="12"/>
        <v>0.35682641965364481</v>
      </c>
    </row>
    <row r="179" spans="1:6">
      <c r="A179" s="9">
        <v>44783</v>
      </c>
      <c r="B179" s="1">
        <f t="shared" si="0"/>
        <v>2022</v>
      </c>
      <c r="C179" s="1">
        <f t="shared" si="1"/>
        <v>8</v>
      </c>
      <c r="D179" s="2" t="s">
        <v>16</v>
      </c>
      <c r="E179" s="6">
        <v>17257</v>
      </c>
      <c r="F179" s="7">
        <f t="shared" si="12"/>
        <v>0.29138093869338477</v>
      </c>
    </row>
    <row r="180" spans="1:6">
      <c r="A180" s="9">
        <v>44784</v>
      </c>
      <c r="B180" s="1">
        <f t="shared" si="0"/>
        <v>2022</v>
      </c>
      <c r="C180" s="1">
        <f t="shared" si="1"/>
        <v>8</v>
      </c>
      <c r="D180" s="2" t="s">
        <v>17</v>
      </c>
      <c r="E180" s="6">
        <v>26112</v>
      </c>
      <c r="F180" s="7">
        <f t="shared" si="12"/>
        <v>-4.2853149087423617E-2</v>
      </c>
    </row>
    <row r="181" spans="1:6">
      <c r="A181" s="9">
        <v>44785</v>
      </c>
      <c r="B181" s="1">
        <f t="shared" si="0"/>
        <v>2022</v>
      </c>
      <c r="C181" s="1">
        <f t="shared" si="1"/>
        <v>8</v>
      </c>
      <c r="D181" s="2" t="s">
        <v>18</v>
      </c>
      <c r="E181" s="6">
        <v>17448</v>
      </c>
      <c r="F181" s="7">
        <f t="shared" si="12"/>
        <v>0.12422827887366361</v>
      </c>
    </row>
    <row r="182" spans="1:6">
      <c r="A182" s="9">
        <v>44786</v>
      </c>
      <c r="B182" s="1">
        <f t="shared" si="0"/>
        <v>2022</v>
      </c>
      <c r="C182" s="1">
        <f t="shared" si="1"/>
        <v>8</v>
      </c>
      <c r="D182" s="2" t="s">
        <v>19</v>
      </c>
      <c r="E182" s="6">
        <v>19454</v>
      </c>
      <c r="F182" s="7">
        <f t="shared" si="12"/>
        <v>3.8928959588973425E-2</v>
      </c>
    </row>
    <row r="183" spans="1:6">
      <c r="A183" s="9">
        <v>44787</v>
      </c>
      <c r="B183" s="1">
        <f t="shared" si="0"/>
        <v>2022</v>
      </c>
      <c r="C183" s="1">
        <f t="shared" si="1"/>
        <v>8</v>
      </c>
      <c r="D183" s="2" t="s">
        <v>20</v>
      </c>
      <c r="E183" s="6">
        <v>9467</v>
      </c>
      <c r="F183" s="7">
        <f t="shared" si="12"/>
        <v>0.33010189640532128</v>
      </c>
    </row>
    <row r="184" spans="1:6">
      <c r="A184" s="9">
        <v>44788</v>
      </c>
      <c r="B184" s="1">
        <f t="shared" si="0"/>
        <v>2022</v>
      </c>
      <c r="C184" s="1">
        <f t="shared" si="1"/>
        <v>8</v>
      </c>
      <c r="D184" s="2" t="s">
        <v>21</v>
      </c>
      <c r="E184" s="6">
        <v>21627</v>
      </c>
      <c r="F184" s="7">
        <f t="shared" si="12"/>
        <v>-0.48099705539957543</v>
      </c>
    </row>
    <row r="185" spans="1:6">
      <c r="A185" s="9">
        <v>44789</v>
      </c>
      <c r="B185" s="1">
        <f t="shared" si="0"/>
        <v>2022</v>
      </c>
      <c r="C185" s="1">
        <f t="shared" si="1"/>
        <v>8</v>
      </c>
      <c r="D185" s="2" t="s">
        <v>22</v>
      </c>
      <c r="E185" s="6">
        <v>12620</v>
      </c>
      <c r="F185" s="7">
        <f t="shared" si="12"/>
        <v>-0.22906116088819634</v>
      </c>
    </row>
    <row r="186" spans="1:6">
      <c r="A186" s="9">
        <v>44790</v>
      </c>
      <c r="B186" s="1">
        <f t="shared" si="0"/>
        <v>2022</v>
      </c>
      <c r="C186" s="1">
        <f t="shared" si="1"/>
        <v>8</v>
      </c>
      <c r="D186" s="2" t="s">
        <v>23</v>
      </c>
      <c r="E186" s="6">
        <v>15468</v>
      </c>
      <c r="F186" s="7">
        <f t="shared" si="12"/>
        <v>-0.7234540389972145</v>
      </c>
    </row>
    <row r="187" spans="1:6">
      <c r="A187" s="9">
        <v>44791</v>
      </c>
      <c r="B187" s="1">
        <f t="shared" si="0"/>
        <v>2022</v>
      </c>
      <c r="C187" s="1">
        <f t="shared" si="1"/>
        <v>8</v>
      </c>
      <c r="D187" s="2" t="s">
        <v>24</v>
      </c>
      <c r="E187" s="6">
        <v>7314</v>
      </c>
      <c r="F187" s="7">
        <f t="shared" si="12"/>
        <v>-0.16669325251236242</v>
      </c>
    </row>
    <row r="188" spans="1:6">
      <c r="A188" s="9">
        <v>44792</v>
      </c>
      <c r="B188" s="1">
        <f t="shared" si="0"/>
        <v>2022</v>
      </c>
      <c r="C188" s="1">
        <f t="shared" si="1"/>
        <v>8</v>
      </c>
      <c r="D188" s="2" t="s">
        <v>25</v>
      </c>
      <c r="E188" s="6">
        <v>10073</v>
      </c>
      <c r="F188" s="7">
        <f t="shared" si="12"/>
        <v>-1.1104127383197151</v>
      </c>
    </row>
    <row r="189" spans="1:6">
      <c r="A189" s="9">
        <v>44793</v>
      </c>
      <c r="B189" s="1">
        <f t="shared" si="0"/>
        <v>2022</v>
      </c>
      <c r="C189" s="1">
        <f t="shared" si="1"/>
        <v>8</v>
      </c>
      <c r="D189" s="2" t="s">
        <v>26</v>
      </c>
      <c r="E189" s="6">
        <v>7734</v>
      </c>
      <c r="F189" s="7">
        <f t="shared" si="12"/>
        <v>-2.0702659785629218</v>
      </c>
    </row>
    <row r="190" spans="1:6">
      <c r="A190" s="9">
        <v>44794</v>
      </c>
      <c r="B190" s="1">
        <f t="shared" si="0"/>
        <v>2022</v>
      </c>
      <c r="C190" s="1">
        <f t="shared" si="1"/>
        <v>8</v>
      </c>
      <c r="D190" s="2" t="s">
        <v>27</v>
      </c>
      <c r="E190" s="6">
        <v>743</v>
      </c>
      <c r="F190" s="7">
        <f t="shared" si="12"/>
        <v>0.5593119810201661</v>
      </c>
    </row>
    <row r="191" spans="1:6">
      <c r="A191" s="9">
        <v>44795</v>
      </c>
      <c r="B191" s="1">
        <f t="shared" si="0"/>
        <v>2022</v>
      </c>
      <c r="C191" s="1">
        <f t="shared" si="1"/>
        <v>8</v>
      </c>
      <c r="D191" s="2" t="s">
        <v>28</v>
      </c>
      <c r="E191" s="6">
        <v>0</v>
      </c>
      <c r="F191" s="7">
        <f t="shared" si="12"/>
        <v>1</v>
      </c>
    </row>
    <row r="192" spans="1:6">
      <c r="A192" s="9">
        <v>44796</v>
      </c>
      <c r="B192" s="1">
        <f t="shared" si="0"/>
        <v>2022</v>
      </c>
      <c r="C192" s="1">
        <f t="shared" si="1"/>
        <v>8</v>
      </c>
      <c r="D192" s="2" t="s">
        <v>29</v>
      </c>
      <c r="E192" s="6">
        <v>803</v>
      </c>
      <c r="F192" s="7">
        <f t="shared" si="12"/>
        <v>-10.471428571428572</v>
      </c>
    </row>
    <row r="193" spans="1:6">
      <c r="A193" s="9">
        <v>44797</v>
      </c>
      <c r="B193" s="1">
        <f t="shared" si="0"/>
        <v>2022</v>
      </c>
      <c r="C193" s="1">
        <f t="shared" si="1"/>
        <v>8</v>
      </c>
      <c r="D193" s="2" t="s">
        <v>30</v>
      </c>
      <c r="E193" s="6">
        <v>0</v>
      </c>
      <c r="F193" s="8">
        <v>0</v>
      </c>
    </row>
    <row r="194" spans="1:6">
      <c r="A194" s="9">
        <v>44805</v>
      </c>
      <c r="B194" s="1">
        <f t="shared" si="0"/>
        <v>2022</v>
      </c>
      <c r="C194" s="1">
        <f t="shared" si="1"/>
        <v>9</v>
      </c>
      <c r="D194" s="2" t="s">
        <v>7</v>
      </c>
      <c r="E194" s="6">
        <v>133054</v>
      </c>
      <c r="F194" s="7">
        <f t="shared" ref="F194:F216" si="13">(E482-E194)/E482</f>
        <v>0.12433364484751161</v>
      </c>
    </row>
    <row r="195" spans="1:6">
      <c r="A195" s="9">
        <v>44806</v>
      </c>
      <c r="B195" s="1">
        <f t="shared" si="0"/>
        <v>2022</v>
      </c>
      <c r="C195" s="1">
        <f t="shared" si="1"/>
        <v>9</v>
      </c>
      <c r="D195" s="2" t="s">
        <v>8</v>
      </c>
      <c r="E195" s="6">
        <v>119331</v>
      </c>
      <c r="F195" s="7">
        <f t="shared" si="13"/>
        <v>0.15396886166411433</v>
      </c>
    </row>
    <row r="196" spans="1:6">
      <c r="A196" s="9">
        <v>44807</v>
      </c>
      <c r="B196" s="1">
        <f t="shared" si="0"/>
        <v>2022</v>
      </c>
      <c r="C196" s="1">
        <f t="shared" si="1"/>
        <v>9</v>
      </c>
      <c r="D196" s="2" t="s">
        <v>9</v>
      </c>
      <c r="E196" s="6">
        <v>131509</v>
      </c>
      <c r="F196" s="7">
        <f t="shared" si="13"/>
        <v>1.2042490534286916E-2</v>
      </c>
    </row>
    <row r="197" spans="1:6">
      <c r="A197" s="9">
        <v>44808</v>
      </c>
      <c r="B197" s="1">
        <f t="shared" si="0"/>
        <v>2022</v>
      </c>
      <c r="C197" s="1">
        <f t="shared" si="1"/>
        <v>9</v>
      </c>
      <c r="D197" s="2" t="s">
        <v>10</v>
      </c>
      <c r="E197" s="6">
        <v>88856</v>
      </c>
      <c r="F197" s="7">
        <f t="shared" si="13"/>
        <v>0.19683274278689711</v>
      </c>
    </row>
    <row r="198" spans="1:6">
      <c r="A198" s="9">
        <v>44809</v>
      </c>
      <c r="B198" s="1">
        <f t="shared" si="0"/>
        <v>2022</v>
      </c>
      <c r="C198" s="1">
        <f t="shared" si="1"/>
        <v>9</v>
      </c>
      <c r="D198" s="2" t="s">
        <v>11</v>
      </c>
      <c r="E198" s="6">
        <v>91264</v>
      </c>
      <c r="F198" s="7">
        <f t="shared" si="13"/>
        <v>7.87090782447179E-2</v>
      </c>
    </row>
    <row r="199" spans="1:6">
      <c r="A199" s="9">
        <v>44810</v>
      </c>
      <c r="B199" s="1">
        <f t="shared" si="0"/>
        <v>2022</v>
      </c>
      <c r="C199" s="1">
        <f t="shared" si="1"/>
        <v>9</v>
      </c>
      <c r="D199" s="2" t="s">
        <v>12</v>
      </c>
      <c r="E199" s="6">
        <v>48737</v>
      </c>
      <c r="F199" s="7">
        <f t="shared" si="13"/>
        <v>0.26748729972645563</v>
      </c>
    </row>
    <row r="200" spans="1:6">
      <c r="A200" s="9">
        <v>44811</v>
      </c>
      <c r="B200" s="1">
        <f t="shared" si="0"/>
        <v>2022</v>
      </c>
      <c r="C200" s="1">
        <f t="shared" si="1"/>
        <v>9</v>
      </c>
      <c r="D200" s="2" t="s">
        <v>13</v>
      </c>
      <c r="E200" s="6">
        <v>97974</v>
      </c>
      <c r="F200" s="7">
        <f t="shared" si="13"/>
        <v>-0.61707957152524473</v>
      </c>
    </row>
    <row r="201" spans="1:6">
      <c r="A201" s="9">
        <v>44812</v>
      </c>
      <c r="B201" s="1">
        <f t="shared" si="0"/>
        <v>2022</v>
      </c>
      <c r="C201" s="1">
        <f t="shared" si="1"/>
        <v>9</v>
      </c>
      <c r="D201" s="2" t="s">
        <v>14</v>
      </c>
      <c r="E201" s="6">
        <v>43534</v>
      </c>
      <c r="F201" s="7">
        <f t="shared" si="13"/>
        <v>7.6808889642887443E-2</v>
      </c>
    </row>
    <row r="202" spans="1:6">
      <c r="A202" s="9">
        <v>44813</v>
      </c>
      <c r="B202" s="1">
        <f t="shared" si="0"/>
        <v>2022</v>
      </c>
      <c r="C202" s="1">
        <f t="shared" si="1"/>
        <v>9</v>
      </c>
      <c r="D202" s="2" t="s">
        <v>15</v>
      </c>
      <c r="E202" s="6">
        <v>20890</v>
      </c>
      <c r="F202" s="7">
        <f t="shared" si="13"/>
        <v>0.31761016561591482</v>
      </c>
    </row>
    <row r="203" spans="1:6">
      <c r="A203" s="9">
        <v>44814</v>
      </c>
      <c r="B203" s="1">
        <f t="shared" si="0"/>
        <v>2022</v>
      </c>
      <c r="C203" s="1">
        <f t="shared" si="1"/>
        <v>9</v>
      </c>
      <c r="D203" s="2" t="s">
        <v>16</v>
      </c>
      <c r="E203" s="6">
        <v>19522</v>
      </c>
      <c r="F203" s="7">
        <f t="shared" si="13"/>
        <v>0.30385479442285063</v>
      </c>
    </row>
    <row r="204" spans="1:6">
      <c r="A204" s="9">
        <v>44815</v>
      </c>
      <c r="B204" s="1">
        <f t="shared" si="0"/>
        <v>2022</v>
      </c>
      <c r="C204" s="1">
        <f t="shared" si="1"/>
        <v>9</v>
      </c>
      <c r="D204" s="2" t="s">
        <v>17</v>
      </c>
      <c r="E204" s="6">
        <v>29046</v>
      </c>
      <c r="F204" s="7">
        <f t="shared" si="13"/>
        <v>-9.6635150166852063E-3</v>
      </c>
    </row>
    <row r="205" spans="1:6">
      <c r="A205" s="9">
        <v>44816</v>
      </c>
      <c r="B205" s="1">
        <f t="shared" si="0"/>
        <v>2022</v>
      </c>
      <c r="C205" s="1">
        <f t="shared" si="1"/>
        <v>9</v>
      </c>
      <c r="D205" s="2" t="s">
        <v>18</v>
      </c>
      <c r="E205" s="6">
        <v>19630</v>
      </c>
      <c r="F205" s="7">
        <f t="shared" si="13"/>
        <v>0.13018433179723501</v>
      </c>
    </row>
    <row r="206" spans="1:6">
      <c r="A206" s="9">
        <v>44817</v>
      </c>
      <c r="B206" s="1">
        <f t="shared" si="0"/>
        <v>2022</v>
      </c>
      <c r="C206" s="1">
        <f t="shared" si="1"/>
        <v>9</v>
      </c>
      <c r="D206" s="2" t="s">
        <v>19</v>
      </c>
      <c r="E206" s="6">
        <v>22124</v>
      </c>
      <c r="F206" s="7">
        <f t="shared" si="13"/>
        <v>-4.4948921679909193E-3</v>
      </c>
    </row>
    <row r="207" spans="1:6">
      <c r="A207" s="9">
        <v>44818</v>
      </c>
      <c r="B207" s="1">
        <f t="shared" si="0"/>
        <v>2022</v>
      </c>
      <c r="C207" s="1">
        <f t="shared" si="1"/>
        <v>9</v>
      </c>
      <c r="D207" s="2" t="s">
        <v>20</v>
      </c>
      <c r="E207" s="6">
        <v>11034</v>
      </c>
      <c r="F207" s="7">
        <f t="shared" si="13"/>
        <v>0.30730114884801307</v>
      </c>
    </row>
    <row r="208" spans="1:6">
      <c r="A208" s="9">
        <v>44819</v>
      </c>
      <c r="B208" s="1">
        <f t="shared" si="0"/>
        <v>2022</v>
      </c>
      <c r="C208" s="1">
        <f t="shared" si="1"/>
        <v>9</v>
      </c>
      <c r="D208" s="2" t="s">
        <v>21</v>
      </c>
      <c r="E208" s="6">
        <v>24635</v>
      </c>
      <c r="F208" s="7">
        <f t="shared" si="13"/>
        <v>-0.62168389177802641</v>
      </c>
    </row>
    <row r="209" spans="1:6">
      <c r="A209" s="9">
        <v>44820</v>
      </c>
      <c r="B209" s="1">
        <f t="shared" si="0"/>
        <v>2022</v>
      </c>
      <c r="C209" s="1">
        <f t="shared" si="1"/>
        <v>9</v>
      </c>
      <c r="D209" s="2" t="s">
        <v>22</v>
      </c>
      <c r="E209" s="6">
        <v>13275</v>
      </c>
      <c r="F209" s="7">
        <f t="shared" si="13"/>
        <v>-0.14262351523498021</v>
      </c>
    </row>
    <row r="210" spans="1:6">
      <c r="A210" s="9">
        <v>44821</v>
      </c>
      <c r="B210" s="1">
        <f t="shared" si="0"/>
        <v>2022</v>
      </c>
      <c r="C210" s="1">
        <f t="shared" si="1"/>
        <v>9</v>
      </c>
      <c r="D210" s="2" t="s">
        <v>23</v>
      </c>
      <c r="E210" s="6">
        <v>17045</v>
      </c>
      <c r="F210" s="7">
        <f t="shared" si="13"/>
        <v>-0.61197276338188011</v>
      </c>
    </row>
    <row r="211" spans="1:6">
      <c r="A211" s="9">
        <v>44822</v>
      </c>
      <c r="B211" s="1">
        <f t="shared" si="0"/>
        <v>2022</v>
      </c>
      <c r="C211" s="1">
        <f t="shared" si="1"/>
        <v>9</v>
      </c>
      <c r="D211" s="2" t="s">
        <v>24</v>
      </c>
      <c r="E211" s="6">
        <v>8410</v>
      </c>
      <c r="F211" s="7">
        <f t="shared" si="13"/>
        <v>-0.17196209587513936</v>
      </c>
    </row>
    <row r="212" spans="1:6">
      <c r="A212" s="9">
        <v>44823</v>
      </c>
      <c r="B212" s="1">
        <f t="shared" si="0"/>
        <v>2022</v>
      </c>
      <c r="C212" s="1">
        <f t="shared" si="1"/>
        <v>9</v>
      </c>
      <c r="D212" s="2" t="s">
        <v>25</v>
      </c>
      <c r="E212" s="6">
        <v>10933</v>
      </c>
      <c r="F212" s="7">
        <f t="shared" si="13"/>
        <v>-1.0238800444279896</v>
      </c>
    </row>
    <row r="213" spans="1:6">
      <c r="A213" s="9">
        <v>44824</v>
      </c>
      <c r="B213" s="1">
        <f t="shared" si="0"/>
        <v>2022</v>
      </c>
      <c r="C213" s="1">
        <f t="shared" si="1"/>
        <v>9</v>
      </c>
      <c r="D213" s="2" t="s">
        <v>26</v>
      </c>
      <c r="E213" s="6">
        <v>8211</v>
      </c>
      <c r="F213" s="7">
        <f t="shared" si="13"/>
        <v>-1.665909090909091</v>
      </c>
    </row>
    <row r="214" spans="1:6">
      <c r="A214" s="9">
        <v>44825</v>
      </c>
      <c r="B214" s="1">
        <f t="shared" si="0"/>
        <v>2022</v>
      </c>
      <c r="C214" s="1">
        <f t="shared" si="1"/>
        <v>9</v>
      </c>
      <c r="D214" s="2" t="s">
        <v>27</v>
      </c>
      <c r="E214" s="6">
        <v>804</v>
      </c>
      <c r="F214" s="7">
        <f t="shared" si="13"/>
        <v>0.58125000000000004</v>
      </c>
    </row>
    <row r="215" spans="1:6">
      <c r="A215" s="9">
        <v>44826</v>
      </c>
      <c r="B215" s="1">
        <f t="shared" si="0"/>
        <v>2022</v>
      </c>
      <c r="C215" s="1">
        <f t="shared" si="1"/>
        <v>9</v>
      </c>
      <c r="D215" s="2" t="s">
        <v>28</v>
      </c>
      <c r="E215" s="6">
        <v>0</v>
      </c>
      <c r="F215" s="7">
        <f t="shared" si="13"/>
        <v>1</v>
      </c>
    </row>
    <row r="216" spans="1:6">
      <c r="A216" s="9">
        <v>44827</v>
      </c>
      <c r="B216" s="1">
        <f t="shared" si="0"/>
        <v>2022</v>
      </c>
      <c r="C216" s="1">
        <f t="shared" si="1"/>
        <v>9</v>
      </c>
      <c r="D216" s="2" t="s">
        <v>29</v>
      </c>
      <c r="E216" s="6">
        <v>803</v>
      </c>
      <c r="F216" s="7">
        <f t="shared" si="13"/>
        <v>-10.471428571428572</v>
      </c>
    </row>
    <row r="217" spans="1:6">
      <c r="A217" s="9">
        <v>44828</v>
      </c>
      <c r="B217" s="1">
        <f t="shared" si="0"/>
        <v>2022</v>
      </c>
      <c r="C217" s="1">
        <f t="shared" si="1"/>
        <v>9</v>
      </c>
      <c r="D217" s="2" t="s">
        <v>30</v>
      </c>
      <c r="E217" s="6">
        <v>0</v>
      </c>
      <c r="F217" s="8">
        <v>0</v>
      </c>
    </row>
    <row r="218" spans="1:6">
      <c r="A218" s="10">
        <v>44835</v>
      </c>
      <c r="B218" s="1">
        <f t="shared" si="0"/>
        <v>2022</v>
      </c>
      <c r="C218" s="1">
        <f t="shared" si="1"/>
        <v>10</v>
      </c>
      <c r="D218" s="2" t="s">
        <v>7</v>
      </c>
      <c r="E218" s="6">
        <v>158915</v>
      </c>
      <c r="F218" s="7">
        <f t="shared" ref="F218:F240" si="14">(E506-E218)/E506</f>
        <v>5.8192184147830311E-2</v>
      </c>
    </row>
    <row r="219" spans="1:6">
      <c r="A219" s="10">
        <v>44836</v>
      </c>
      <c r="B219" s="1">
        <f t="shared" si="0"/>
        <v>2022</v>
      </c>
      <c r="C219" s="1">
        <f t="shared" si="1"/>
        <v>10</v>
      </c>
      <c r="D219" s="2" t="s">
        <v>8</v>
      </c>
      <c r="E219" s="6">
        <v>134265</v>
      </c>
      <c r="F219" s="7">
        <f t="shared" si="14"/>
        <v>0.15067843248885093</v>
      </c>
    </row>
    <row r="220" spans="1:6">
      <c r="A220" s="10">
        <v>44837</v>
      </c>
      <c r="B220" s="1">
        <f t="shared" si="0"/>
        <v>2022</v>
      </c>
      <c r="C220" s="1">
        <f t="shared" si="1"/>
        <v>10</v>
      </c>
      <c r="D220" s="2" t="s">
        <v>9</v>
      </c>
      <c r="E220" s="6">
        <v>148638</v>
      </c>
      <c r="F220" s="7">
        <f t="shared" si="14"/>
        <v>3.6276283285678161E-2</v>
      </c>
    </row>
    <row r="221" spans="1:6">
      <c r="A221" s="10">
        <v>44838</v>
      </c>
      <c r="B221" s="1">
        <f t="shared" si="0"/>
        <v>2022</v>
      </c>
      <c r="C221" s="1">
        <f t="shared" si="1"/>
        <v>10</v>
      </c>
      <c r="D221" s="2" t="s">
        <v>10</v>
      </c>
      <c r="E221" s="6">
        <v>97534</v>
      </c>
      <c r="F221" s="7">
        <f t="shared" si="14"/>
        <v>0.2123492881312132</v>
      </c>
    </row>
    <row r="222" spans="1:6">
      <c r="A222" s="10">
        <v>44839</v>
      </c>
      <c r="B222" s="1">
        <f t="shared" si="0"/>
        <v>2022</v>
      </c>
      <c r="C222" s="1">
        <f t="shared" si="1"/>
        <v>10</v>
      </c>
      <c r="D222" s="2" t="s">
        <v>11</v>
      </c>
      <c r="E222" s="6">
        <v>103014</v>
      </c>
      <c r="F222" s="7">
        <f t="shared" si="14"/>
        <v>8.0470235385480551E-2</v>
      </c>
    </row>
    <row r="223" spans="1:6">
      <c r="A223" s="10">
        <v>44840</v>
      </c>
      <c r="B223" s="1">
        <f t="shared" si="0"/>
        <v>2022</v>
      </c>
      <c r="C223" s="1">
        <f t="shared" si="1"/>
        <v>10</v>
      </c>
      <c r="D223" s="2" t="s">
        <v>12</v>
      </c>
      <c r="E223" s="6">
        <v>54822</v>
      </c>
      <c r="F223" s="7">
        <f t="shared" si="14"/>
        <v>0.26063090887021728</v>
      </c>
    </row>
    <row r="224" spans="1:6">
      <c r="A224" s="10">
        <v>44841</v>
      </c>
      <c r="B224" s="1">
        <f t="shared" si="0"/>
        <v>2022</v>
      </c>
      <c r="C224" s="1">
        <f t="shared" si="1"/>
        <v>10</v>
      </c>
      <c r="D224" s="2" t="s">
        <v>13</v>
      </c>
      <c r="E224" s="6">
        <v>106522</v>
      </c>
      <c r="F224" s="7">
        <f t="shared" si="14"/>
        <v>-0.55160007574323044</v>
      </c>
    </row>
    <row r="225" spans="1:6">
      <c r="A225" s="10">
        <v>44842</v>
      </c>
      <c r="B225" s="1">
        <f t="shared" si="0"/>
        <v>2022</v>
      </c>
      <c r="C225" s="1">
        <f t="shared" si="1"/>
        <v>10</v>
      </c>
      <c r="D225" s="2" t="s">
        <v>14</v>
      </c>
      <c r="E225" s="6">
        <v>49713</v>
      </c>
      <c r="F225" s="7">
        <f t="shared" si="14"/>
        <v>5.0843897968535209E-2</v>
      </c>
    </row>
    <row r="226" spans="1:6">
      <c r="A226" s="10">
        <v>44843</v>
      </c>
      <c r="B226" s="1">
        <f t="shared" si="0"/>
        <v>2022</v>
      </c>
      <c r="C226" s="1">
        <f t="shared" si="1"/>
        <v>10</v>
      </c>
      <c r="D226" s="2" t="s">
        <v>15</v>
      </c>
      <c r="E226" s="6">
        <v>24778</v>
      </c>
      <c r="F226" s="7">
        <f t="shared" si="14"/>
        <v>0.27292467501980694</v>
      </c>
    </row>
    <row r="227" spans="1:6">
      <c r="A227" s="10">
        <v>44844</v>
      </c>
      <c r="B227" s="1">
        <f t="shared" si="0"/>
        <v>2022</v>
      </c>
      <c r="C227" s="1">
        <f t="shared" si="1"/>
        <v>10</v>
      </c>
      <c r="D227" s="2" t="s">
        <v>16</v>
      </c>
      <c r="E227" s="6">
        <v>19522</v>
      </c>
      <c r="F227" s="7">
        <f t="shared" si="14"/>
        <v>0.39380201217240096</v>
      </c>
    </row>
    <row r="228" spans="1:6">
      <c r="A228" s="10">
        <v>44845</v>
      </c>
      <c r="B228" s="1">
        <f t="shared" si="0"/>
        <v>2022</v>
      </c>
      <c r="C228" s="1">
        <f t="shared" si="1"/>
        <v>10</v>
      </c>
      <c r="D228" s="2" t="s">
        <v>17</v>
      </c>
      <c r="E228" s="6">
        <v>32194</v>
      </c>
      <c r="F228" s="7">
        <f t="shared" si="14"/>
        <v>-2.6160074743070694E-3</v>
      </c>
    </row>
    <row r="229" spans="1:6">
      <c r="A229" s="10">
        <v>44846</v>
      </c>
      <c r="B229" s="1">
        <f t="shared" si="0"/>
        <v>2022</v>
      </c>
      <c r="C229" s="1">
        <f t="shared" si="1"/>
        <v>10</v>
      </c>
      <c r="D229" s="2" t="s">
        <v>18</v>
      </c>
      <c r="E229" s="6">
        <v>21837</v>
      </c>
      <c r="F229" s="7">
        <f t="shared" si="14"/>
        <v>0.13881768347990692</v>
      </c>
    </row>
    <row r="230" spans="1:6">
      <c r="A230" s="10">
        <v>44847</v>
      </c>
      <c r="B230" s="1">
        <f t="shared" si="0"/>
        <v>2022</v>
      </c>
      <c r="C230" s="1">
        <f t="shared" si="1"/>
        <v>10</v>
      </c>
      <c r="D230" s="2" t="s">
        <v>19</v>
      </c>
      <c r="E230" s="6">
        <v>24871</v>
      </c>
      <c r="F230" s="7">
        <f t="shared" si="14"/>
        <v>-2.8407211379424414E-2</v>
      </c>
    </row>
    <row r="231" spans="1:6">
      <c r="A231" s="10">
        <v>44848</v>
      </c>
      <c r="B231" s="1">
        <f t="shared" si="0"/>
        <v>2022</v>
      </c>
      <c r="C231" s="1">
        <f t="shared" si="1"/>
        <v>10</v>
      </c>
      <c r="D231" s="2" t="s">
        <v>20</v>
      </c>
      <c r="E231" s="6">
        <v>12339</v>
      </c>
      <c r="F231" s="7">
        <f t="shared" si="14"/>
        <v>0.31586826347305391</v>
      </c>
    </row>
    <row r="232" spans="1:6">
      <c r="A232" s="10">
        <v>44849</v>
      </c>
      <c r="B232" s="1">
        <f t="shared" si="0"/>
        <v>2022</v>
      </c>
      <c r="C232" s="1">
        <f t="shared" si="1"/>
        <v>10</v>
      </c>
      <c r="D232" s="2" t="s">
        <v>21</v>
      </c>
      <c r="E232" s="6">
        <v>27905</v>
      </c>
      <c r="F232" s="7">
        <f t="shared" si="14"/>
        <v>-0.7339837196296527</v>
      </c>
    </row>
    <row r="233" spans="1:6">
      <c r="A233" s="10">
        <v>44850</v>
      </c>
      <c r="B233" s="1">
        <f t="shared" si="0"/>
        <v>2022</v>
      </c>
      <c r="C233" s="1">
        <f t="shared" si="1"/>
        <v>10</v>
      </c>
      <c r="D233" s="2" t="s">
        <v>22</v>
      </c>
      <c r="E233" s="6">
        <v>14221</v>
      </c>
      <c r="F233" s="7">
        <f t="shared" si="14"/>
        <v>-6.9328520941424165E-2</v>
      </c>
    </row>
    <row r="234" spans="1:6">
      <c r="A234" s="10">
        <v>44851</v>
      </c>
      <c r="B234" s="1">
        <f t="shared" si="0"/>
        <v>2022</v>
      </c>
      <c r="C234" s="1">
        <f t="shared" si="1"/>
        <v>10</v>
      </c>
      <c r="D234" s="2" t="s">
        <v>23</v>
      </c>
      <c r="E234" s="6">
        <v>18498</v>
      </c>
      <c r="F234" s="7">
        <f t="shared" si="14"/>
        <v>-0.5714892532495115</v>
      </c>
    </row>
    <row r="235" spans="1:6">
      <c r="A235" s="10">
        <v>44852</v>
      </c>
      <c r="B235" s="1">
        <f t="shared" si="0"/>
        <v>2022</v>
      </c>
      <c r="C235" s="1">
        <f t="shared" si="1"/>
        <v>10</v>
      </c>
      <c r="D235" s="2" t="s">
        <v>24</v>
      </c>
      <c r="E235" s="6">
        <v>0</v>
      </c>
      <c r="F235" s="7">
        <f t="shared" si="14"/>
        <v>1</v>
      </c>
    </row>
    <row r="236" spans="1:6">
      <c r="A236" s="10">
        <v>44853</v>
      </c>
      <c r="B236" s="1">
        <f t="shared" si="0"/>
        <v>2022</v>
      </c>
      <c r="C236" s="1">
        <f t="shared" si="1"/>
        <v>10</v>
      </c>
      <c r="D236" s="2" t="s">
        <v>25</v>
      </c>
      <c r="E236" s="6">
        <v>11851</v>
      </c>
      <c r="F236" s="7">
        <f t="shared" si="14"/>
        <v>-0.94087782509007534</v>
      </c>
    </row>
    <row r="237" spans="1:6">
      <c r="A237" s="10">
        <v>44854</v>
      </c>
      <c r="B237" s="1">
        <f t="shared" si="0"/>
        <v>2022</v>
      </c>
      <c r="C237" s="1">
        <f t="shared" si="1"/>
        <v>10</v>
      </c>
      <c r="D237" s="2" t="s">
        <v>26</v>
      </c>
      <c r="E237" s="6">
        <v>8413</v>
      </c>
      <c r="F237" s="7">
        <f t="shared" si="14"/>
        <v>-1.2087161984772907</v>
      </c>
    </row>
    <row r="238" spans="1:6">
      <c r="A238" s="10">
        <v>44855</v>
      </c>
      <c r="B238" s="1">
        <f t="shared" si="0"/>
        <v>2022</v>
      </c>
      <c r="C238" s="1">
        <f t="shared" si="1"/>
        <v>10</v>
      </c>
      <c r="D238" s="2" t="s">
        <v>27</v>
      </c>
      <c r="E238" s="6">
        <v>850</v>
      </c>
      <c r="F238" s="7">
        <f t="shared" si="14"/>
        <v>0.60280373831775702</v>
      </c>
    </row>
    <row r="239" spans="1:6">
      <c r="A239" s="10">
        <v>44856</v>
      </c>
      <c r="B239" s="1">
        <f t="shared" si="0"/>
        <v>2022</v>
      </c>
      <c r="C239" s="1">
        <f t="shared" si="1"/>
        <v>10</v>
      </c>
      <c r="D239" s="2" t="s">
        <v>28</v>
      </c>
      <c r="E239" s="6">
        <v>0</v>
      </c>
      <c r="F239" s="7">
        <f t="shared" si="14"/>
        <v>1</v>
      </c>
    </row>
    <row r="240" spans="1:6">
      <c r="A240" s="10">
        <v>44857</v>
      </c>
      <c r="B240" s="1">
        <f t="shared" si="0"/>
        <v>2022</v>
      </c>
      <c r="C240" s="1">
        <f t="shared" si="1"/>
        <v>10</v>
      </c>
      <c r="D240" s="2" t="s">
        <v>29</v>
      </c>
      <c r="E240" s="6">
        <v>1146</v>
      </c>
      <c r="F240" s="7">
        <f t="shared" si="14"/>
        <v>-15.371428571428572</v>
      </c>
    </row>
    <row r="241" spans="1:6">
      <c r="A241" s="10">
        <v>44858</v>
      </c>
      <c r="B241" s="1">
        <f t="shared" si="0"/>
        <v>2022</v>
      </c>
      <c r="C241" s="1">
        <f t="shared" si="1"/>
        <v>10</v>
      </c>
      <c r="D241" s="2" t="s">
        <v>30</v>
      </c>
      <c r="E241" s="6">
        <v>983</v>
      </c>
      <c r="F241" s="8">
        <v>0</v>
      </c>
    </row>
    <row r="242" spans="1:6">
      <c r="A242" s="10">
        <v>44866</v>
      </c>
      <c r="B242" s="1">
        <f t="shared" si="0"/>
        <v>2022</v>
      </c>
      <c r="C242" s="1">
        <f t="shared" si="1"/>
        <v>11</v>
      </c>
      <c r="D242" s="2" t="s">
        <v>7</v>
      </c>
      <c r="E242" s="6">
        <v>176873</v>
      </c>
      <c r="F242" s="7">
        <f t="shared" ref="F242:F264" si="15">(E530-E242)/E530</f>
        <v>3.7336787621167676E-2</v>
      </c>
    </row>
    <row r="243" spans="1:6">
      <c r="A243" s="10">
        <v>44867</v>
      </c>
      <c r="B243" s="1">
        <f t="shared" si="0"/>
        <v>2022</v>
      </c>
      <c r="C243" s="1">
        <f t="shared" si="1"/>
        <v>11</v>
      </c>
      <c r="D243" s="2" t="s">
        <v>8</v>
      </c>
      <c r="E243" s="6">
        <v>148163</v>
      </c>
      <c r="F243" s="7">
        <f t="shared" si="15"/>
        <v>0.16426186232260104</v>
      </c>
    </row>
    <row r="244" spans="1:6">
      <c r="A244" s="10">
        <v>44868</v>
      </c>
      <c r="B244" s="1">
        <f t="shared" si="0"/>
        <v>2022</v>
      </c>
      <c r="C244" s="1">
        <f t="shared" si="1"/>
        <v>11</v>
      </c>
      <c r="D244" s="2" t="s">
        <v>9</v>
      </c>
      <c r="E244" s="6">
        <v>163753</v>
      </c>
      <c r="F244" s="7">
        <f t="shared" si="15"/>
        <v>2.8177874315285963E-2</v>
      </c>
    </row>
    <row r="245" spans="1:6">
      <c r="A245" s="10">
        <v>44869</v>
      </c>
      <c r="B245" s="1">
        <f t="shared" si="0"/>
        <v>2022</v>
      </c>
      <c r="C245" s="1">
        <f t="shared" si="1"/>
        <v>11</v>
      </c>
      <c r="D245" s="2" t="s">
        <v>10</v>
      </c>
      <c r="E245" s="6">
        <v>107820</v>
      </c>
      <c r="F245" s="7">
        <f t="shared" si="15"/>
        <v>0.20050422660536854</v>
      </c>
    </row>
    <row r="246" spans="1:6">
      <c r="A246" s="10">
        <v>44870</v>
      </c>
      <c r="B246" s="1">
        <f t="shared" si="0"/>
        <v>2022</v>
      </c>
      <c r="C246" s="1">
        <f t="shared" si="1"/>
        <v>11</v>
      </c>
      <c r="D246" s="2" t="s">
        <v>11</v>
      </c>
      <c r="E246" s="6">
        <v>113352</v>
      </c>
      <c r="F246" s="7">
        <f t="shared" si="15"/>
        <v>9.4589197565378536E-2</v>
      </c>
    </row>
    <row r="247" spans="1:6">
      <c r="A247" s="10">
        <v>44871</v>
      </c>
      <c r="B247" s="1">
        <f t="shared" si="0"/>
        <v>2022</v>
      </c>
      <c r="C247" s="1">
        <f t="shared" si="1"/>
        <v>11</v>
      </c>
      <c r="D247" s="2" t="s">
        <v>12</v>
      </c>
      <c r="E247" s="6">
        <v>60705</v>
      </c>
      <c r="F247" s="7">
        <f t="shared" si="15"/>
        <v>0.25196850393700787</v>
      </c>
    </row>
    <row r="248" spans="1:6">
      <c r="A248" s="10">
        <v>44872</v>
      </c>
      <c r="B248" s="1">
        <f t="shared" si="0"/>
        <v>2022</v>
      </c>
      <c r="C248" s="1">
        <f t="shared" si="1"/>
        <v>11</v>
      </c>
      <c r="D248" s="2" t="s">
        <v>13</v>
      </c>
      <c r="E248" s="6">
        <v>113737</v>
      </c>
      <c r="F248" s="7">
        <f t="shared" si="15"/>
        <v>-0.50262907572795013</v>
      </c>
    </row>
    <row r="249" spans="1:6">
      <c r="A249" s="10">
        <v>44873</v>
      </c>
      <c r="B249" s="1">
        <f t="shared" si="0"/>
        <v>2022</v>
      </c>
      <c r="C249" s="1">
        <f t="shared" si="1"/>
        <v>11</v>
      </c>
      <c r="D249" s="2" t="s">
        <v>14</v>
      </c>
      <c r="E249" s="6">
        <v>55295</v>
      </c>
      <c r="F249" s="7">
        <f t="shared" si="15"/>
        <v>3.2322984844772674E-2</v>
      </c>
    </row>
    <row r="250" spans="1:6">
      <c r="A250" s="10">
        <v>44874</v>
      </c>
      <c r="B250" s="1">
        <f t="shared" si="0"/>
        <v>2022</v>
      </c>
      <c r="C250" s="1">
        <f t="shared" si="1"/>
        <v>11</v>
      </c>
      <c r="D250" s="2" t="s">
        <v>15</v>
      </c>
      <c r="E250" s="6">
        <v>28079</v>
      </c>
      <c r="F250" s="7">
        <f t="shared" si="15"/>
        <v>0.25176539558184774</v>
      </c>
    </row>
    <row r="251" spans="1:6">
      <c r="A251" s="10">
        <v>44875</v>
      </c>
      <c r="B251" s="1">
        <f t="shared" si="0"/>
        <v>2022</v>
      </c>
      <c r="C251" s="1">
        <f t="shared" si="1"/>
        <v>11</v>
      </c>
      <c r="D251" s="2" t="s">
        <v>16</v>
      </c>
      <c r="E251" s="6">
        <v>19522</v>
      </c>
      <c r="F251" s="7">
        <f t="shared" si="15"/>
        <v>0.44892025405786873</v>
      </c>
    </row>
    <row r="252" spans="1:6">
      <c r="A252" s="10">
        <v>44876</v>
      </c>
      <c r="B252" s="1">
        <f t="shared" si="0"/>
        <v>2022</v>
      </c>
      <c r="C252" s="1">
        <f t="shared" si="1"/>
        <v>11</v>
      </c>
      <c r="D252" s="2" t="s">
        <v>17</v>
      </c>
      <c r="E252" s="6">
        <v>35487</v>
      </c>
      <c r="F252" s="7">
        <f t="shared" si="15"/>
        <v>-5.0412076241184963E-3</v>
      </c>
    </row>
    <row r="253" spans="1:6">
      <c r="A253" s="10">
        <v>44877</v>
      </c>
      <c r="B253" s="1">
        <f t="shared" si="0"/>
        <v>2022</v>
      </c>
      <c r="C253" s="1">
        <f t="shared" si="1"/>
        <v>11</v>
      </c>
      <c r="D253" s="2" t="s">
        <v>18</v>
      </c>
      <c r="E253" s="6">
        <v>23985</v>
      </c>
      <c r="F253" s="7">
        <f t="shared" si="15"/>
        <v>0.137571464528424</v>
      </c>
    </row>
    <row r="254" spans="1:6">
      <c r="A254" s="10">
        <v>44878</v>
      </c>
      <c r="B254" s="1">
        <f t="shared" si="0"/>
        <v>2022</v>
      </c>
      <c r="C254" s="1">
        <f t="shared" si="1"/>
        <v>11</v>
      </c>
      <c r="D254" s="2" t="s">
        <v>19</v>
      </c>
      <c r="E254" s="6">
        <v>27994</v>
      </c>
      <c r="F254" s="7">
        <f t="shared" si="15"/>
        <v>-8.4030359355638171E-2</v>
      </c>
    </row>
    <row r="255" spans="1:6">
      <c r="A255" s="10">
        <v>44879</v>
      </c>
      <c r="B255" s="1">
        <f t="shared" si="0"/>
        <v>2022</v>
      </c>
      <c r="C255" s="1">
        <f t="shared" si="1"/>
        <v>11</v>
      </c>
      <c r="D255" s="2" t="s">
        <v>20</v>
      </c>
      <c r="E255" s="6">
        <v>14432</v>
      </c>
      <c r="F255" s="7">
        <f t="shared" si="15"/>
        <v>0.26614461507169734</v>
      </c>
    </row>
    <row r="256" spans="1:6">
      <c r="A256" s="10">
        <v>44880</v>
      </c>
      <c r="B256" s="1">
        <f t="shared" si="0"/>
        <v>2022</v>
      </c>
      <c r="C256" s="1">
        <f t="shared" si="1"/>
        <v>11</v>
      </c>
      <c r="D256" s="2" t="s">
        <v>21</v>
      </c>
      <c r="E256" s="6">
        <v>31313</v>
      </c>
      <c r="F256" s="7">
        <f t="shared" si="15"/>
        <v>-0.81083738144806849</v>
      </c>
    </row>
    <row r="257" spans="1:6">
      <c r="A257" s="10">
        <v>44881</v>
      </c>
      <c r="B257" s="1">
        <f t="shared" ref="B257:B511" si="16">YEAR(A257)</f>
        <v>2022</v>
      </c>
      <c r="C257" s="1">
        <f t="shared" ref="C257:C511" si="17">MONTH(A257)</f>
        <v>11</v>
      </c>
      <c r="D257" s="2" t="s">
        <v>22</v>
      </c>
      <c r="E257" s="6">
        <v>15222</v>
      </c>
      <c r="F257" s="7">
        <f t="shared" si="15"/>
        <v>-3.0742145178764897E-2</v>
      </c>
    </row>
    <row r="258" spans="1:6">
      <c r="A258" s="10">
        <v>44882</v>
      </c>
      <c r="B258" s="1">
        <f t="shared" si="16"/>
        <v>2022</v>
      </c>
      <c r="C258" s="1">
        <f t="shared" si="17"/>
        <v>11</v>
      </c>
      <c r="D258" s="2" t="s">
        <v>23</v>
      </c>
      <c r="E258" s="6">
        <v>19854</v>
      </c>
      <c r="F258" s="7">
        <f t="shared" si="15"/>
        <v>-0.52593958957804932</v>
      </c>
    </row>
    <row r="259" spans="1:6">
      <c r="A259" s="10">
        <v>44883</v>
      </c>
      <c r="B259" s="1">
        <f t="shared" si="16"/>
        <v>2022</v>
      </c>
      <c r="C259" s="1">
        <f t="shared" si="17"/>
        <v>11</v>
      </c>
      <c r="D259" s="2" t="s">
        <v>24</v>
      </c>
      <c r="E259" s="6">
        <v>0</v>
      </c>
      <c r="F259" s="7">
        <f t="shared" si="15"/>
        <v>1</v>
      </c>
    </row>
    <row r="260" spans="1:6">
      <c r="A260" s="10">
        <v>44884</v>
      </c>
      <c r="B260" s="1">
        <f t="shared" si="16"/>
        <v>2022</v>
      </c>
      <c r="C260" s="1">
        <f t="shared" si="17"/>
        <v>11</v>
      </c>
      <c r="D260" s="2" t="s">
        <v>25</v>
      </c>
      <c r="E260" s="6">
        <v>12592</v>
      </c>
      <c r="F260" s="7">
        <f t="shared" si="15"/>
        <v>-0.94141227258711069</v>
      </c>
    </row>
    <row r="261" spans="1:6">
      <c r="A261" s="10">
        <v>44885</v>
      </c>
      <c r="B261" s="1">
        <f t="shared" si="16"/>
        <v>2022</v>
      </c>
      <c r="C261" s="1">
        <f t="shared" si="17"/>
        <v>11</v>
      </c>
      <c r="D261" s="2" t="s">
        <v>26</v>
      </c>
      <c r="E261" s="6">
        <v>8558</v>
      </c>
      <c r="F261" s="7">
        <f t="shared" si="15"/>
        <v>-0.91325732170802598</v>
      </c>
    </row>
    <row r="262" spans="1:6">
      <c r="A262" s="10">
        <v>44886</v>
      </c>
      <c r="B262" s="1">
        <f t="shared" si="16"/>
        <v>2022</v>
      </c>
      <c r="C262" s="1">
        <f t="shared" si="17"/>
        <v>11</v>
      </c>
      <c r="D262" s="2" t="s">
        <v>27</v>
      </c>
      <c r="E262" s="6">
        <v>894</v>
      </c>
      <c r="F262" s="7">
        <f t="shared" si="15"/>
        <v>0.65786452353616531</v>
      </c>
    </row>
    <row r="263" spans="1:6">
      <c r="A263" s="10">
        <v>44887</v>
      </c>
      <c r="B263" s="1">
        <f t="shared" si="16"/>
        <v>2022</v>
      </c>
      <c r="C263" s="1">
        <f t="shared" si="17"/>
        <v>11</v>
      </c>
      <c r="D263" s="2" t="s">
        <v>28</v>
      </c>
      <c r="E263" s="6">
        <v>0</v>
      </c>
      <c r="F263" s="7">
        <f t="shared" si="15"/>
        <v>1</v>
      </c>
    </row>
    <row r="264" spans="1:6">
      <c r="A264" s="10">
        <v>44888</v>
      </c>
      <c r="B264" s="1">
        <f t="shared" si="16"/>
        <v>2022</v>
      </c>
      <c r="C264" s="1">
        <f t="shared" si="17"/>
        <v>11</v>
      </c>
      <c r="D264" s="2" t="s">
        <v>29</v>
      </c>
      <c r="E264" s="6">
        <v>1146</v>
      </c>
      <c r="F264" s="7">
        <f t="shared" si="15"/>
        <v>-15.371428571428572</v>
      </c>
    </row>
    <row r="265" spans="1:6">
      <c r="A265" s="10">
        <v>44889</v>
      </c>
      <c r="B265" s="1">
        <f t="shared" si="16"/>
        <v>2022</v>
      </c>
      <c r="C265" s="1">
        <f t="shared" si="17"/>
        <v>11</v>
      </c>
      <c r="D265" s="2" t="s">
        <v>30</v>
      </c>
      <c r="E265" s="6">
        <v>983</v>
      </c>
      <c r="F265" s="8">
        <v>0</v>
      </c>
    </row>
    <row r="266" spans="1:6">
      <c r="A266" s="10">
        <v>44896</v>
      </c>
      <c r="B266" s="1">
        <f t="shared" si="16"/>
        <v>2022</v>
      </c>
      <c r="C266" s="1">
        <f t="shared" si="17"/>
        <v>12</v>
      </c>
      <c r="D266" s="2" t="s">
        <v>7</v>
      </c>
      <c r="E266" s="6">
        <v>199067</v>
      </c>
      <c r="F266" s="7">
        <f t="shared" ref="F266:F288" si="18">(E554-E266)/E554</f>
        <v>2.1932776825151941E-2</v>
      </c>
    </row>
    <row r="267" spans="1:6">
      <c r="A267" s="10">
        <v>44897</v>
      </c>
      <c r="B267" s="1">
        <f t="shared" si="16"/>
        <v>2022</v>
      </c>
      <c r="C267" s="1">
        <f t="shared" si="17"/>
        <v>12</v>
      </c>
      <c r="D267" s="2" t="s">
        <v>8</v>
      </c>
      <c r="E267" s="6">
        <v>163326</v>
      </c>
      <c r="F267" s="7">
        <f t="shared" si="18"/>
        <v>0.15897610183368607</v>
      </c>
    </row>
    <row r="268" spans="1:6">
      <c r="A268" s="10">
        <v>44898</v>
      </c>
      <c r="B268" s="1">
        <f t="shared" si="16"/>
        <v>2022</v>
      </c>
      <c r="C268" s="1">
        <f t="shared" si="17"/>
        <v>12</v>
      </c>
      <c r="D268" s="2" t="s">
        <v>9</v>
      </c>
      <c r="E268" s="6">
        <v>179658</v>
      </c>
      <c r="F268" s="7">
        <f t="shared" si="18"/>
        <v>3.0683320294585772E-2</v>
      </c>
    </row>
    <row r="269" spans="1:6">
      <c r="A269" s="10">
        <v>44899</v>
      </c>
      <c r="B269" s="1">
        <f t="shared" si="16"/>
        <v>2022</v>
      </c>
      <c r="C269" s="1">
        <f t="shared" si="17"/>
        <v>12</v>
      </c>
      <c r="D269" s="2" t="s">
        <v>10</v>
      </c>
      <c r="E269" s="6">
        <v>115596</v>
      </c>
      <c r="F269" s="7">
        <f t="shared" si="18"/>
        <v>0.20421861339244532</v>
      </c>
    </row>
    <row r="270" spans="1:6">
      <c r="A270" s="10">
        <v>44900</v>
      </c>
      <c r="B270" s="1">
        <f t="shared" si="16"/>
        <v>2022</v>
      </c>
      <c r="C270" s="1">
        <f t="shared" si="17"/>
        <v>12</v>
      </c>
      <c r="D270" s="2" t="s">
        <v>11</v>
      </c>
      <c r="E270" s="6">
        <v>124359</v>
      </c>
      <c r="F270" s="7">
        <f t="shared" si="18"/>
        <v>0.10929106562191121</v>
      </c>
    </row>
    <row r="271" spans="1:6">
      <c r="A271" s="10">
        <v>44901</v>
      </c>
      <c r="B271" s="1">
        <f t="shared" si="16"/>
        <v>2022</v>
      </c>
      <c r="C271" s="1">
        <f t="shared" si="17"/>
        <v>12</v>
      </c>
      <c r="D271" s="2" t="s">
        <v>12</v>
      </c>
      <c r="E271" s="6">
        <v>68490</v>
      </c>
      <c r="F271" s="7">
        <f t="shared" si="18"/>
        <v>0.22728913759646194</v>
      </c>
    </row>
    <row r="272" spans="1:6">
      <c r="A272" s="10">
        <v>44902</v>
      </c>
      <c r="B272" s="1">
        <f t="shared" si="16"/>
        <v>2022</v>
      </c>
      <c r="C272" s="1">
        <f t="shared" si="17"/>
        <v>12</v>
      </c>
      <c r="D272" s="2" t="s">
        <v>13</v>
      </c>
      <c r="E272" s="6">
        <v>121343</v>
      </c>
      <c r="F272" s="7">
        <f t="shared" si="18"/>
        <v>-0.45899313446115741</v>
      </c>
    </row>
    <row r="273" spans="1:6">
      <c r="A273" s="10">
        <v>44903</v>
      </c>
      <c r="B273" s="1">
        <f t="shared" si="16"/>
        <v>2022</v>
      </c>
      <c r="C273" s="1">
        <f t="shared" si="17"/>
        <v>12</v>
      </c>
      <c r="D273" s="2" t="s">
        <v>14</v>
      </c>
      <c r="E273" s="6">
        <v>60927</v>
      </c>
      <c r="F273" s="7">
        <f t="shared" si="18"/>
        <v>2.3417964993267936E-2</v>
      </c>
    </row>
    <row r="274" spans="1:6">
      <c r="A274" s="10">
        <v>44904</v>
      </c>
      <c r="B274" s="1">
        <f t="shared" si="16"/>
        <v>2022</v>
      </c>
      <c r="C274" s="1">
        <f t="shared" si="17"/>
        <v>12</v>
      </c>
      <c r="D274" s="2" t="s">
        <v>15</v>
      </c>
      <c r="E274" s="6">
        <v>31561</v>
      </c>
      <c r="F274" s="7">
        <f t="shared" si="18"/>
        <v>0.23341672536494135</v>
      </c>
    </row>
    <row r="275" spans="1:6">
      <c r="A275" s="10">
        <v>44905</v>
      </c>
      <c r="B275" s="1">
        <f t="shared" si="16"/>
        <v>2022</v>
      </c>
      <c r="C275" s="1">
        <f t="shared" si="17"/>
        <v>12</v>
      </c>
      <c r="D275" s="2" t="s">
        <v>16</v>
      </c>
      <c r="E275" s="6">
        <v>28766</v>
      </c>
      <c r="F275" s="7">
        <f t="shared" si="18"/>
        <v>0.28129918800749532</v>
      </c>
    </row>
    <row r="276" spans="1:6">
      <c r="A276" s="10">
        <v>44906</v>
      </c>
      <c r="B276" s="1">
        <f t="shared" si="16"/>
        <v>2022</v>
      </c>
      <c r="C276" s="1">
        <f t="shared" si="17"/>
        <v>12</v>
      </c>
      <c r="D276" s="2" t="s">
        <v>17</v>
      </c>
      <c r="E276" s="6">
        <v>39109</v>
      </c>
      <c r="F276" s="7">
        <f t="shared" si="18"/>
        <v>3.1097856287119882E-3</v>
      </c>
    </row>
    <row r="277" spans="1:6">
      <c r="A277" s="10">
        <v>44907</v>
      </c>
      <c r="B277" s="1">
        <f t="shared" si="16"/>
        <v>2022</v>
      </c>
      <c r="C277" s="1">
        <f t="shared" si="17"/>
        <v>12</v>
      </c>
      <c r="D277" s="2" t="s">
        <v>18</v>
      </c>
      <c r="E277" s="6">
        <v>26467</v>
      </c>
      <c r="F277" s="7">
        <f t="shared" si="18"/>
        <v>0.14387837619278668</v>
      </c>
    </row>
    <row r="278" spans="1:6">
      <c r="A278" s="10">
        <v>44908</v>
      </c>
      <c r="B278" s="1">
        <f t="shared" si="16"/>
        <v>2022</v>
      </c>
      <c r="C278" s="1">
        <f t="shared" si="17"/>
        <v>12</v>
      </c>
      <c r="D278" s="2" t="s">
        <v>19</v>
      </c>
      <c r="E278" s="6">
        <v>30386</v>
      </c>
      <c r="F278" s="7">
        <f t="shared" si="18"/>
        <v>-0.1010617096061166</v>
      </c>
    </row>
    <row r="279" spans="1:6">
      <c r="A279" s="10">
        <v>44909</v>
      </c>
      <c r="B279" s="1">
        <f t="shared" si="16"/>
        <v>2022</v>
      </c>
      <c r="C279" s="1">
        <f t="shared" si="17"/>
        <v>12</v>
      </c>
      <c r="D279" s="2" t="s">
        <v>20</v>
      </c>
      <c r="E279" s="6">
        <v>16092</v>
      </c>
      <c r="F279" s="7">
        <f t="shared" si="18"/>
        <v>0.25198717054804071</v>
      </c>
    </row>
    <row r="280" spans="1:6">
      <c r="A280" s="10">
        <v>44910</v>
      </c>
      <c r="B280" s="1">
        <f t="shared" si="16"/>
        <v>2022</v>
      </c>
      <c r="C280" s="1">
        <f t="shared" si="17"/>
        <v>12</v>
      </c>
      <c r="D280" s="2" t="s">
        <v>21</v>
      </c>
      <c r="E280" s="6">
        <v>34782</v>
      </c>
      <c r="F280" s="7">
        <f t="shared" si="18"/>
        <v>-0.79510734929810079</v>
      </c>
    </row>
    <row r="281" spans="1:6">
      <c r="A281" s="10">
        <v>44911</v>
      </c>
      <c r="B281" s="1">
        <f t="shared" si="16"/>
        <v>2022</v>
      </c>
      <c r="C281" s="1">
        <f t="shared" si="17"/>
        <v>12</v>
      </c>
      <c r="D281" s="2" t="s">
        <v>22</v>
      </c>
      <c r="E281" s="6">
        <v>15947</v>
      </c>
      <c r="F281" s="7">
        <f t="shared" si="18"/>
        <v>3.8178528347406517E-2</v>
      </c>
    </row>
    <row r="282" spans="1:6">
      <c r="A282" s="10">
        <v>44912</v>
      </c>
      <c r="B282" s="1">
        <f t="shared" si="16"/>
        <v>2022</v>
      </c>
      <c r="C282" s="1">
        <f t="shared" si="17"/>
        <v>12</v>
      </c>
      <c r="D282" s="2" t="s">
        <v>23</v>
      </c>
      <c r="E282" s="6">
        <v>20909</v>
      </c>
      <c r="F282" s="7">
        <f t="shared" si="18"/>
        <v>-0.45565302144249514</v>
      </c>
    </row>
    <row r="283" spans="1:6">
      <c r="A283" s="10">
        <v>44913</v>
      </c>
      <c r="B283" s="1">
        <f t="shared" si="16"/>
        <v>2022</v>
      </c>
      <c r="C283" s="1">
        <f t="shared" si="17"/>
        <v>12</v>
      </c>
      <c r="D283" s="2" t="s">
        <v>24</v>
      </c>
      <c r="E283" s="6">
        <v>0</v>
      </c>
      <c r="F283" s="7">
        <f t="shared" si="18"/>
        <v>1</v>
      </c>
    </row>
    <row r="284" spans="1:6">
      <c r="A284" s="10">
        <v>44914</v>
      </c>
      <c r="B284" s="1">
        <f t="shared" si="16"/>
        <v>2022</v>
      </c>
      <c r="C284" s="1">
        <f t="shared" si="17"/>
        <v>12</v>
      </c>
      <c r="D284" s="2" t="s">
        <v>25</v>
      </c>
      <c r="E284" s="6">
        <v>13160</v>
      </c>
      <c r="F284" s="7">
        <f t="shared" si="18"/>
        <v>-0.8467583497053045</v>
      </c>
    </row>
    <row r="285" spans="1:6">
      <c r="A285" s="10">
        <v>44915</v>
      </c>
      <c r="B285" s="1">
        <f t="shared" si="16"/>
        <v>2022</v>
      </c>
      <c r="C285" s="1">
        <f t="shared" si="17"/>
        <v>12</v>
      </c>
      <c r="D285" s="2" t="s">
        <v>26</v>
      </c>
      <c r="E285" s="6">
        <v>9169</v>
      </c>
      <c r="F285" s="7">
        <f t="shared" si="18"/>
        <v>-0.8341668333666733</v>
      </c>
    </row>
    <row r="286" spans="1:6">
      <c r="A286" s="10">
        <v>44916</v>
      </c>
      <c r="B286" s="1">
        <f t="shared" si="16"/>
        <v>2022</v>
      </c>
      <c r="C286" s="1">
        <f t="shared" si="17"/>
        <v>12</v>
      </c>
      <c r="D286" s="2" t="s">
        <v>27</v>
      </c>
      <c r="E286" s="6">
        <v>1034</v>
      </c>
      <c r="F286" s="7">
        <f t="shared" si="18"/>
        <v>0.66645161290322585</v>
      </c>
    </row>
    <row r="287" spans="1:6">
      <c r="A287" s="10">
        <v>44917</v>
      </c>
      <c r="B287" s="1">
        <f t="shared" si="16"/>
        <v>2022</v>
      </c>
      <c r="C287" s="1">
        <f t="shared" si="17"/>
        <v>12</v>
      </c>
      <c r="D287" s="2" t="s">
        <v>28</v>
      </c>
      <c r="E287" s="6">
        <v>0</v>
      </c>
      <c r="F287" s="7">
        <f t="shared" si="18"/>
        <v>1</v>
      </c>
    </row>
    <row r="288" spans="1:6">
      <c r="A288" s="10">
        <v>44918</v>
      </c>
      <c r="B288" s="1">
        <f t="shared" si="16"/>
        <v>2022</v>
      </c>
      <c r="C288" s="1">
        <f t="shared" si="17"/>
        <v>12</v>
      </c>
      <c r="D288" s="2" t="s">
        <v>29</v>
      </c>
      <c r="E288" s="6">
        <v>1275</v>
      </c>
      <c r="F288" s="7">
        <f t="shared" si="18"/>
        <v>-17.214285714285715</v>
      </c>
    </row>
    <row r="289" spans="1:6">
      <c r="A289" s="10">
        <v>44919</v>
      </c>
      <c r="B289" s="1">
        <f t="shared" si="16"/>
        <v>2022</v>
      </c>
      <c r="C289" s="1">
        <f t="shared" si="17"/>
        <v>12</v>
      </c>
      <c r="D289" s="2" t="s">
        <v>30</v>
      </c>
      <c r="E289" s="6">
        <v>983</v>
      </c>
      <c r="F289" s="8">
        <v>0</v>
      </c>
    </row>
    <row r="290" spans="1:6">
      <c r="A290" s="9">
        <v>44927</v>
      </c>
      <c r="B290" s="1">
        <f t="shared" si="16"/>
        <v>2023</v>
      </c>
      <c r="C290" s="1">
        <f t="shared" si="17"/>
        <v>1</v>
      </c>
      <c r="D290" s="2" t="s">
        <v>7</v>
      </c>
      <c r="E290" s="6">
        <v>14158</v>
      </c>
      <c r="F290" s="7">
        <f t="shared" ref="F290:F311" si="19">(E578-E290)/E578</f>
        <v>0.25648566327066485</v>
      </c>
    </row>
    <row r="291" spans="1:6">
      <c r="A291" s="9">
        <v>44928</v>
      </c>
      <c r="B291" s="1">
        <f t="shared" si="16"/>
        <v>2023</v>
      </c>
      <c r="C291" s="1">
        <f t="shared" si="17"/>
        <v>1</v>
      </c>
      <c r="D291" s="2" t="s">
        <v>8</v>
      </c>
      <c r="E291" s="6">
        <v>13601</v>
      </c>
      <c r="F291" s="7">
        <f t="shared" si="19"/>
        <v>0.18090936464920204</v>
      </c>
    </row>
    <row r="292" spans="1:6">
      <c r="A292" s="9">
        <v>44929</v>
      </c>
      <c r="B292" s="1">
        <f t="shared" si="16"/>
        <v>2023</v>
      </c>
      <c r="C292" s="1">
        <f t="shared" si="17"/>
        <v>1</v>
      </c>
      <c r="D292" s="2" t="s">
        <v>9</v>
      </c>
      <c r="E292" s="6">
        <v>9889</v>
      </c>
      <c r="F292" s="7">
        <f t="shared" si="19"/>
        <v>0.3019200903571933</v>
      </c>
    </row>
    <row r="293" spans="1:6">
      <c r="A293" s="9">
        <v>44930</v>
      </c>
      <c r="B293" s="1">
        <f t="shared" si="16"/>
        <v>2023</v>
      </c>
      <c r="C293" s="1">
        <f t="shared" si="17"/>
        <v>1</v>
      </c>
      <c r="D293" s="2" t="s">
        <v>10</v>
      </c>
      <c r="E293" s="6">
        <v>10754</v>
      </c>
      <c r="F293" s="7">
        <f t="shared" si="19"/>
        <v>-3.2846715328467155E-2</v>
      </c>
    </row>
    <row r="294" spans="1:6">
      <c r="A294" s="9">
        <v>44931</v>
      </c>
      <c r="B294" s="1">
        <f t="shared" si="16"/>
        <v>2023</v>
      </c>
      <c r="C294" s="1">
        <f t="shared" si="17"/>
        <v>1</v>
      </c>
      <c r="D294" s="2" t="s">
        <v>11</v>
      </c>
      <c r="E294" s="6">
        <v>10592</v>
      </c>
      <c r="F294" s="7">
        <f t="shared" si="19"/>
        <v>0.15668789808917197</v>
      </c>
    </row>
    <row r="295" spans="1:6">
      <c r="A295" s="9">
        <v>44932</v>
      </c>
      <c r="B295" s="1">
        <f t="shared" si="16"/>
        <v>2023</v>
      </c>
      <c r="C295" s="1">
        <f t="shared" si="17"/>
        <v>1</v>
      </c>
      <c r="D295" s="2" t="s">
        <v>12</v>
      </c>
      <c r="E295" s="6">
        <v>7082</v>
      </c>
      <c r="F295" s="7">
        <f t="shared" si="19"/>
        <v>-0.15737865664324235</v>
      </c>
    </row>
    <row r="296" spans="1:6">
      <c r="A296" s="9">
        <v>44933</v>
      </c>
      <c r="B296" s="1">
        <f t="shared" si="16"/>
        <v>2023</v>
      </c>
      <c r="C296" s="1">
        <f t="shared" si="17"/>
        <v>1</v>
      </c>
      <c r="D296" s="2" t="s">
        <v>13</v>
      </c>
      <c r="E296" s="6">
        <v>6956</v>
      </c>
      <c r="F296" s="7">
        <f t="shared" si="19"/>
        <v>0.16000483033450066</v>
      </c>
    </row>
    <row r="297" spans="1:6">
      <c r="A297" s="9">
        <v>44934</v>
      </c>
      <c r="B297" s="1">
        <f t="shared" si="16"/>
        <v>2023</v>
      </c>
      <c r="C297" s="1">
        <f t="shared" si="17"/>
        <v>1</v>
      </c>
      <c r="D297" s="2" t="s">
        <v>14</v>
      </c>
      <c r="E297" s="6">
        <v>5333</v>
      </c>
      <c r="F297" s="7">
        <f t="shared" si="19"/>
        <v>8.3674228337672005E-3</v>
      </c>
    </row>
    <row r="298" spans="1:6">
      <c r="A298" s="9">
        <v>44935</v>
      </c>
      <c r="B298" s="1">
        <f t="shared" si="16"/>
        <v>2023</v>
      </c>
      <c r="C298" s="1">
        <f t="shared" si="17"/>
        <v>1</v>
      </c>
      <c r="D298" s="2" t="s">
        <v>15</v>
      </c>
      <c r="E298" s="6">
        <v>3394</v>
      </c>
      <c r="F298" s="7">
        <f t="shared" si="19"/>
        <v>0.12412903225806451</v>
      </c>
    </row>
    <row r="299" spans="1:6">
      <c r="A299" s="9">
        <v>44936</v>
      </c>
      <c r="B299" s="1">
        <f t="shared" si="16"/>
        <v>2023</v>
      </c>
      <c r="C299" s="1">
        <f t="shared" si="17"/>
        <v>1</v>
      </c>
      <c r="D299" s="2" t="s">
        <v>16</v>
      </c>
      <c r="E299" s="6">
        <v>0</v>
      </c>
      <c r="F299" s="7">
        <f t="shared" si="19"/>
        <v>1</v>
      </c>
    </row>
    <row r="300" spans="1:6">
      <c r="A300" s="9">
        <v>44937</v>
      </c>
      <c r="B300" s="1">
        <f t="shared" si="16"/>
        <v>2023</v>
      </c>
      <c r="C300" s="1">
        <f t="shared" si="17"/>
        <v>1</v>
      </c>
      <c r="D300" s="2" t="s">
        <v>17</v>
      </c>
      <c r="E300" s="6">
        <v>3367</v>
      </c>
      <c r="F300" s="7">
        <f t="shared" si="19"/>
        <v>0.21987951807228914</v>
      </c>
    </row>
    <row r="301" spans="1:6">
      <c r="A301" s="9">
        <v>44938</v>
      </c>
      <c r="B301" s="1">
        <f t="shared" si="16"/>
        <v>2023</v>
      </c>
      <c r="C301" s="1">
        <f t="shared" si="17"/>
        <v>1</v>
      </c>
      <c r="D301" s="2" t="s">
        <v>18</v>
      </c>
      <c r="E301" s="6">
        <v>1676</v>
      </c>
      <c r="F301" s="7">
        <f t="shared" si="19"/>
        <v>0.47394852479598243</v>
      </c>
    </row>
    <row r="302" spans="1:6">
      <c r="A302" s="9">
        <v>44939</v>
      </c>
      <c r="B302" s="1">
        <f t="shared" si="16"/>
        <v>2023</v>
      </c>
      <c r="C302" s="1">
        <f t="shared" si="17"/>
        <v>1</v>
      </c>
      <c r="D302" s="2" t="s">
        <v>19</v>
      </c>
      <c r="E302" s="6">
        <v>2614</v>
      </c>
      <c r="F302" s="7">
        <f t="shared" si="19"/>
        <v>-0.22550398499765589</v>
      </c>
    </row>
    <row r="303" spans="1:6">
      <c r="A303" s="9">
        <v>44940</v>
      </c>
      <c r="B303" s="1">
        <f t="shared" si="16"/>
        <v>2023</v>
      </c>
      <c r="C303" s="1">
        <f t="shared" si="17"/>
        <v>1</v>
      </c>
      <c r="D303" s="2" t="s">
        <v>20</v>
      </c>
      <c r="E303" s="6">
        <v>1533</v>
      </c>
      <c r="F303" s="7">
        <f t="shared" si="19"/>
        <v>-4.9281314168377825E-2</v>
      </c>
    </row>
    <row r="304" spans="1:6">
      <c r="A304" s="9">
        <v>44941</v>
      </c>
      <c r="B304" s="1">
        <f t="shared" si="16"/>
        <v>2023</v>
      </c>
      <c r="C304" s="1">
        <f t="shared" si="17"/>
        <v>1</v>
      </c>
      <c r="D304" s="2" t="s">
        <v>21</v>
      </c>
      <c r="E304" s="6">
        <v>3240</v>
      </c>
      <c r="F304" s="7">
        <f t="shared" si="19"/>
        <v>-0.57434402332361512</v>
      </c>
    </row>
    <row r="305" spans="1:6">
      <c r="A305" s="9">
        <v>44942</v>
      </c>
      <c r="B305" s="1">
        <f t="shared" si="16"/>
        <v>2023</v>
      </c>
      <c r="C305" s="1">
        <f t="shared" si="17"/>
        <v>1</v>
      </c>
      <c r="D305" s="2" t="s">
        <v>22</v>
      </c>
      <c r="E305" s="6">
        <v>840</v>
      </c>
      <c r="F305" s="7">
        <f t="shared" si="19"/>
        <v>0.50848449385605621</v>
      </c>
    </row>
    <row r="306" spans="1:6">
      <c r="A306" s="9">
        <v>44943</v>
      </c>
      <c r="B306" s="1">
        <f t="shared" si="16"/>
        <v>2023</v>
      </c>
      <c r="C306" s="1">
        <f t="shared" si="17"/>
        <v>1</v>
      </c>
      <c r="D306" s="2" t="s">
        <v>23</v>
      </c>
      <c r="E306" s="6">
        <v>984</v>
      </c>
      <c r="F306" s="7">
        <f t="shared" si="19"/>
        <v>0.24655436447166923</v>
      </c>
    </row>
    <row r="307" spans="1:6">
      <c r="A307" s="9">
        <v>44944</v>
      </c>
      <c r="B307" s="1">
        <f t="shared" si="16"/>
        <v>2023</v>
      </c>
      <c r="C307" s="1">
        <f t="shared" si="17"/>
        <v>1</v>
      </c>
      <c r="D307" s="2" t="s">
        <v>24</v>
      </c>
      <c r="E307" s="6">
        <v>0</v>
      </c>
      <c r="F307" s="7">
        <f t="shared" si="19"/>
        <v>1</v>
      </c>
    </row>
    <row r="308" spans="1:6">
      <c r="A308" s="9">
        <v>44945</v>
      </c>
      <c r="B308" s="1">
        <f t="shared" si="16"/>
        <v>2023</v>
      </c>
      <c r="C308" s="1">
        <f t="shared" si="17"/>
        <v>1</v>
      </c>
      <c r="D308" s="2" t="s">
        <v>25</v>
      </c>
      <c r="E308" s="6">
        <v>428</v>
      </c>
      <c r="F308" s="7">
        <f t="shared" si="19"/>
        <v>0.34954407294832829</v>
      </c>
    </row>
    <row r="309" spans="1:6">
      <c r="A309" s="9">
        <v>44946</v>
      </c>
      <c r="B309" s="1">
        <f t="shared" si="16"/>
        <v>2023</v>
      </c>
      <c r="C309" s="1">
        <f t="shared" si="17"/>
        <v>1</v>
      </c>
      <c r="D309" s="2" t="s">
        <v>26</v>
      </c>
      <c r="E309" s="6">
        <v>199</v>
      </c>
      <c r="F309" s="7">
        <f t="shared" si="19"/>
        <v>0.68462757527733753</v>
      </c>
    </row>
    <row r="310" spans="1:6">
      <c r="A310" s="9">
        <v>44947</v>
      </c>
      <c r="B310" s="1">
        <f t="shared" si="16"/>
        <v>2023</v>
      </c>
      <c r="C310" s="1">
        <f t="shared" si="17"/>
        <v>1</v>
      </c>
      <c r="D310" s="2" t="s">
        <v>27</v>
      </c>
      <c r="E310" s="6">
        <v>0</v>
      </c>
      <c r="F310" s="7">
        <f t="shared" si="19"/>
        <v>1</v>
      </c>
    </row>
    <row r="311" spans="1:6">
      <c r="A311" s="9">
        <v>44948</v>
      </c>
      <c r="B311" s="1">
        <f t="shared" si="16"/>
        <v>2023</v>
      </c>
      <c r="C311" s="1">
        <f t="shared" si="17"/>
        <v>1</v>
      </c>
      <c r="D311" s="2" t="s">
        <v>28</v>
      </c>
      <c r="E311" s="6">
        <v>0</v>
      </c>
      <c r="F311" s="7">
        <f t="shared" si="19"/>
        <v>1</v>
      </c>
    </row>
    <row r="312" spans="1:6">
      <c r="A312" s="9">
        <v>44949</v>
      </c>
      <c r="B312" s="1">
        <f t="shared" si="16"/>
        <v>2023</v>
      </c>
      <c r="C312" s="1">
        <f t="shared" si="17"/>
        <v>1</v>
      </c>
      <c r="D312" s="2" t="s">
        <v>29</v>
      </c>
      <c r="E312" s="6">
        <v>0</v>
      </c>
      <c r="F312" s="8">
        <v>0</v>
      </c>
    </row>
    <row r="313" spans="1:6">
      <c r="A313" s="9">
        <v>44958</v>
      </c>
      <c r="B313" s="1">
        <f t="shared" si="16"/>
        <v>2023</v>
      </c>
      <c r="C313" s="1">
        <f t="shared" si="17"/>
        <v>2</v>
      </c>
      <c r="D313" s="2" t="s">
        <v>30</v>
      </c>
      <c r="E313" s="6">
        <v>0</v>
      </c>
      <c r="F313" s="8">
        <v>0</v>
      </c>
    </row>
    <row r="314" spans="1:6">
      <c r="A314" s="9">
        <v>44959</v>
      </c>
      <c r="B314" s="1">
        <f t="shared" si="16"/>
        <v>2023</v>
      </c>
      <c r="C314" s="1">
        <f t="shared" si="17"/>
        <v>2</v>
      </c>
      <c r="D314" s="2" t="s">
        <v>7</v>
      </c>
      <c r="E314" s="6">
        <v>26177</v>
      </c>
      <c r="F314" s="7">
        <f t="shared" ref="F314:F330" si="20">(E602-E314)/E602</f>
        <v>0.25984674979500666</v>
      </c>
    </row>
    <row r="315" spans="1:6">
      <c r="A315" s="9">
        <v>44960</v>
      </c>
      <c r="B315" s="1">
        <f t="shared" si="16"/>
        <v>2023</v>
      </c>
      <c r="C315" s="1">
        <f t="shared" si="17"/>
        <v>2</v>
      </c>
      <c r="D315" s="2" t="s">
        <v>8</v>
      </c>
      <c r="E315" s="6">
        <v>26360</v>
      </c>
      <c r="F315" s="7">
        <f t="shared" si="20"/>
        <v>0.23083656736015873</v>
      </c>
    </row>
    <row r="316" spans="1:6">
      <c r="A316" s="9">
        <v>44961</v>
      </c>
      <c r="B316" s="1">
        <f t="shared" si="16"/>
        <v>2023</v>
      </c>
      <c r="C316" s="1">
        <f t="shared" si="17"/>
        <v>2</v>
      </c>
      <c r="D316" s="2" t="s">
        <v>9</v>
      </c>
      <c r="E316" s="6">
        <v>23283</v>
      </c>
      <c r="F316" s="7">
        <f t="shared" si="20"/>
        <v>0.19652840085582166</v>
      </c>
    </row>
    <row r="317" spans="1:6">
      <c r="A317" s="9">
        <v>44962</v>
      </c>
      <c r="B317" s="1">
        <f t="shared" si="16"/>
        <v>2023</v>
      </c>
      <c r="C317" s="1">
        <f t="shared" si="17"/>
        <v>2</v>
      </c>
      <c r="D317" s="2" t="s">
        <v>10</v>
      </c>
      <c r="E317" s="6">
        <v>18911</v>
      </c>
      <c r="F317" s="7">
        <f t="shared" si="20"/>
        <v>5.3361365570405966E-2</v>
      </c>
    </row>
    <row r="318" spans="1:6">
      <c r="A318" s="9">
        <v>44963</v>
      </c>
      <c r="B318" s="1">
        <f t="shared" si="16"/>
        <v>2023</v>
      </c>
      <c r="C318" s="1">
        <f t="shared" si="17"/>
        <v>2</v>
      </c>
      <c r="D318" s="2" t="s">
        <v>11</v>
      </c>
      <c r="E318" s="6">
        <v>19908</v>
      </c>
      <c r="F318" s="7">
        <f t="shared" si="20"/>
        <v>0.16359969750441139</v>
      </c>
    </row>
    <row r="319" spans="1:6">
      <c r="A319" s="9">
        <v>44964</v>
      </c>
      <c r="B319" s="1">
        <f t="shared" si="16"/>
        <v>2023</v>
      </c>
      <c r="C319" s="1">
        <f t="shared" si="17"/>
        <v>2</v>
      </c>
      <c r="D319" s="2" t="s">
        <v>12</v>
      </c>
      <c r="E319" s="6">
        <v>14033</v>
      </c>
      <c r="F319" s="7">
        <f t="shared" si="20"/>
        <v>-0.14601878317680686</v>
      </c>
    </row>
    <row r="320" spans="1:6">
      <c r="A320" s="9">
        <v>44965</v>
      </c>
      <c r="B320" s="1">
        <f t="shared" si="16"/>
        <v>2023</v>
      </c>
      <c r="C320" s="1">
        <f t="shared" si="17"/>
        <v>2</v>
      </c>
      <c r="D320" s="2" t="s">
        <v>13</v>
      </c>
      <c r="E320" s="6">
        <v>14225</v>
      </c>
      <c r="F320" s="7">
        <f t="shared" si="20"/>
        <v>0.20787392805434904</v>
      </c>
    </row>
    <row r="321" spans="1:6">
      <c r="A321" s="9">
        <v>44966</v>
      </c>
      <c r="B321" s="1">
        <f t="shared" si="16"/>
        <v>2023</v>
      </c>
      <c r="C321" s="1">
        <f t="shared" si="17"/>
        <v>2</v>
      </c>
      <c r="D321" s="2" t="s">
        <v>14</v>
      </c>
      <c r="E321" s="6">
        <v>11061</v>
      </c>
      <c r="F321" s="7">
        <f t="shared" si="20"/>
        <v>6.5083255853266839E-2</v>
      </c>
    </row>
    <row r="322" spans="1:6">
      <c r="A322" s="9">
        <v>44967</v>
      </c>
      <c r="B322" s="1">
        <f t="shared" si="16"/>
        <v>2023</v>
      </c>
      <c r="C322" s="1">
        <f t="shared" si="17"/>
        <v>2</v>
      </c>
      <c r="D322" s="2" t="s">
        <v>15</v>
      </c>
      <c r="E322" s="6">
        <v>6808</v>
      </c>
      <c r="F322" s="7">
        <f t="shared" si="20"/>
        <v>0.11029796131730267</v>
      </c>
    </row>
    <row r="323" spans="1:6">
      <c r="A323" s="9">
        <v>44968</v>
      </c>
      <c r="B323" s="1">
        <f t="shared" si="16"/>
        <v>2023</v>
      </c>
      <c r="C323" s="1">
        <f t="shared" si="17"/>
        <v>2</v>
      </c>
      <c r="D323" s="2" t="s">
        <v>16</v>
      </c>
      <c r="E323" s="6">
        <v>0</v>
      </c>
      <c r="F323" s="7">
        <f t="shared" si="20"/>
        <v>1</v>
      </c>
    </row>
    <row r="324" spans="1:6">
      <c r="A324" s="9">
        <v>44969</v>
      </c>
      <c r="B324" s="1">
        <f t="shared" si="16"/>
        <v>2023</v>
      </c>
      <c r="C324" s="1">
        <f t="shared" si="17"/>
        <v>2</v>
      </c>
      <c r="D324" s="2" t="s">
        <v>17</v>
      </c>
      <c r="E324" s="6">
        <v>5937</v>
      </c>
      <c r="F324" s="7">
        <f t="shared" si="20"/>
        <v>0.20115715823466093</v>
      </c>
    </row>
    <row r="325" spans="1:6">
      <c r="A325" s="9">
        <v>44970</v>
      </c>
      <c r="B325" s="1">
        <f t="shared" si="16"/>
        <v>2023</v>
      </c>
      <c r="C325" s="1">
        <f t="shared" si="17"/>
        <v>2</v>
      </c>
      <c r="D325" s="2" t="s">
        <v>18</v>
      </c>
      <c r="E325" s="6">
        <v>3410</v>
      </c>
      <c r="F325" s="7">
        <f t="shared" si="20"/>
        <v>0.46333018570978912</v>
      </c>
    </row>
    <row r="326" spans="1:6">
      <c r="A326" s="9">
        <v>44971</v>
      </c>
      <c r="B326" s="1">
        <f t="shared" si="16"/>
        <v>2023</v>
      </c>
      <c r="C326" s="1">
        <f t="shared" si="17"/>
        <v>2</v>
      </c>
      <c r="D326" s="2" t="s">
        <v>19</v>
      </c>
      <c r="E326" s="6">
        <v>5314</v>
      </c>
      <c r="F326" s="7">
        <f t="shared" si="20"/>
        <v>-0.44874591057797164</v>
      </c>
    </row>
    <row r="327" spans="1:6">
      <c r="A327" s="9">
        <v>44972</v>
      </c>
      <c r="B327" s="1">
        <f t="shared" si="16"/>
        <v>2023</v>
      </c>
      <c r="C327" s="1">
        <f t="shared" si="17"/>
        <v>2</v>
      </c>
      <c r="D327" s="2" t="s">
        <v>20</v>
      </c>
      <c r="E327" s="6">
        <v>3230</v>
      </c>
      <c r="F327" s="7">
        <f t="shared" si="20"/>
        <v>2.7694160144491272E-2</v>
      </c>
    </row>
    <row r="328" spans="1:6">
      <c r="A328" s="9">
        <v>44973</v>
      </c>
      <c r="B328" s="1">
        <f t="shared" si="16"/>
        <v>2023</v>
      </c>
      <c r="C328" s="1">
        <f t="shared" si="17"/>
        <v>2</v>
      </c>
      <c r="D328" s="2" t="s">
        <v>21</v>
      </c>
      <c r="E328" s="6">
        <v>6272</v>
      </c>
      <c r="F328" s="7">
        <f t="shared" si="20"/>
        <v>-0.53989688190522955</v>
      </c>
    </row>
    <row r="329" spans="1:6">
      <c r="A329" s="9">
        <v>44974</v>
      </c>
      <c r="B329" s="1">
        <f t="shared" si="16"/>
        <v>2023</v>
      </c>
      <c r="C329" s="1">
        <f t="shared" si="17"/>
        <v>2</v>
      </c>
      <c r="D329" s="2" t="s">
        <v>22</v>
      </c>
      <c r="E329" s="6">
        <v>1703</v>
      </c>
      <c r="F329" s="7">
        <f t="shared" si="20"/>
        <v>0.43043478260869567</v>
      </c>
    </row>
    <row r="330" spans="1:6">
      <c r="A330" s="9">
        <v>44975</v>
      </c>
      <c r="B330" s="1">
        <f t="shared" si="16"/>
        <v>2023</v>
      </c>
      <c r="C330" s="1">
        <f t="shared" si="17"/>
        <v>2</v>
      </c>
      <c r="D330" s="2" t="s">
        <v>23</v>
      </c>
      <c r="E330" s="6">
        <v>2447</v>
      </c>
      <c r="F330" s="7">
        <f t="shared" si="20"/>
        <v>-5.6563039723661487E-2</v>
      </c>
    </row>
    <row r="331" spans="1:6">
      <c r="A331" s="9">
        <v>44976</v>
      </c>
      <c r="B331" s="1">
        <f t="shared" si="16"/>
        <v>2023</v>
      </c>
      <c r="C331" s="1">
        <f t="shared" si="17"/>
        <v>2</v>
      </c>
      <c r="D331" s="2" t="s">
        <v>24</v>
      </c>
      <c r="E331" s="6">
        <v>952</v>
      </c>
      <c r="F331" s="8">
        <v>0</v>
      </c>
    </row>
    <row r="332" spans="1:6">
      <c r="A332" s="9">
        <v>44977</v>
      </c>
      <c r="B332" s="1">
        <f t="shared" si="16"/>
        <v>2023</v>
      </c>
      <c r="C332" s="1">
        <f t="shared" si="17"/>
        <v>2</v>
      </c>
      <c r="D332" s="2" t="s">
        <v>25</v>
      </c>
      <c r="E332" s="6">
        <v>881</v>
      </c>
      <c r="F332" s="7">
        <f t="shared" ref="F332:F334" si="21">(E620-E332)/E620</f>
        <v>0.31705426356589145</v>
      </c>
    </row>
    <row r="333" spans="1:6">
      <c r="A333" s="9">
        <v>44978</v>
      </c>
      <c r="B333" s="1">
        <f t="shared" si="16"/>
        <v>2023</v>
      </c>
      <c r="C333" s="1">
        <f t="shared" si="17"/>
        <v>2</v>
      </c>
      <c r="D333" s="2" t="s">
        <v>26</v>
      </c>
      <c r="E333" s="6">
        <v>450</v>
      </c>
      <c r="F333" s="7">
        <f t="shared" si="21"/>
        <v>0.60491659350307292</v>
      </c>
    </row>
    <row r="334" spans="1:6">
      <c r="A334" s="9">
        <v>44979</v>
      </c>
      <c r="B334" s="1">
        <f t="shared" si="16"/>
        <v>2023</v>
      </c>
      <c r="C334" s="1">
        <f t="shared" si="17"/>
        <v>2</v>
      </c>
      <c r="D334" s="2" t="s">
        <v>27</v>
      </c>
      <c r="E334" s="6">
        <v>80</v>
      </c>
      <c r="F334" s="7">
        <f t="shared" si="21"/>
        <v>0.83772819472616633</v>
      </c>
    </row>
    <row r="335" spans="1:6">
      <c r="A335" s="9">
        <v>44980</v>
      </c>
      <c r="B335" s="1">
        <f t="shared" si="16"/>
        <v>2023</v>
      </c>
      <c r="C335" s="1">
        <f t="shared" si="17"/>
        <v>2</v>
      </c>
      <c r="D335" s="2" t="s">
        <v>28</v>
      </c>
      <c r="E335" s="6">
        <v>0</v>
      </c>
      <c r="F335" s="7"/>
    </row>
    <row r="336" spans="1:6">
      <c r="A336" s="9">
        <v>44981</v>
      </c>
      <c r="B336" s="1">
        <f t="shared" si="16"/>
        <v>2023</v>
      </c>
      <c r="C336" s="1">
        <f t="shared" si="17"/>
        <v>2</v>
      </c>
      <c r="D336" s="2" t="s">
        <v>29</v>
      </c>
      <c r="E336" s="6">
        <v>70</v>
      </c>
      <c r="F336" s="7"/>
    </row>
    <row r="337" spans="1:6">
      <c r="A337" s="9">
        <v>44982</v>
      </c>
      <c r="B337" s="1">
        <f t="shared" si="16"/>
        <v>2023</v>
      </c>
      <c r="C337" s="1">
        <f t="shared" si="17"/>
        <v>2</v>
      </c>
      <c r="D337" s="2" t="s">
        <v>30</v>
      </c>
      <c r="E337" s="6">
        <v>0</v>
      </c>
      <c r="F337" s="7"/>
    </row>
    <row r="338" spans="1:6">
      <c r="A338" s="9">
        <v>44986</v>
      </c>
      <c r="B338" s="1">
        <f t="shared" si="16"/>
        <v>2023</v>
      </c>
      <c r="C338" s="1">
        <f t="shared" si="17"/>
        <v>3</v>
      </c>
      <c r="D338" s="2" t="s">
        <v>7</v>
      </c>
      <c r="E338" s="6">
        <v>42553</v>
      </c>
      <c r="F338" s="7"/>
    </row>
    <row r="339" spans="1:6">
      <c r="A339" s="9">
        <v>44987</v>
      </c>
      <c r="B339" s="1">
        <f t="shared" si="16"/>
        <v>2023</v>
      </c>
      <c r="C339" s="1">
        <f t="shared" si="17"/>
        <v>3</v>
      </c>
      <c r="D339" s="2" t="s">
        <v>8</v>
      </c>
      <c r="E339" s="6">
        <v>43878</v>
      </c>
      <c r="F339" s="7"/>
    </row>
    <row r="340" spans="1:6">
      <c r="A340" s="9">
        <v>44988</v>
      </c>
      <c r="B340" s="1">
        <f t="shared" si="16"/>
        <v>2023</v>
      </c>
      <c r="C340" s="1">
        <f t="shared" si="17"/>
        <v>3</v>
      </c>
      <c r="D340" s="2" t="s">
        <v>9</v>
      </c>
      <c r="E340" s="6">
        <v>36350</v>
      </c>
      <c r="F340" s="7"/>
    </row>
    <row r="341" spans="1:6">
      <c r="A341" s="9">
        <v>44989</v>
      </c>
      <c r="B341" s="1">
        <f t="shared" si="16"/>
        <v>2023</v>
      </c>
      <c r="C341" s="1">
        <f t="shared" si="17"/>
        <v>3</v>
      </c>
      <c r="D341" s="2" t="s">
        <v>10</v>
      </c>
      <c r="E341" s="6">
        <v>29650</v>
      </c>
      <c r="F341" s="7"/>
    </row>
    <row r="342" spans="1:6">
      <c r="A342" s="9">
        <v>44990</v>
      </c>
      <c r="B342" s="1">
        <f t="shared" si="16"/>
        <v>2023</v>
      </c>
      <c r="C342" s="1">
        <f t="shared" si="17"/>
        <v>3</v>
      </c>
      <c r="D342" s="2" t="s">
        <v>11</v>
      </c>
      <c r="E342" s="6">
        <v>31603</v>
      </c>
      <c r="F342" s="7"/>
    </row>
    <row r="343" spans="1:6">
      <c r="A343" s="9">
        <v>44991</v>
      </c>
      <c r="B343" s="1">
        <f t="shared" si="16"/>
        <v>2023</v>
      </c>
      <c r="C343" s="1">
        <f t="shared" si="17"/>
        <v>3</v>
      </c>
      <c r="D343" s="2" t="s">
        <v>12</v>
      </c>
      <c r="E343" s="6">
        <v>24826</v>
      </c>
      <c r="F343" s="7"/>
    </row>
    <row r="344" spans="1:6">
      <c r="A344" s="9">
        <v>44992</v>
      </c>
      <c r="B344" s="1">
        <f t="shared" si="16"/>
        <v>2023</v>
      </c>
      <c r="C344" s="1">
        <f t="shared" si="17"/>
        <v>3</v>
      </c>
      <c r="D344" s="2" t="s">
        <v>13</v>
      </c>
      <c r="E344" s="6">
        <v>21905</v>
      </c>
      <c r="F344" s="7"/>
    </row>
    <row r="345" spans="1:6">
      <c r="A345" s="9">
        <v>44993</v>
      </c>
      <c r="B345" s="1">
        <f t="shared" si="16"/>
        <v>2023</v>
      </c>
      <c r="C345" s="1">
        <f t="shared" si="17"/>
        <v>3</v>
      </c>
      <c r="D345" s="2" t="s">
        <v>14</v>
      </c>
      <c r="E345" s="6">
        <v>17250</v>
      </c>
      <c r="F345" s="7"/>
    </row>
    <row r="346" spans="1:6">
      <c r="A346" s="9">
        <v>44994</v>
      </c>
      <c r="B346" s="1">
        <f t="shared" si="16"/>
        <v>2023</v>
      </c>
      <c r="C346" s="1">
        <f t="shared" si="17"/>
        <v>3</v>
      </c>
      <c r="D346" s="2" t="s">
        <v>15</v>
      </c>
      <c r="E346" s="6">
        <v>9981</v>
      </c>
      <c r="F346" s="7"/>
    </row>
    <row r="347" spans="1:6">
      <c r="A347" s="9">
        <v>44995</v>
      </c>
      <c r="B347" s="1">
        <f t="shared" si="16"/>
        <v>2023</v>
      </c>
      <c r="C347" s="1">
        <f t="shared" si="17"/>
        <v>3</v>
      </c>
      <c r="D347" s="2" t="s">
        <v>16</v>
      </c>
      <c r="E347" s="6">
        <v>9167</v>
      </c>
      <c r="F347" s="7"/>
    </row>
    <row r="348" spans="1:6">
      <c r="A348" s="9">
        <v>44996</v>
      </c>
      <c r="B348" s="1">
        <f t="shared" si="16"/>
        <v>2023</v>
      </c>
      <c r="C348" s="1">
        <f t="shared" si="17"/>
        <v>3</v>
      </c>
      <c r="D348" s="2" t="s">
        <v>17</v>
      </c>
      <c r="E348" s="6">
        <v>9104</v>
      </c>
      <c r="F348" s="7"/>
    </row>
    <row r="349" spans="1:6">
      <c r="A349" s="9">
        <v>44997</v>
      </c>
      <c r="B349" s="1">
        <f t="shared" si="16"/>
        <v>2023</v>
      </c>
      <c r="C349" s="1">
        <f t="shared" si="17"/>
        <v>3</v>
      </c>
      <c r="D349" s="2" t="s">
        <v>18</v>
      </c>
      <c r="E349" s="6">
        <v>5709</v>
      </c>
      <c r="F349" s="7"/>
    </row>
    <row r="350" spans="1:6">
      <c r="A350" s="9">
        <v>44998</v>
      </c>
      <c r="B350" s="1">
        <f t="shared" si="16"/>
        <v>2023</v>
      </c>
      <c r="C350" s="1">
        <f t="shared" si="17"/>
        <v>3</v>
      </c>
      <c r="D350" s="2" t="s">
        <v>19</v>
      </c>
      <c r="E350" s="6">
        <v>7870</v>
      </c>
      <c r="F350" s="7"/>
    </row>
    <row r="351" spans="1:6">
      <c r="A351" s="9">
        <v>44999</v>
      </c>
      <c r="B351" s="1">
        <f t="shared" si="16"/>
        <v>2023</v>
      </c>
      <c r="C351" s="1">
        <f t="shared" si="17"/>
        <v>3</v>
      </c>
      <c r="D351" s="2" t="s">
        <v>20</v>
      </c>
      <c r="E351" s="6">
        <v>5264</v>
      </c>
      <c r="F351" s="7"/>
    </row>
    <row r="352" spans="1:6">
      <c r="A352" s="9">
        <v>45000</v>
      </c>
      <c r="B352" s="1">
        <f t="shared" si="16"/>
        <v>2023</v>
      </c>
      <c r="C352" s="1">
        <f t="shared" si="17"/>
        <v>3</v>
      </c>
      <c r="D352" s="2" t="s">
        <v>21</v>
      </c>
      <c r="E352" s="6">
        <v>12173</v>
      </c>
      <c r="F352" s="7"/>
    </row>
    <row r="353" spans="1:6">
      <c r="A353" s="9">
        <v>45001</v>
      </c>
      <c r="B353" s="1">
        <f t="shared" si="16"/>
        <v>2023</v>
      </c>
      <c r="C353" s="1">
        <f t="shared" si="17"/>
        <v>3</v>
      </c>
      <c r="D353" s="2" t="s">
        <v>22</v>
      </c>
      <c r="E353" s="6">
        <v>3010</v>
      </c>
      <c r="F353" s="7"/>
    </row>
    <row r="354" spans="1:6">
      <c r="A354" s="9">
        <v>45002</v>
      </c>
      <c r="B354" s="1">
        <f t="shared" si="16"/>
        <v>2023</v>
      </c>
      <c r="C354" s="1">
        <f t="shared" si="17"/>
        <v>3</v>
      </c>
      <c r="D354" s="2" t="s">
        <v>23</v>
      </c>
      <c r="E354" s="6">
        <v>3844</v>
      </c>
      <c r="F354" s="7"/>
    </row>
    <row r="355" spans="1:6">
      <c r="A355" s="9">
        <v>45003</v>
      </c>
      <c r="B355" s="1">
        <f t="shared" si="16"/>
        <v>2023</v>
      </c>
      <c r="C355" s="1">
        <f t="shared" si="17"/>
        <v>3</v>
      </c>
      <c r="D355" s="2" t="s">
        <v>24</v>
      </c>
      <c r="E355" s="6">
        <v>1755</v>
      </c>
      <c r="F355" s="7"/>
    </row>
    <row r="356" spans="1:6">
      <c r="A356" s="9">
        <v>45004</v>
      </c>
      <c r="B356" s="1">
        <f t="shared" si="16"/>
        <v>2023</v>
      </c>
      <c r="C356" s="1">
        <f t="shared" si="17"/>
        <v>3</v>
      </c>
      <c r="D356" s="2" t="s">
        <v>25</v>
      </c>
      <c r="E356" s="6">
        <v>1463</v>
      </c>
      <c r="F356" s="7"/>
    </row>
    <row r="357" spans="1:6">
      <c r="A357" s="9">
        <v>45005</v>
      </c>
      <c r="B357" s="1">
        <f t="shared" si="16"/>
        <v>2023</v>
      </c>
      <c r="C357" s="1">
        <f t="shared" si="17"/>
        <v>3</v>
      </c>
      <c r="D357" s="2" t="s">
        <v>26</v>
      </c>
      <c r="E357" s="6">
        <v>715</v>
      </c>
      <c r="F357" s="7"/>
    </row>
    <row r="358" spans="1:6">
      <c r="A358" s="9">
        <v>45006</v>
      </c>
      <c r="B358" s="1">
        <f t="shared" si="16"/>
        <v>2023</v>
      </c>
      <c r="C358" s="1">
        <f t="shared" si="17"/>
        <v>3</v>
      </c>
      <c r="D358" s="2" t="s">
        <v>27</v>
      </c>
      <c r="E358" s="6">
        <v>350</v>
      </c>
      <c r="F358" s="7"/>
    </row>
    <row r="359" spans="1:6">
      <c r="A359" s="9">
        <v>45007</v>
      </c>
      <c r="B359" s="1">
        <f t="shared" si="16"/>
        <v>2023</v>
      </c>
      <c r="C359" s="1">
        <f t="shared" si="17"/>
        <v>3</v>
      </c>
      <c r="D359" s="2" t="s">
        <v>28</v>
      </c>
      <c r="E359" s="6">
        <v>0</v>
      </c>
      <c r="F359" s="7"/>
    </row>
    <row r="360" spans="1:6">
      <c r="A360" s="9">
        <v>45008</v>
      </c>
      <c r="B360" s="1">
        <f t="shared" si="16"/>
        <v>2023</v>
      </c>
      <c r="C360" s="1">
        <f t="shared" si="17"/>
        <v>3</v>
      </c>
      <c r="D360" s="2" t="s">
        <v>29</v>
      </c>
      <c r="E360" s="6">
        <v>70</v>
      </c>
      <c r="F360" s="7"/>
    </row>
    <row r="361" spans="1:6">
      <c r="A361" s="9">
        <v>45009</v>
      </c>
      <c r="B361" s="1">
        <f t="shared" si="16"/>
        <v>2023</v>
      </c>
      <c r="C361" s="1">
        <f t="shared" si="17"/>
        <v>3</v>
      </c>
      <c r="D361" s="2" t="s">
        <v>30</v>
      </c>
      <c r="E361" s="6">
        <v>0</v>
      </c>
      <c r="F361" s="7"/>
    </row>
    <row r="362" spans="1:6">
      <c r="A362" s="9">
        <v>45017</v>
      </c>
      <c r="B362" s="1">
        <f t="shared" si="16"/>
        <v>2023</v>
      </c>
      <c r="C362" s="1">
        <f t="shared" si="17"/>
        <v>4</v>
      </c>
      <c r="D362" s="2" t="s">
        <v>7</v>
      </c>
      <c r="E362" s="6">
        <v>58928</v>
      </c>
      <c r="F362" s="7"/>
    </row>
    <row r="363" spans="1:6">
      <c r="A363" s="9">
        <v>45018</v>
      </c>
      <c r="B363" s="1">
        <f t="shared" si="16"/>
        <v>2023</v>
      </c>
      <c r="C363" s="1">
        <f t="shared" si="17"/>
        <v>4</v>
      </c>
      <c r="D363" s="2" t="s">
        <v>8</v>
      </c>
      <c r="E363" s="6">
        <v>55758</v>
      </c>
      <c r="F363" s="7"/>
    </row>
    <row r="364" spans="1:6">
      <c r="A364" s="9">
        <v>45019</v>
      </c>
      <c r="B364" s="1">
        <f t="shared" si="16"/>
        <v>2023</v>
      </c>
      <c r="C364" s="1">
        <f t="shared" si="17"/>
        <v>4</v>
      </c>
      <c r="D364" s="2" t="s">
        <v>9</v>
      </c>
      <c r="E364" s="6">
        <v>51931</v>
      </c>
      <c r="F364" s="7"/>
    </row>
    <row r="365" spans="1:6">
      <c r="A365" s="9">
        <v>45020</v>
      </c>
      <c r="B365" s="1">
        <f t="shared" si="16"/>
        <v>2023</v>
      </c>
      <c r="C365" s="1">
        <f t="shared" si="17"/>
        <v>4</v>
      </c>
      <c r="D365" s="2" t="s">
        <v>10</v>
      </c>
      <c r="E365" s="6">
        <v>39554</v>
      </c>
      <c r="F365" s="7"/>
    </row>
    <row r="366" spans="1:6">
      <c r="A366" s="9">
        <v>45021</v>
      </c>
      <c r="B366" s="1">
        <f t="shared" si="16"/>
        <v>2023</v>
      </c>
      <c r="C366" s="1">
        <f t="shared" si="17"/>
        <v>4</v>
      </c>
      <c r="D366" s="2" t="s">
        <v>11</v>
      </c>
      <c r="E366" s="6">
        <v>40769</v>
      </c>
      <c r="F366" s="7"/>
    </row>
    <row r="367" spans="1:6">
      <c r="A367" s="9">
        <v>45022</v>
      </c>
      <c r="B367" s="1">
        <f t="shared" si="16"/>
        <v>2023</v>
      </c>
      <c r="C367" s="1">
        <f t="shared" si="17"/>
        <v>4</v>
      </c>
      <c r="D367" s="2" t="s">
        <v>12</v>
      </c>
      <c r="E367" s="6">
        <v>31395</v>
      </c>
      <c r="F367" s="7"/>
    </row>
    <row r="368" spans="1:6">
      <c r="A368" s="9">
        <v>45023</v>
      </c>
      <c r="B368" s="1">
        <f t="shared" si="16"/>
        <v>2023</v>
      </c>
      <c r="C368" s="1">
        <f t="shared" si="17"/>
        <v>4</v>
      </c>
      <c r="D368" s="2" t="s">
        <v>13</v>
      </c>
      <c r="E368" s="6">
        <v>27725</v>
      </c>
      <c r="F368" s="7"/>
    </row>
    <row r="369" spans="1:6">
      <c r="A369" s="9">
        <v>45024</v>
      </c>
      <c r="B369" s="1">
        <f t="shared" si="16"/>
        <v>2023</v>
      </c>
      <c r="C369" s="1">
        <f t="shared" si="17"/>
        <v>4</v>
      </c>
      <c r="D369" s="2" t="s">
        <v>14</v>
      </c>
      <c r="E369" s="6">
        <v>21904</v>
      </c>
      <c r="F369" s="7"/>
    </row>
    <row r="370" spans="1:6">
      <c r="A370" s="9">
        <v>45025</v>
      </c>
      <c r="B370" s="1">
        <f t="shared" si="16"/>
        <v>2023</v>
      </c>
      <c r="C370" s="1">
        <f t="shared" si="17"/>
        <v>4</v>
      </c>
      <c r="D370" s="2" t="s">
        <v>15</v>
      </c>
      <c r="E370" s="6">
        <v>12640</v>
      </c>
      <c r="F370" s="7"/>
    </row>
    <row r="371" spans="1:6">
      <c r="A371" s="9">
        <v>45026</v>
      </c>
      <c r="B371" s="1">
        <f t="shared" si="16"/>
        <v>2023</v>
      </c>
      <c r="C371" s="1">
        <f t="shared" si="17"/>
        <v>4</v>
      </c>
      <c r="D371" s="2" t="s">
        <v>16</v>
      </c>
      <c r="E371" s="6">
        <v>12055</v>
      </c>
      <c r="F371" s="7"/>
    </row>
    <row r="372" spans="1:6">
      <c r="A372" s="9">
        <v>45027</v>
      </c>
      <c r="B372" s="1">
        <f t="shared" si="16"/>
        <v>2023</v>
      </c>
      <c r="C372" s="1">
        <f t="shared" si="17"/>
        <v>4</v>
      </c>
      <c r="D372" s="2" t="s">
        <v>17</v>
      </c>
      <c r="E372" s="6">
        <v>12092</v>
      </c>
      <c r="F372" s="7"/>
    </row>
    <row r="373" spans="1:6">
      <c r="A373" s="9">
        <v>45028</v>
      </c>
      <c r="B373" s="1">
        <f t="shared" si="16"/>
        <v>2023</v>
      </c>
      <c r="C373" s="1">
        <f t="shared" si="17"/>
        <v>4</v>
      </c>
      <c r="D373" s="2" t="s">
        <v>18</v>
      </c>
      <c r="E373" s="6">
        <v>7580</v>
      </c>
      <c r="F373" s="7"/>
    </row>
    <row r="374" spans="1:6">
      <c r="A374" s="9">
        <v>45029</v>
      </c>
      <c r="B374" s="1">
        <f t="shared" si="16"/>
        <v>2023</v>
      </c>
      <c r="C374" s="1">
        <f t="shared" si="17"/>
        <v>4</v>
      </c>
      <c r="D374" s="2" t="s">
        <v>19</v>
      </c>
      <c r="E374" s="6">
        <v>9967</v>
      </c>
      <c r="F374" s="7"/>
    </row>
    <row r="375" spans="1:6">
      <c r="A375" s="9">
        <v>45030</v>
      </c>
      <c r="B375" s="1">
        <f t="shared" si="16"/>
        <v>2023</v>
      </c>
      <c r="C375" s="1">
        <f t="shared" si="17"/>
        <v>4</v>
      </c>
      <c r="D375" s="2" t="s">
        <v>20</v>
      </c>
      <c r="E375" s="6">
        <v>6927</v>
      </c>
      <c r="F375" s="7"/>
    </row>
    <row r="376" spans="1:6">
      <c r="A376" s="9">
        <v>45031</v>
      </c>
      <c r="B376" s="1">
        <f t="shared" si="16"/>
        <v>2023</v>
      </c>
      <c r="C376" s="1">
        <f t="shared" si="17"/>
        <v>4</v>
      </c>
      <c r="D376" s="2" t="s">
        <v>21</v>
      </c>
      <c r="E376" s="6">
        <v>16840</v>
      </c>
      <c r="F376" s="7"/>
    </row>
    <row r="377" spans="1:6">
      <c r="A377" s="9">
        <v>45032</v>
      </c>
      <c r="B377" s="1">
        <f t="shared" si="16"/>
        <v>2023</v>
      </c>
      <c r="C377" s="1">
        <f t="shared" si="17"/>
        <v>4</v>
      </c>
      <c r="D377" s="2" t="s">
        <v>22</v>
      </c>
      <c r="E377" s="6">
        <v>4068</v>
      </c>
      <c r="F377" s="7"/>
    </row>
    <row r="378" spans="1:6">
      <c r="A378" s="9">
        <v>45033</v>
      </c>
      <c r="B378" s="1">
        <f t="shared" si="16"/>
        <v>2023</v>
      </c>
      <c r="C378" s="1">
        <f t="shared" si="17"/>
        <v>4</v>
      </c>
      <c r="D378" s="2" t="s">
        <v>23</v>
      </c>
      <c r="E378" s="6">
        <v>4715</v>
      </c>
      <c r="F378" s="7"/>
    </row>
    <row r="379" spans="1:6">
      <c r="A379" s="9">
        <v>45034</v>
      </c>
      <c r="B379" s="1">
        <f t="shared" si="16"/>
        <v>2023</v>
      </c>
      <c r="C379" s="1">
        <f t="shared" si="17"/>
        <v>4</v>
      </c>
      <c r="D379" s="2" t="s">
        <v>24</v>
      </c>
      <c r="E379" s="6">
        <v>2575</v>
      </c>
      <c r="F379" s="7"/>
    </row>
    <row r="380" spans="1:6">
      <c r="A380" s="9">
        <v>45035</v>
      </c>
      <c r="B380" s="1">
        <f t="shared" si="16"/>
        <v>2023</v>
      </c>
      <c r="C380" s="1">
        <f t="shared" si="17"/>
        <v>4</v>
      </c>
      <c r="D380" s="2" t="s">
        <v>25</v>
      </c>
      <c r="E380" s="6">
        <v>1808</v>
      </c>
      <c r="F380" s="7"/>
    </row>
    <row r="381" spans="1:6">
      <c r="A381" s="9">
        <v>45036</v>
      </c>
      <c r="B381" s="1">
        <f t="shared" si="16"/>
        <v>2023</v>
      </c>
      <c r="C381" s="1">
        <f t="shared" si="17"/>
        <v>4</v>
      </c>
      <c r="D381" s="2" t="s">
        <v>26</v>
      </c>
      <c r="E381" s="6">
        <v>984</v>
      </c>
      <c r="F381" s="7"/>
    </row>
    <row r="382" spans="1:6">
      <c r="A382" s="9">
        <v>45037</v>
      </c>
      <c r="B382" s="1">
        <f t="shared" si="16"/>
        <v>2023</v>
      </c>
      <c r="C382" s="1">
        <f t="shared" si="17"/>
        <v>4</v>
      </c>
      <c r="D382" s="2" t="s">
        <v>27</v>
      </c>
      <c r="E382" s="6">
        <v>350</v>
      </c>
      <c r="F382" s="7"/>
    </row>
    <row r="383" spans="1:6">
      <c r="A383" s="9">
        <v>45038</v>
      </c>
      <c r="B383" s="1">
        <f t="shared" si="16"/>
        <v>2023</v>
      </c>
      <c r="C383" s="1">
        <f t="shared" si="17"/>
        <v>4</v>
      </c>
      <c r="D383" s="2" t="s">
        <v>28</v>
      </c>
      <c r="E383" s="6">
        <v>0</v>
      </c>
      <c r="F383" s="7"/>
    </row>
    <row r="384" spans="1:6">
      <c r="A384" s="9">
        <v>45039</v>
      </c>
      <c r="B384" s="1">
        <f t="shared" si="16"/>
        <v>2023</v>
      </c>
      <c r="C384" s="1">
        <f t="shared" si="17"/>
        <v>4</v>
      </c>
      <c r="D384" s="2" t="s">
        <v>29</v>
      </c>
      <c r="E384" s="6">
        <v>70</v>
      </c>
      <c r="F384" s="7"/>
    </row>
    <row r="385" spans="1:6">
      <c r="A385" s="9">
        <v>45040</v>
      </c>
      <c r="B385" s="1">
        <f t="shared" si="16"/>
        <v>2023</v>
      </c>
      <c r="C385" s="1">
        <f t="shared" si="17"/>
        <v>4</v>
      </c>
      <c r="D385" s="2" t="s">
        <v>30</v>
      </c>
      <c r="E385" s="6">
        <v>0</v>
      </c>
      <c r="F385" s="7"/>
    </row>
    <row r="386" spans="1:6">
      <c r="A386" s="9">
        <v>45047</v>
      </c>
      <c r="B386" s="1">
        <f t="shared" si="16"/>
        <v>2023</v>
      </c>
      <c r="C386" s="1">
        <f t="shared" si="17"/>
        <v>5</v>
      </c>
      <c r="D386" s="2" t="s">
        <v>7</v>
      </c>
      <c r="E386" s="6">
        <v>79121</v>
      </c>
      <c r="F386" s="7"/>
    </row>
    <row r="387" spans="1:6">
      <c r="A387" s="9">
        <v>45048</v>
      </c>
      <c r="B387" s="1">
        <f t="shared" si="16"/>
        <v>2023</v>
      </c>
      <c r="C387" s="1">
        <f t="shared" si="17"/>
        <v>5</v>
      </c>
      <c r="D387" s="2" t="s">
        <v>8</v>
      </c>
      <c r="E387" s="6">
        <v>73273</v>
      </c>
      <c r="F387" s="7"/>
    </row>
    <row r="388" spans="1:6">
      <c r="A388" s="9">
        <v>45049</v>
      </c>
      <c r="B388" s="1">
        <f t="shared" si="16"/>
        <v>2023</v>
      </c>
      <c r="C388" s="1">
        <f t="shared" si="17"/>
        <v>5</v>
      </c>
      <c r="D388" s="2" t="s">
        <v>9</v>
      </c>
      <c r="E388" s="6">
        <v>66092</v>
      </c>
      <c r="F388" s="7"/>
    </row>
    <row r="389" spans="1:6">
      <c r="A389" s="9">
        <v>45050</v>
      </c>
      <c r="B389" s="1">
        <f t="shared" si="16"/>
        <v>2023</v>
      </c>
      <c r="C389" s="1">
        <f t="shared" si="17"/>
        <v>5</v>
      </c>
      <c r="D389" s="2" t="s">
        <v>10</v>
      </c>
      <c r="E389" s="6">
        <v>54629</v>
      </c>
      <c r="F389" s="7"/>
    </row>
    <row r="390" spans="1:6">
      <c r="A390" s="9">
        <v>45051</v>
      </c>
      <c r="B390" s="1">
        <f t="shared" si="16"/>
        <v>2023</v>
      </c>
      <c r="C390" s="1">
        <f t="shared" si="17"/>
        <v>5</v>
      </c>
      <c r="D390" s="2" t="s">
        <v>11</v>
      </c>
      <c r="E390" s="6">
        <v>52782</v>
      </c>
      <c r="F390" s="7"/>
    </row>
    <row r="391" spans="1:6">
      <c r="A391" s="9">
        <v>45052</v>
      </c>
      <c r="B391" s="1">
        <f t="shared" si="16"/>
        <v>2023</v>
      </c>
      <c r="C391" s="1">
        <f t="shared" si="17"/>
        <v>5</v>
      </c>
      <c r="D391" s="2" t="s">
        <v>12</v>
      </c>
      <c r="E391" s="6">
        <v>38554</v>
      </c>
      <c r="F391" s="7"/>
    </row>
    <row r="392" spans="1:6">
      <c r="A392" s="9">
        <v>45053</v>
      </c>
      <c r="B392" s="1">
        <f t="shared" si="16"/>
        <v>2023</v>
      </c>
      <c r="C392" s="1">
        <f t="shared" si="17"/>
        <v>5</v>
      </c>
      <c r="D392" s="2" t="s">
        <v>13</v>
      </c>
      <c r="E392" s="6">
        <v>35686</v>
      </c>
      <c r="F392" s="7"/>
    </row>
    <row r="393" spans="1:6">
      <c r="A393" s="9">
        <v>45054</v>
      </c>
      <c r="B393" s="1">
        <f t="shared" si="16"/>
        <v>2023</v>
      </c>
      <c r="C393" s="1">
        <f t="shared" si="17"/>
        <v>5</v>
      </c>
      <c r="D393" s="2" t="s">
        <v>14</v>
      </c>
      <c r="E393" s="6">
        <v>27520</v>
      </c>
      <c r="F393" s="7"/>
    </row>
    <row r="394" spans="1:6">
      <c r="A394" s="9">
        <v>45055</v>
      </c>
      <c r="B394" s="1">
        <f t="shared" si="16"/>
        <v>2023</v>
      </c>
      <c r="C394" s="1">
        <f t="shared" si="17"/>
        <v>5</v>
      </c>
      <c r="D394" s="2" t="s">
        <v>15</v>
      </c>
      <c r="E394" s="6">
        <v>16339</v>
      </c>
      <c r="F394" s="7"/>
    </row>
    <row r="395" spans="1:6">
      <c r="A395" s="9">
        <v>45056</v>
      </c>
      <c r="B395" s="1">
        <f t="shared" si="16"/>
        <v>2023</v>
      </c>
      <c r="C395" s="1">
        <f t="shared" si="17"/>
        <v>5</v>
      </c>
      <c r="D395" s="2" t="s">
        <v>16</v>
      </c>
      <c r="E395" s="6">
        <v>15118</v>
      </c>
      <c r="F395" s="7"/>
    </row>
    <row r="396" spans="1:6">
      <c r="A396" s="9">
        <v>45057</v>
      </c>
      <c r="B396" s="1">
        <f t="shared" si="16"/>
        <v>2023</v>
      </c>
      <c r="C396" s="1">
        <f t="shared" si="17"/>
        <v>5</v>
      </c>
      <c r="D396" s="2" t="s">
        <v>17</v>
      </c>
      <c r="E396" s="6">
        <v>15345</v>
      </c>
      <c r="F396" s="7"/>
    </row>
    <row r="397" spans="1:6">
      <c r="A397" s="9">
        <v>45058</v>
      </c>
      <c r="B397" s="1">
        <f t="shared" si="16"/>
        <v>2023</v>
      </c>
      <c r="C397" s="1">
        <f t="shared" si="17"/>
        <v>5</v>
      </c>
      <c r="D397" s="2" t="s">
        <v>18</v>
      </c>
      <c r="E397" s="6">
        <v>10260</v>
      </c>
      <c r="F397" s="7"/>
    </row>
    <row r="398" spans="1:6">
      <c r="A398" s="9">
        <v>45059</v>
      </c>
      <c r="B398" s="1">
        <f t="shared" si="16"/>
        <v>2023</v>
      </c>
      <c r="C398" s="1">
        <f t="shared" si="17"/>
        <v>5</v>
      </c>
      <c r="D398" s="2" t="s">
        <v>19</v>
      </c>
      <c r="E398" s="6">
        <v>12554</v>
      </c>
      <c r="F398" s="7"/>
    </row>
    <row r="399" spans="1:6">
      <c r="A399" s="9">
        <v>45060</v>
      </c>
      <c r="B399" s="1">
        <f t="shared" si="16"/>
        <v>2023</v>
      </c>
      <c r="C399" s="1">
        <f t="shared" si="17"/>
        <v>5</v>
      </c>
      <c r="D399" s="2" t="s">
        <v>20</v>
      </c>
      <c r="E399" s="6">
        <v>9063</v>
      </c>
      <c r="F399" s="7"/>
    </row>
    <row r="400" spans="1:6">
      <c r="A400" s="9">
        <v>45061</v>
      </c>
      <c r="B400" s="1">
        <f t="shared" si="16"/>
        <v>2023</v>
      </c>
      <c r="C400" s="1">
        <f t="shared" si="17"/>
        <v>5</v>
      </c>
      <c r="D400" s="2" t="s">
        <v>21</v>
      </c>
      <c r="E400" s="6">
        <v>10174</v>
      </c>
      <c r="F400" s="7"/>
    </row>
    <row r="401" spans="1:6">
      <c r="A401" s="9">
        <v>45062</v>
      </c>
      <c r="B401" s="1">
        <f t="shared" si="16"/>
        <v>2023</v>
      </c>
      <c r="C401" s="1">
        <f t="shared" si="17"/>
        <v>5</v>
      </c>
      <c r="D401" s="2" t="s">
        <v>22</v>
      </c>
      <c r="E401" s="6">
        <v>5436</v>
      </c>
      <c r="F401" s="7"/>
    </row>
    <row r="402" spans="1:6">
      <c r="A402" s="9">
        <v>45063</v>
      </c>
      <c r="B402" s="1">
        <f t="shared" si="16"/>
        <v>2023</v>
      </c>
      <c r="C402" s="1">
        <f t="shared" si="17"/>
        <v>5</v>
      </c>
      <c r="D402" s="2" t="s">
        <v>23</v>
      </c>
      <c r="E402" s="6">
        <v>5563</v>
      </c>
      <c r="F402" s="7"/>
    </row>
    <row r="403" spans="1:6">
      <c r="A403" s="9">
        <v>45064</v>
      </c>
      <c r="B403" s="1">
        <f t="shared" si="16"/>
        <v>2023</v>
      </c>
      <c r="C403" s="1">
        <f t="shared" si="17"/>
        <v>5</v>
      </c>
      <c r="D403" s="2" t="s">
        <v>24</v>
      </c>
      <c r="E403" s="6">
        <v>3595</v>
      </c>
      <c r="F403" s="7"/>
    </row>
    <row r="404" spans="1:6">
      <c r="A404" s="9">
        <v>45065</v>
      </c>
      <c r="B404" s="1">
        <f t="shared" si="16"/>
        <v>2023</v>
      </c>
      <c r="C404" s="1">
        <f t="shared" si="17"/>
        <v>5</v>
      </c>
      <c r="D404" s="2" t="s">
        <v>25</v>
      </c>
      <c r="E404" s="6">
        <v>2389</v>
      </c>
      <c r="F404" s="7"/>
    </row>
    <row r="405" spans="1:6">
      <c r="A405" s="9">
        <v>45066</v>
      </c>
      <c r="B405" s="1">
        <f t="shared" si="16"/>
        <v>2023</v>
      </c>
      <c r="C405" s="1">
        <f t="shared" si="17"/>
        <v>5</v>
      </c>
      <c r="D405" s="2" t="s">
        <v>26</v>
      </c>
      <c r="E405" s="6">
        <v>1310</v>
      </c>
      <c r="F405" s="7"/>
    </row>
    <row r="406" spans="1:6">
      <c r="A406" s="9">
        <v>45067</v>
      </c>
      <c r="B406" s="1">
        <f t="shared" si="16"/>
        <v>2023</v>
      </c>
      <c r="C406" s="1">
        <f t="shared" si="17"/>
        <v>5</v>
      </c>
      <c r="D406" s="2" t="s">
        <v>27</v>
      </c>
      <c r="E406" s="6">
        <v>393</v>
      </c>
      <c r="F406" s="7"/>
    </row>
    <row r="407" spans="1:6">
      <c r="A407" s="9">
        <v>45068</v>
      </c>
      <c r="B407" s="1">
        <f t="shared" si="16"/>
        <v>2023</v>
      </c>
      <c r="C407" s="1">
        <f t="shared" si="17"/>
        <v>5</v>
      </c>
      <c r="D407" s="2" t="s">
        <v>28</v>
      </c>
      <c r="E407" s="6">
        <v>0</v>
      </c>
      <c r="F407" s="7"/>
    </row>
    <row r="408" spans="1:6">
      <c r="A408" s="9">
        <v>45069</v>
      </c>
      <c r="B408" s="1">
        <f t="shared" si="16"/>
        <v>2023</v>
      </c>
      <c r="C408" s="1">
        <f t="shared" si="17"/>
        <v>5</v>
      </c>
      <c r="D408" s="2" t="s">
        <v>29</v>
      </c>
      <c r="E408" s="6">
        <v>70</v>
      </c>
      <c r="F408" s="7"/>
    </row>
    <row r="409" spans="1:6">
      <c r="A409" s="9">
        <v>45070</v>
      </c>
      <c r="B409" s="1">
        <f t="shared" si="16"/>
        <v>2023</v>
      </c>
      <c r="C409" s="1">
        <f t="shared" si="17"/>
        <v>5</v>
      </c>
      <c r="D409" s="2" t="s">
        <v>30</v>
      </c>
      <c r="E409" s="6">
        <v>0</v>
      </c>
      <c r="F409" s="7"/>
    </row>
    <row r="410" spans="1:6">
      <c r="A410" s="9">
        <v>45078</v>
      </c>
      <c r="B410" s="1">
        <f t="shared" si="16"/>
        <v>2023</v>
      </c>
      <c r="C410" s="1">
        <f t="shared" si="17"/>
        <v>6</v>
      </c>
      <c r="D410" s="2" t="s">
        <v>7</v>
      </c>
      <c r="E410" s="6">
        <v>94585</v>
      </c>
      <c r="F410" s="7"/>
    </row>
    <row r="411" spans="1:6">
      <c r="A411" s="9">
        <v>45079</v>
      </c>
      <c r="B411" s="1">
        <f t="shared" si="16"/>
        <v>2023</v>
      </c>
      <c r="C411" s="1">
        <f t="shared" si="17"/>
        <v>6</v>
      </c>
      <c r="D411" s="2" t="s">
        <v>8</v>
      </c>
      <c r="E411" s="6">
        <v>89331</v>
      </c>
      <c r="F411" s="7"/>
    </row>
    <row r="412" spans="1:6">
      <c r="A412" s="9">
        <v>45080</v>
      </c>
      <c r="B412" s="1">
        <f t="shared" si="16"/>
        <v>2023</v>
      </c>
      <c r="C412" s="1">
        <f t="shared" si="17"/>
        <v>6</v>
      </c>
      <c r="D412" s="2" t="s">
        <v>9</v>
      </c>
      <c r="E412" s="6">
        <v>84576</v>
      </c>
      <c r="F412" s="7"/>
    </row>
    <row r="413" spans="1:6">
      <c r="A413" s="9">
        <v>45081</v>
      </c>
      <c r="B413" s="1">
        <f t="shared" si="16"/>
        <v>2023</v>
      </c>
      <c r="C413" s="1">
        <f t="shared" si="17"/>
        <v>6</v>
      </c>
      <c r="D413" s="2" t="s">
        <v>10</v>
      </c>
      <c r="E413" s="6">
        <v>65804</v>
      </c>
      <c r="F413" s="7"/>
    </row>
    <row r="414" spans="1:6">
      <c r="A414" s="9">
        <v>45082</v>
      </c>
      <c r="B414" s="1">
        <f t="shared" si="16"/>
        <v>2023</v>
      </c>
      <c r="C414" s="1">
        <f t="shared" si="17"/>
        <v>6</v>
      </c>
      <c r="D414" s="2" t="s">
        <v>11</v>
      </c>
      <c r="E414" s="6">
        <v>64399</v>
      </c>
      <c r="F414" s="7"/>
    </row>
    <row r="415" spans="1:6">
      <c r="A415" s="9">
        <v>45083</v>
      </c>
      <c r="B415" s="1">
        <f t="shared" si="16"/>
        <v>2023</v>
      </c>
      <c r="C415" s="1">
        <f t="shared" si="17"/>
        <v>6</v>
      </c>
      <c r="D415" s="2" t="s">
        <v>12</v>
      </c>
      <c r="E415" s="6">
        <v>44025</v>
      </c>
      <c r="F415" s="7"/>
    </row>
    <row r="416" spans="1:6">
      <c r="A416" s="9">
        <v>45084</v>
      </c>
      <c r="B416" s="1">
        <f t="shared" si="16"/>
        <v>2023</v>
      </c>
      <c r="C416" s="1">
        <f t="shared" si="17"/>
        <v>6</v>
      </c>
      <c r="D416" s="2" t="s">
        <v>13</v>
      </c>
      <c r="E416" s="6">
        <v>43095</v>
      </c>
      <c r="F416" s="7"/>
    </row>
    <row r="417" spans="1:6">
      <c r="A417" s="9">
        <v>45085</v>
      </c>
      <c r="B417" s="1">
        <f t="shared" si="16"/>
        <v>2023</v>
      </c>
      <c r="C417" s="1">
        <f t="shared" si="17"/>
        <v>6</v>
      </c>
      <c r="D417" s="2" t="s">
        <v>14</v>
      </c>
      <c r="E417" s="6">
        <v>32490</v>
      </c>
      <c r="F417" s="7"/>
    </row>
    <row r="418" spans="1:6">
      <c r="A418" s="9">
        <v>45086</v>
      </c>
      <c r="B418" s="1">
        <f t="shared" si="16"/>
        <v>2023</v>
      </c>
      <c r="C418" s="1">
        <f t="shared" si="17"/>
        <v>6</v>
      </c>
      <c r="D418" s="2" t="s">
        <v>15</v>
      </c>
      <c r="E418" s="6">
        <v>19837</v>
      </c>
      <c r="F418" s="7"/>
    </row>
    <row r="419" spans="1:6">
      <c r="A419" s="9">
        <v>45087</v>
      </c>
      <c r="B419" s="1">
        <f t="shared" si="16"/>
        <v>2023</v>
      </c>
      <c r="C419" s="1">
        <f t="shared" si="17"/>
        <v>6</v>
      </c>
      <c r="D419" s="2" t="s">
        <v>16</v>
      </c>
      <c r="E419" s="6">
        <v>18156</v>
      </c>
      <c r="F419" s="7"/>
    </row>
    <row r="420" spans="1:6">
      <c r="A420" s="9">
        <v>45088</v>
      </c>
      <c r="B420" s="1">
        <f t="shared" si="16"/>
        <v>2023</v>
      </c>
      <c r="C420" s="1">
        <f t="shared" si="17"/>
        <v>6</v>
      </c>
      <c r="D420" s="2" t="s">
        <v>17</v>
      </c>
      <c r="E420" s="6">
        <v>18526</v>
      </c>
      <c r="F420" s="7"/>
    </row>
    <row r="421" spans="1:6">
      <c r="A421" s="9">
        <v>45089</v>
      </c>
      <c r="B421" s="1">
        <f t="shared" si="16"/>
        <v>2023</v>
      </c>
      <c r="C421" s="1">
        <f t="shared" si="17"/>
        <v>6</v>
      </c>
      <c r="D421" s="2" t="s">
        <v>18</v>
      </c>
      <c r="E421" s="6">
        <v>13495</v>
      </c>
      <c r="F421" s="7"/>
    </row>
    <row r="422" spans="1:6">
      <c r="A422" s="9">
        <v>45090</v>
      </c>
      <c r="B422" s="1">
        <f t="shared" si="16"/>
        <v>2023</v>
      </c>
      <c r="C422" s="1">
        <f t="shared" si="17"/>
        <v>6</v>
      </c>
      <c r="D422" s="2" t="s">
        <v>19</v>
      </c>
      <c r="E422" s="6">
        <v>15486</v>
      </c>
      <c r="F422" s="7"/>
    </row>
    <row r="423" spans="1:6">
      <c r="A423" s="9">
        <v>45091</v>
      </c>
      <c r="B423" s="1">
        <f t="shared" si="16"/>
        <v>2023</v>
      </c>
      <c r="C423" s="1">
        <f t="shared" si="17"/>
        <v>6</v>
      </c>
      <c r="D423" s="2" t="s">
        <v>20</v>
      </c>
      <c r="E423" s="6">
        <v>10731</v>
      </c>
      <c r="F423" s="7"/>
    </row>
    <row r="424" spans="1:6">
      <c r="A424" s="9">
        <v>45092</v>
      </c>
      <c r="B424" s="1">
        <f t="shared" si="16"/>
        <v>2023</v>
      </c>
      <c r="C424" s="1">
        <f t="shared" si="17"/>
        <v>6</v>
      </c>
      <c r="D424" s="2" t="s">
        <v>21</v>
      </c>
      <c r="E424" s="6">
        <v>12264</v>
      </c>
      <c r="F424" s="7"/>
    </row>
    <row r="425" spans="1:6">
      <c r="A425" s="9">
        <v>45093</v>
      </c>
      <c r="B425" s="1">
        <f t="shared" si="16"/>
        <v>2023</v>
      </c>
      <c r="C425" s="1">
        <f t="shared" si="17"/>
        <v>6</v>
      </c>
      <c r="D425" s="2" t="s">
        <v>22</v>
      </c>
      <c r="E425" s="6">
        <v>7055</v>
      </c>
      <c r="F425" s="7"/>
    </row>
    <row r="426" spans="1:6">
      <c r="A426" s="9">
        <v>45094</v>
      </c>
      <c r="B426" s="1">
        <f t="shared" si="16"/>
        <v>2023</v>
      </c>
      <c r="C426" s="1">
        <f t="shared" si="17"/>
        <v>6</v>
      </c>
      <c r="D426" s="2" t="s">
        <v>23</v>
      </c>
      <c r="E426" s="6">
        <v>6559</v>
      </c>
      <c r="F426" s="7"/>
    </row>
    <row r="427" spans="1:6">
      <c r="A427" s="9">
        <v>45095</v>
      </c>
      <c r="B427" s="1">
        <f t="shared" si="16"/>
        <v>2023</v>
      </c>
      <c r="C427" s="1">
        <f t="shared" si="17"/>
        <v>6</v>
      </c>
      <c r="D427" s="2" t="s">
        <v>24</v>
      </c>
      <c r="E427" s="6">
        <v>4212</v>
      </c>
      <c r="F427" s="7"/>
    </row>
    <row r="428" spans="1:6">
      <c r="A428" s="9">
        <v>45096</v>
      </c>
      <c r="B428" s="1">
        <f t="shared" si="16"/>
        <v>2023</v>
      </c>
      <c r="C428" s="1">
        <f t="shared" si="17"/>
        <v>6</v>
      </c>
      <c r="D428" s="2" t="s">
        <v>25</v>
      </c>
      <c r="E428" s="6">
        <v>3030</v>
      </c>
      <c r="F428" s="7"/>
    </row>
    <row r="429" spans="1:6">
      <c r="A429" s="9">
        <v>45097</v>
      </c>
      <c r="B429" s="1">
        <f t="shared" si="16"/>
        <v>2023</v>
      </c>
      <c r="C429" s="1">
        <f t="shared" si="17"/>
        <v>6</v>
      </c>
      <c r="D429" s="2" t="s">
        <v>26</v>
      </c>
      <c r="E429" s="6">
        <v>1514</v>
      </c>
      <c r="F429" s="7"/>
    </row>
    <row r="430" spans="1:6">
      <c r="A430" s="9">
        <v>45098</v>
      </c>
      <c r="B430" s="1">
        <f t="shared" si="16"/>
        <v>2023</v>
      </c>
      <c r="C430" s="1">
        <f t="shared" si="17"/>
        <v>6</v>
      </c>
      <c r="D430" s="2" t="s">
        <v>27</v>
      </c>
      <c r="E430" s="6">
        <v>739</v>
      </c>
      <c r="F430" s="7"/>
    </row>
    <row r="431" spans="1:6">
      <c r="A431" s="9">
        <v>45099</v>
      </c>
      <c r="B431" s="1">
        <f t="shared" si="16"/>
        <v>2023</v>
      </c>
      <c r="C431" s="1">
        <f t="shared" si="17"/>
        <v>6</v>
      </c>
      <c r="D431" s="2" t="s">
        <v>28</v>
      </c>
      <c r="E431" s="6">
        <v>0</v>
      </c>
      <c r="F431" s="7"/>
    </row>
    <row r="432" spans="1:6">
      <c r="A432" s="9">
        <v>45100</v>
      </c>
      <c r="B432" s="1">
        <f t="shared" si="16"/>
        <v>2023</v>
      </c>
      <c r="C432" s="1">
        <f t="shared" si="17"/>
        <v>6</v>
      </c>
      <c r="D432" s="2" t="s">
        <v>29</v>
      </c>
      <c r="E432" s="6">
        <v>70</v>
      </c>
      <c r="F432" s="7"/>
    </row>
    <row r="433" spans="1:6">
      <c r="A433" s="9">
        <v>45101</v>
      </c>
      <c r="B433" s="1">
        <f t="shared" si="16"/>
        <v>2023</v>
      </c>
      <c r="C433" s="1">
        <f t="shared" si="17"/>
        <v>6</v>
      </c>
      <c r="D433" s="2" t="s">
        <v>30</v>
      </c>
      <c r="E433" s="6">
        <v>0</v>
      </c>
      <c r="F433" s="7"/>
    </row>
    <row r="434" spans="1:6">
      <c r="A434" s="9">
        <v>45108</v>
      </c>
      <c r="B434" s="1">
        <f t="shared" si="16"/>
        <v>2023</v>
      </c>
      <c r="C434" s="1">
        <f t="shared" si="17"/>
        <v>7</v>
      </c>
      <c r="D434" s="2" t="s">
        <v>7</v>
      </c>
      <c r="E434" s="6">
        <v>117058</v>
      </c>
      <c r="F434" s="7"/>
    </row>
    <row r="435" spans="1:6">
      <c r="A435" s="9">
        <v>45109</v>
      </c>
      <c r="B435" s="1">
        <f t="shared" si="16"/>
        <v>2023</v>
      </c>
      <c r="C435" s="1">
        <f t="shared" si="17"/>
        <v>7</v>
      </c>
      <c r="D435" s="2" t="s">
        <v>8</v>
      </c>
      <c r="E435" s="6">
        <v>107156</v>
      </c>
      <c r="F435" s="7"/>
    </row>
    <row r="436" spans="1:6">
      <c r="A436" s="9">
        <v>45110</v>
      </c>
      <c r="B436" s="1">
        <f t="shared" si="16"/>
        <v>2023</v>
      </c>
      <c r="C436" s="1">
        <f t="shared" si="17"/>
        <v>7</v>
      </c>
      <c r="D436" s="2" t="s">
        <v>9</v>
      </c>
      <c r="E436" s="6">
        <v>101090</v>
      </c>
      <c r="F436" s="7"/>
    </row>
    <row r="437" spans="1:6">
      <c r="A437" s="9">
        <v>45111</v>
      </c>
      <c r="B437" s="1">
        <f t="shared" si="16"/>
        <v>2023</v>
      </c>
      <c r="C437" s="1">
        <f t="shared" si="17"/>
        <v>7</v>
      </c>
      <c r="D437" s="2" t="s">
        <v>10</v>
      </c>
      <c r="E437" s="6">
        <v>78507</v>
      </c>
      <c r="F437" s="7"/>
    </row>
    <row r="438" spans="1:6">
      <c r="A438" s="9">
        <v>45112</v>
      </c>
      <c r="B438" s="1">
        <f t="shared" si="16"/>
        <v>2023</v>
      </c>
      <c r="C438" s="1">
        <f t="shared" si="17"/>
        <v>7</v>
      </c>
      <c r="D438" s="2" t="s">
        <v>11</v>
      </c>
      <c r="E438" s="6">
        <v>75628</v>
      </c>
      <c r="F438" s="7"/>
    </row>
    <row r="439" spans="1:6">
      <c r="A439" s="9">
        <v>45113</v>
      </c>
      <c r="B439" s="1">
        <f t="shared" si="16"/>
        <v>2023</v>
      </c>
      <c r="C439" s="1">
        <f t="shared" si="17"/>
        <v>7</v>
      </c>
      <c r="D439" s="2" t="s">
        <v>12</v>
      </c>
      <c r="E439" s="6">
        <v>51850</v>
      </c>
      <c r="F439" s="7"/>
    </row>
    <row r="440" spans="1:6">
      <c r="A440" s="9">
        <v>45114</v>
      </c>
      <c r="B440" s="1">
        <f t="shared" si="16"/>
        <v>2023</v>
      </c>
      <c r="C440" s="1">
        <f t="shared" si="17"/>
        <v>7</v>
      </c>
      <c r="D440" s="2" t="s">
        <v>13</v>
      </c>
      <c r="E440" s="6">
        <v>49641</v>
      </c>
      <c r="F440" s="7"/>
    </row>
    <row r="441" spans="1:6">
      <c r="A441" s="9">
        <v>45115</v>
      </c>
      <c r="B441" s="1">
        <f t="shared" si="16"/>
        <v>2023</v>
      </c>
      <c r="C441" s="1">
        <f t="shared" si="17"/>
        <v>7</v>
      </c>
      <c r="D441" s="2" t="s">
        <v>14</v>
      </c>
      <c r="E441" s="6">
        <v>37389</v>
      </c>
      <c r="F441" s="7"/>
    </row>
    <row r="442" spans="1:6">
      <c r="A442" s="9">
        <v>45116</v>
      </c>
      <c r="B442" s="1">
        <f t="shared" si="16"/>
        <v>2023</v>
      </c>
      <c r="C442" s="1">
        <f t="shared" si="17"/>
        <v>7</v>
      </c>
      <c r="D442" s="2" t="s">
        <v>15</v>
      </c>
      <c r="E442" s="6">
        <v>24196</v>
      </c>
      <c r="F442" s="7"/>
    </row>
    <row r="443" spans="1:6">
      <c r="A443" s="9">
        <v>45117</v>
      </c>
      <c r="B443" s="1">
        <f t="shared" si="16"/>
        <v>2023</v>
      </c>
      <c r="C443" s="1">
        <f t="shared" si="17"/>
        <v>7</v>
      </c>
      <c r="D443" s="2" t="s">
        <v>16</v>
      </c>
      <c r="E443" s="6">
        <v>21320</v>
      </c>
      <c r="F443" s="7"/>
    </row>
    <row r="444" spans="1:6">
      <c r="A444" s="9">
        <v>45118</v>
      </c>
      <c r="B444" s="1">
        <f t="shared" si="16"/>
        <v>2023</v>
      </c>
      <c r="C444" s="1">
        <f t="shared" si="17"/>
        <v>7</v>
      </c>
      <c r="D444" s="2" t="s">
        <v>17</v>
      </c>
      <c r="E444" s="6">
        <v>22115</v>
      </c>
      <c r="F444" s="7"/>
    </row>
    <row r="445" spans="1:6">
      <c r="A445" s="9">
        <v>45119</v>
      </c>
      <c r="B445" s="1">
        <f t="shared" si="16"/>
        <v>2023</v>
      </c>
      <c r="C445" s="1">
        <f t="shared" si="17"/>
        <v>7</v>
      </c>
      <c r="D445" s="2" t="s">
        <v>18</v>
      </c>
      <c r="E445" s="6">
        <v>16816</v>
      </c>
      <c r="F445" s="7"/>
    </row>
    <row r="446" spans="1:6">
      <c r="A446" s="9">
        <v>45120</v>
      </c>
      <c r="B446" s="1">
        <f t="shared" si="16"/>
        <v>2023</v>
      </c>
      <c r="C446" s="1">
        <f t="shared" si="17"/>
        <v>7</v>
      </c>
      <c r="D446" s="2" t="s">
        <v>19</v>
      </c>
      <c r="E446" s="6">
        <v>17602</v>
      </c>
      <c r="F446" s="7"/>
    </row>
    <row r="447" spans="1:6">
      <c r="A447" s="9">
        <v>45121</v>
      </c>
      <c r="B447" s="1">
        <f t="shared" si="16"/>
        <v>2023</v>
      </c>
      <c r="C447" s="1">
        <f t="shared" si="17"/>
        <v>7</v>
      </c>
      <c r="D447" s="2" t="s">
        <v>20</v>
      </c>
      <c r="E447" s="6">
        <v>12074</v>
      </c>
      <c r="F447" s="7"/>
    </row>
    <row r="448" spans="1:6">
      <c r="A448" s="9">
        <v>45122</v>
      </c>
      <c r="B448" s="1">
        <f t="shared" si="16"/>
        <v>2023</v>
      </c>
      <c r="C448" s="1">
        <f t="shared" si="17"/>
        <v>7</v>
      </c>
      <c r="D448" s="2" t="s">
        <v>21</v>
      </c>
      <c r="E448" s="6">
        <v>13722</v>
      </c>
      <c r="F448" s="7"/>
    </row>
    <row r="449" spans="1:6">
      <c r="A449" s="9">
        <v>45123</v>
      </c>
      <c r="B449" s="1">
        <f t="shared" si="16"/>
        <v>2023</v>
      </c>
      <c r="C449" s="1">
        <f t="shared" si="17"/>
        <v>7</v>
      </c>
      <c r="D449" s="2" t="s">
        <v>22</v>
      </c>
      <c r="E449" s="6">
        <v>8665</v>
      </c>
      <c r="F449" s="7"/>
    </row>
    <row r="450" spans="1:6">
      <c r="A450" s="9">
        <v>45124</v>
      </c>
      <c r="B450" s="1">
        <f t="shared" si="16"/>
        <v>2023</v>
      </c>
      <c r="C450" s="1">
        <f t="shared" si="17"/>
        <v>7</v>
      </c>
      <c r="D450" s="2" t="s">
        <v>23</v>
      </c>
      <c r="E450" s="6">
        <v>7810</v>
      </c>
      <c r="F450" s="7"/>
    </row>
    <row r="451" spans="1:6">
      <c r="A451" s="9">
        <v>45125</v>
      </c>
      <c r="B451" s="1">
        <f t="shared" si="16"/>
        <v>2023</v>
      </c>
      <c r="C451" s="1">
        <f t="shared" si="17"/>
        <v>7</v>
      </c>
      <c r="D451" s="2" t="s">
        <v>24</v>
      </c>
      <c r="E451" s="6">
        <v>5338</v>
      </c>
      <c r="F451" s="7"/>
    </row>
    <row r="452" spans="1:6">
      <c r="A452" s="9">
        <v>45126</v>
      </c>
      <c r="B452" s="1">
        <f t="shared" si="16"/>
        <v>2023</v>
      </c>
      <c r="C452" s="1">
        <f t="shared" si="17"/>
        <v>7</v>
      </c>
      <c r="D452" s="2" t="s">
        <v>25</v>
      </c>
      <c r="E452" s="6">
        <v>4044</v>
      </c>
      <c r="F452" s="7"/>
    </row>
    <row r="453" spans="1:6">
      <c r="A453" s="9">
        <v>45127</v>
      </c>
      <c r="B453" s="1">
        <f t="shared" si="16"/>
        <v>2023</v>
      </c>
      <c r="C453" s="1">
        <f t="shared" si="17"/>
        <v>7</v>
      </c>
      <c r="D453" s="2" t="s">
        <v>26</v>
      </c>
      <c r="E453" s="6">
        <v>1948</v>
      </c>
      <c r="F453" s="7"/>
    </row>
    <row r="454" spans="1:6">
      <c r="A454" s="9">
        <v>45128</v>
      </c>
      <c r="B454" s="1">
        <f t="shared" si="16"/>
        <v>2023</v>
      </c>
      <c r="C454" s="1">
        <f t="shared" si="17"/>
        <v>7</v>
      </c>
      <c r="D454" s="2" t="s">
        <v>27</v>
      </c>
      <c r="E454" s="6">
        <v>1376</v>
      </c>
      <c r="F454" s="7"/>
    </row>
    <row r="455" spans="1:6">
      <c r="A455" s="9">
        <v>45129</v>
      </c>
      <c r="B455" s="1">
        <f t="shared" si="16"/>
        <v>2023</v>
      </c>
      <c r="C455" s="1">
        <f t="shared" si="17"/>
        <v>7</v>
      </c>
      <c r="D455" s="2" t="s">
        <v>28</v>
      </c>
      <c r="E455" s="6">
        <v>0</v>
      </c>
      <c r="F455" s="7"/>
    </row>
    <row r="456" spans="1:6">
      <c r="A456" s="9">
        <v>45130</v>
      </c>
      <c r="B456" s="1">
        <f t="shared" si="16"/>
        <v>2023</v>
      </c>
      <c r="C456" s="1">
        <f t="shared" si="17"/>
        <v>7</v>
      </c>
      <c r="D456" s="2" t="s">
        <v>29</v>
      </c>
      <c r="E456" s="6">
        <v>70</v>
      </c>
      <c r="F456" s="7"/>
    </row>
    <row r="457" spans="1:6">
      <c r="A457" s="9">
        <v>45131</v>
      </c>
      <c r="B457" s="1">
        <f t="shared" si="16"/>
        <v>2023</v>
      </c>
      <c r="C457" s="1">
        <f t="shared" si="17"/>
        <v>7</v>
      </c>
      <c r="D457" s="2" t="s">
        <v>30</v>
      </c>
      <c r="E457" s="6">
        <v>0</v>
      </c>
      <c r="F457" s="7"/>
    </row>
    <row r="458" spans="1:6">
      <c r="A458" s="9">
        <v>45139</v>
      </c>
      <c r="B458" s="1">
        <f t="shared" si="16"/>
        <v>2023</v>
      </c>
      <c r="C458" s="1">
        <f t="shared" si="17"/>
        <v>8</v>
      </c>
      <c r="D458" s="2" t="s">
        <v>7</v>
      </c>
      <c r="E458" s="6">
        <v>135299</v>
      </c>
      <c r="F458" s="7"/>
    </row>
    <row r="459" spans="1:6">
      <c r="A459" s="9">
        <v>45140</v>
      </c>
      <c r="B459" s="1">
        <f t="shared" si="16"/>
        <v>2023</v>
      </c>
      <c r="C459" s="1">
        <f t="shared" si="17"/>
        <v>8</v>
      </c>
      <c r="D459" s="2" t="s">
        <v>8</v>
      </c>
      <c r="E459" s="6">
        <v>125026</v>
      </c>
      <c r="F459" s="7"/>
    </row>
    <row r="460" spans="1:6">
      <c r="A460" s="9">
        <v>45141</v>
      </c>
      <c r="B460" s="1">
        <f t="shared" si="16"/>
        <v>2023</v>
      </c>
      <c r="C460" s="1">
        <f t="shared" si="17"/>
        <v>8</v>
      </c>
      <c r="D460" s="2" t="s">
        <v>9</v>
      </c>
      <c r="E460" s="6">
        <v>115492</v>
      </c>
      <c r="F460" s="7"/>
    </row>
    <row r="461" spans="1:6">
      <c r="A461" s="9">
        <v>45142</v>
      </c>
      <c r="B461" s="1">
        <f t="shared" si="16"/>
        <v>2023</v>
      </c>
      <c r="C461" s="1">
        <f t="shared" si="17"/>
        <v>8</v>
      </c>
      <c r="D461" s="2" t="s">
        <v>10</v>
      </c>
      <c r="E461" s="6">
        <v>93182</v>
      </c>
      <c r="F461" s="7"/>
    </row>
    <row r="462" spans="1:6">
      <c r="A462" s="9">
        <v>45143</v>
      </c>
      <c r="B462" s="1">
        <f t="shared" si="16"/>
        <v>2023</v>
      </c>
      <c r="C462" s="1">
        <f t="shared" si="17"/>
        <v>8</v>
      </c>
      <c r="D462" s="2" t="s">
        <v>11</v>
      </c>
      <c r="E462" s="6">
        <v>86796</v>
      </c>
      <c r="F462" s="7"/>
    </row>
    <row r="463" spans="1:6">
      <c r="A463" s="9">
        <v>45144</v>
      </c>
      <c r="B463" s="1">
        <f t="shared" si="16"/>
        <v>2023</v>
      </c>
      <c r="C463" s="1">
        <f t="shared" si="17"/>
        <v>8</v>
      </c>
      <c r="D463" s="2" t="s">
        <v>12</v>
      </c>
      <c r="E463" s="6">
        <v>59294</v>
      </c>
      <c r="F463" s="7"/>
    </row>
    <row r="464" spans="1:6">
      <c r="A464" s="9">
        <v>45145</v>
      </c>
      <c r="B464" s="1">
        <f t="shared" si="16"/>
        <v>2023</v>
      </c>
      <c r="C464" s="1">
        <f t="shared" si="17"/>
        <v>8</v>
      </c>
      <c r="D464" s="2" t="s">
        <v>13</v>
      </c>
      <c r="E464" s="6">
        <v>54764</v>
      </c>
      <c r="F464" s="7"/>
    </row>
    <row r="465" spans="1:6">
      <c r="A465" s="9">
        <v>45146</v>
      </c>
      <c r="B465" s="1">
        <f t="shared" si="16"/>
        <v>2023</v>
      </c>
      <c r="C465" s="1">
        <f t="shared" si="17"/>
        <v>8</v>
      </c>
      <c r="D465" s="2" t="s">
        <v>14</v>
      </c>
      <c r="E465" s="6">
        <v>42734</v>
      </c>
      <c r="F465" s="7"/>
    </row>
    <row r="466" spans="1:6">
      <c r="A466" s="9">
        <v>45147</v>
      </c>
      <c r="B466" s="1">
        <f t="shared" si="16"/>
        <v>2023</v>
      </c>
      <c r="C466" s="1">
        <f t="shared" si="17"/>
        <v>8</v>
      </c>
      <c r="D466" s="2" t="s">
        <v>15</v>
      </c>
      <c r="E466" s="6">
        <v>27313</v>
      </c>
      <c r="F466" s="7"/>
    </row>
    <row r="467" spans="1:6">
      <c r="A467" s="9">
        <v>45148</v>
      </c>
      <c r="B467" s="1">
        <f t="shared" si="16"/>
        <v>2023</v>
      </c>
      <c r="C467" s="1">
        <f t="shared" si="17"/>
        <v>8</v>
      </c>
      <c r="D467" s="2" t="s">
        <v>16</v>
      </c>
      <c r="E467" s="6">
        <v>24353</v>
      </c>
      <c r="F467" s="7"/>
    </row>
    <row r="468" spans="1:6">
      <c r="A468" s="9">
        <v>45149</v>
      </c>
      <c r="B468" s="1">
        <f t="shared" si="16"/>
        <v>2023</v>
      </c>
      <c r="C468" s="1">
        <f t="shared" si="17"/>
        <v>8</v>
      </c>
      <c r="D468" s="2" t="s">
        <v>17</v>
      </c>
      <c r="E468" s="6">
        <v>25039</v>
      </c>
      <c r="F468" s="7"/>
    </row>
    <row r="469" spans="1:6">
      <c r="A469" s="9">
        <v>45150</v>
      </c>
      <c r="B469" s="1">
        <f t="shared" si="16"/>
        <v>2023</v>
      </c>
      <c r="C469" s="1">
        <f t="shared" si="17"/>
        <v>8</v>
      </c>
      <c r="D469" s="2" t="s">
        <v>18</v>
      </c>
      <c r="E469" s="6">
        <v>19923</v>
      </c>
      <c r="F469" s="7"/>
    </row>
    <row r="470" spans="1:6">
      <c r="A470" s="9">
        <v>45151</v>
      </c>
      <c r="B470" s="1">
        <f t="shared" si="16"/>
        <v>2023</v>
      </c>
      <c r="C470" s="1">
        <f t="shared" si="17"/>
        <v>8</v>
      </c>
      <c r="D470" s="2" t="s">
        <v>19</v>
      </c>
      <c r="E470" s="6">
        <v>20242</v>
      </c>
      <c r="F470" s="7"/>
    </row>
    <row r="471" spans="1:6">
      <c r="A471" s="9">
        <v>45152</v>
      </c>
      <c r="B471" s="1">
        <f t="shared" si="16"/>
        <v>2023</v>
      </c>
      <c r="C471" s="1">
        <f t="shared" si="17"/>
        <v>8</v>
      </c>
      <c r="D471" s="2" t="s">
        <v>20</v>
      </c>
      <c r="E471" s="6">
        <v>14132</v>
      </c>
      <c r="F471" s="7"/>
    </row>
    <row r="472" spans="1:6">
      <c r="A472" s="9">
        <v>45153</v>
      </c>
      <c r="B472" s="1">
        <f t="shared" si="16"/>
        <v>2023</v>
      </c>
      <c r="C472" s="1">
        <f t="shared" si="17"/>
        <v>8</v>
      </c>
      <c r="D472" s="2" t="s">
        <v>21</v>
      </c>
      <c r="E472" s="6">
        <v>14603</v>
      </c>
      <c r="F472" s="7"/>
    </row>
    <row r="473" spans="1:6">
      <c r="A473" s="9">
        <v>45154</v>
      </c>
      <c r="B473" s="1">
        <f t="shared" si="16"/>
        <v>2023</v>
      </c>
      <c r="C473" s="1">
        <f t="shared" si="17"/>
        <v>8</v>
      </c>
      <c r="D473" s="2" t="s">
        <v>22</v>
      </c>
      <c r="E473" s="6">
        <v>10268</v>
      </c>
      <c r="F473" s="7"/>
    </row>
    <row r="474" spans="1:6">
      <c r="A474" s="9">
        <v>45155</v>
      </c>
      <c r="B474" s="1">
        <f t="shared" si="16"/>
        <v>2023</v>
      </c>
      <c r="C474" s="1">
        <f t="shared" si="17"/>
        <v>8</v>
      </c>
      <c r="D474" s="2" t="s">
        <v>23</v>
      </c>
      <c r="E474" s="6">
        <v>8975</v>
      </c>
      <c r="F474" s="7"/>
    </row>
    <row r="475" spans="1:6">
      <c r="A475" s="9">
        <v>45156</v>
      </c>
      <c r="B475" s="1">
        <f t="shared" si="16"/>
        <v>2023</v>
      </c>
      <c r="C475" s="1">
        <f t="shared" si="17"/>
        <v>8</v>
      </c>
      <c r="D475" s="2" t="s">
        <v>24</v>
      </c>
      <c r="E475" s="6">
        <v>6269</v>
      </c>
      <c r="F475" s="7"/>
    </row>
    <row r="476" spans="1:6">
      <c r="A476" s="9">
        <v>45157</v>
      </c>
      <c r="B476" s="1">
        <f t="shared" si="16"/>
        <v>2023</v>
      </c>
      <c r="C476" s="1">
        <f t="shared" si="17"/>
        <v>8</v>
      </c>
      <c r="D476" s="2" t="s">
        <v>25</v>
      </c>
      <c r="E476" s="6">
        <v>4773</v>
      </c>
      <c r="F476" s="7"/>
    </row>
    <row r="477" spans="1:6">
      <c r="A477" s="9">
        <v>45158</v>
      </c>
      <c r="B477" s="1">
        <f t="shared" si="16"/>
        <v>2023</v>
      </c>
      <c r="C477" s="1">
        <f t="shared" si="17"/>
        <v>8</v>
      </c>
      <c r="D477" s="2" t="s">
        <v>26</v>
      </c>
      <c r="E477" s="6">
        <v>2519</v>
      </c>
      <c r="F477" s="7"/>
    </row>
    <row r="478" spans="1:6">
      <c r="A478" s="9">
        <v>45159</v>
      </c>
      <c r="B478" s="1">
        <f t="shared" si="16"/>
        <v>2023</v>
      </c>
      <c r="C478" s="1">
        <f t="shared" si="17"/>
        <v>8</v>
      </c>
      <c r="D478" s="2" t="s">
        <v>27</v>
      </c>
      <c r="E478" s="6">
        <v>1686</v>
      </c>
      <c r="F478" s="7"/>
    </row>
    <row r="479" spans="1:6">
      <c r="A479" s="9">
        <v>45160</v>
      </c>
      <c r="B479" s="1">
        <f t="shared" si="16"/>
        <v>2023</v>
      </c>
      <c r="C479" s="1">
        <f t="shared" si="17"/>
        <v>8</v>
      </c>
      <c r="D479" s="2" t="s">
        <v>28</v>
      </c>
      <c r="E479" s="6">
        <v>587</v>
      </c>
      <c r="F479" s="7"/>
    </row>
    <row r="480" spans="1:6">
      <c r="A480" s="9">
        <v>45161</v>
      </c>
      <c r="B480" s="1">
        <f t="shared" si="16"/>
        <v>2023</v>
      </c>
      <c r="C480" s="1">
        <f t="shared" si="17"/>
        <v>8</v>
      </c>
      <c r="D480" s="2" t="s">
        <v>29</v>
      </c>
      <c r="E480" s="6">
        <v>70</v>
      </c>
      <c r="F480" s="7"/>
    </row>
    <row r="481" spans="1:6">
      <c r="A481" s="9">
        <v>45162</v>
      </c>
      <c r="B481" s="1">
        <f t="shared" si="16"/>
        <v>2023</v>
      </c>
      <c r="C481" s="1">
        <f t="shared" si="17"/>
        <v>8</v>
      </c>
      <c r="D481" s="2" t="s">
        <v>30</v>
      </c>
      <c r="E481" s="6">
        <v>0</v>
      </c>
      <c r="F481" s="7"/>
    </row>
    <row r="482" spans="1:6">
      <c r="A482" s="9">
        <v>45170</v>
      </c>
      <c r="B482" s="1">
        <f t="shared" si="16"/>
        <v>2023</v>
      </c>
      <c r="C482" s="1">
        <f t="shared" si="17"/>
        <v>9</v>
      </c>
      <c r="D482" s="2" t="s">
        <v>7</v>
      </c>
      <c r="E482" s="6">
        <v>151946</v>
      </c>
      <c r="F482" s="7"/>
    </row>
    <row r="483" spans="1:6">
      <c r="A483" s="9">
        <v>45171</v>
      </c>
      <c r="B483" s="1">
        <f t="shared" si="16"/>
        <v>2023</v>
      </c>
      <c r="C483" s="1">
        <f t="shared" si="17"/>
        <v>9</v>
      </c>
      <c r="D483" s="2" t="s">
        <v>8</v>
      </c>
      <c r="E483" s="6">
        <v>141048</v>
      </c>
      <c r="F483" s="7"/>
    </row>
    <row r="484" spans="1:6">
      <c r="A484" s="9">
        <v>45172</v>
      </c>
      <c r="B484" s="1">
        <f t="shared" si="16"/>
        <v>2023</v>
      </c>
      <c r="C484" s="1">
        <f t="shared" si="17"/>
        <v>9</v>
      </c>
      <c r="D484" s="2" t="s">
        <v>9</v>
      </c>
      <c r="E484" s="6">
        <v>133112</v>
      </c>
      <c r="F484" s="7"/>
    </row>
    <row r="485" spans="1:6">
      <c r="A485" s="9">
        <v>45173</v>
      </c>
      <c r="B485" s="1">
        <f t="shared" si="16"/>
        <v>2023</v>
      </c>
      <c r="C485" s="1">
        <f t="shared" si="17"/>
        <v>9</v>
      </c>
      <c r="D485" s="2" t="s">
        <v>10</v>
      </c>
      <c r="E485" s="6">
        <v>110632</v>
      </c>
      <c r="F485" s="7"/>
    </row>
    <row r="486" spans="1:6">
      <c r="A486" s="9">
        <v>45174</v>
      </c>
      <c r="B486" s="1">
        <f t="shared" si="16"/>
        <v>2023</v>
      </c>
      <c r="C486" s="1">
        <f t="shared" si="17"/>
        <v>9</v>
      </c>
      <c r="D486" s="2" t="s">
        <v>11</v>
      </c>
      <c r="E486" s="6">
        <v>99061</v>
      </c>
      <c r="F486" s="7"/>
    </row>
    <row r="487" spans="1:6">
      <c r="A487" s="9">
        <v>45175</v>
      </c>
      <c r="B487" s="1">
        <f t="shared" si="16"/>
        <v>2023</v>
      </c>
      <c r="C487" s="1">
        <f t="shared" si="17"/>
        <v>9</v>
      </c>
      <c r="D487" s="2" t="s">
        <v>12</v>
      </c>
      <c r="E487" s="6">
        <v>66534</v>
      </c>
      <c r="F487" s="7"/>
    </row>
    <row r="488" spans="1:6">
      <c r="A488" s="9">
        <v>45176</v>
      </c>
      <c r="B488" s="1">
        <f t="shared" si="16"/>
        <v>2023</v>
      </c>
      <c r="C488" s="1">
        <f t="shared" si="17"/>
        <v>9</v>
      </c>
      <c r="D488" s="2" t="s">
        <v>13</v>
      </c>
      <c r="E488" s="6">
        <v>60587</v>
      </c>
      <c r="F488" s="7"/>
    </row>
    <row r="489" spans="1:6">
      <c r="A489" s="9">
        <v>45177</v>
      </c>
      <c r="B489" s="1">
        <f t="shared" si="16"/>
        <v>2023</v>
      </c>
      <c r="C489" s="1">
        <f t="shared" si="17"/>
        <v>9</v>
      </c>
      <c r="D489" s="2" t="s">
        <v>14</v>
      </c>
      <c r="E489" s="6">
        <v>47156</v>
      </c>
      <c r="F489" s="7"/>
    </row>
    <row r="490" spans="1:6">
      <c r="A490" s="9">
        <v>45178</v>
      </c>
      <c r="B490" s="1">
        <f t="shared" si="16"/>
        <v>2023</v>
      </c>
      <c r="C490" s="1">
        <f t="shared" si="17"/>
        <v>9</v>
      </c>
      <c r="D490" s="2" t="s">
        <v>15</v>
      </c>
      <c r="E490" s="6">
        <v>30613</v>
      </c>
      <c r="F490" s="7"/>
    </row>
    <row r="491" spans="1:6">
      <c r="A491" s="9">
        <v>45179</v>
      </c>
      <c r="B491" s="1">
        <f t="shared" si="16"/>
        <v>2023</v>
      </c>
      <c r="C491" s="1">
        <f t="shared" si="17"/>
        <v>9</v>
      </c>
      <c r="D491" s="2" t="s">
        <v>16</v>
      </c>
      <c r="E491" s="6">
        <v>28043</v>
      </c>
      <c r="F491" s="7"/>
    </row>
    <row r="492" spans="1:6">
      <c r="A492" s="9">
        <v>45180</v>
      </c>
      <c r="B492" s="1">
        <f t="shared" si="16"/>
        <v>2023</v>
      </c>
      <c r="C492" s="1">
        <f t="shared" si="17"/>
        <v>9</v>
      </c>
      <c r="D492" s="2" t="s">
        <v>17</v>
      </c>
      <c r="E492" s="6">
        <v>28768</v>
      </c>
      <c r="F492" s="7"/>
    </row>
    <row r="493" spans="1:6">
      <c r="A493" s="9">
        <v>45181</v>
      </c>
      <c r="B493" s="1">
        <f t="shared" si="16"/>
        <v>2023</v>
      </c>
      <c r="C493" s="1">
        <f t="shared" si="17"/>
        <v>9</v>
      </c>
      <c r="D493" s="2" t="s">
        <v>18</v>
      </c>
      <c r="E493" s="6">
        <v>22568</v>
      </c>
      <c r="F493" s="7"/>
    </row>
    <row r="494" spans="1:6">
      <c r="A494" s="9">
        <v>45182</v>
      </c>
      <c r="B494" s="1">
        <f t="shared" si="16"/>
        <v>2023</v>
      </c>
      <c r="C494" s="1">
        <f t="shared" si="17"/>
        <v>9</v>
      </c>
      <c r="D494" s="2" t="s">
        <v>19</v>
      </c>
      <c r="E494" s="6">
        <v>22025</v>
      </c>
      <c r="F494" s="7"/>
    </row>
    <row r="495" spans="1:6">
      <c r="A495" s="9">
        <v>45183</v>
      </c>
      <c r="B495" s="1">
        <f t="shared" si="16"/>
        <v>2023</v>
      </c>
      <c r="C495" s="1">
        <f t="shared" si="17"/>
        <v>9</v>
      </c>
      <c r="D495" s="2" t="s">
        <v>20</v>
      </c>
      <c r="E495" s="6">
        <v>15929</v>
      </c>
      <c r="F495" s="7"/>
    </row>
    <row r="496" spans="1:6">
      <c r="A496" s="9">
        <v>45184</v>
      </c>
      <c r="B496" s="1">
        <f t="shared" si="16"/>
        <v>2023</v>
      </c>
      <c r="C496" s="1">
        <f t="shared" si="17"/>
        <v>9</v>
      </c>
      <c r="D496" s="2" t="s">
        <v>21</v>
      </c>
      <c r="E496" s="6">
        <v>15191</v>
      </c>
      <c r="F496" s="7"/>
    </row>
    <row r="497" spans="1:6">
      <c r="A497" s="9">
        <v>45185</v>
      </c>
      <c r="B497" s="1">
        <f t="shared" si="16"/>
        <v>2023</v>
      </c>
      <c r="C497" s="1">
        <f t="shared" si="17"/>
        <v>9</v>
      </c>
      <c r="D497" s="2" t="s">
        <v>22</v>
      </c>
      <c r="E497" s="6">
        <v>11618</v>
      </c>
      <c r="F497" s="7"/>
    </row>
    <row r="498" spans="1:6">
      <c r="A498" s="9">
        <v>45186</v>
      </c>
      <c r="B498" s="1">
        <f t="shared" si="16"/>
        <v>2023</v>
      </c>
      <c r="C498" s="1">
        <f t="shared" si="17"/>
        <v>9</v>
      </c>
      <c r="D498" s="2" t="s">
        <v>23</v>
      </c>
      <c r="E498" s="6">
        <v>10574</v>
      </c>
      <c r="F498" s="7"/>
    </row>
    <row r="499" spans="1:6">
      <c r="A499" s="9">
        <v>45187</v>
      </c>
      <c r="B499" s="1">
        <f t="shared" si="16"/>
        <v>2023</v>
      </c>
      <c r="C499" s="1">
        <f t="shared" si="17"/>
        <v>9</v>
      </c>
      <c r="D499" s="2" t="s">
        <v>24</v>
      </c>
      <c r="E499" s="6">
        <v>7176</v>
      </c>
      <c r="F499" s="7"/>
    </row>
    <row r="500" spans="1:6">
      <c r="A500" s="9">
        <v>45188</v>
      </c>
      <c r="B500" s="1">
        <f t="shared" si="16"/>
        <v>2023</v>
      </c>
      <c r="C500" s="1">
        <f t="shared" si="17"/>
        <v>9</v>
      </c>
      <c r="D500" s="2" t="s">
        <v>25</v>
      </c>
      <c r="E500" s="6">
        <v>5402</v>
      </c>
      <c r="F500" s="7"/>
    </row>
    <row r="501" spans="1:6">
      <c r="A501" s="9">
        <v>45189</v>
      </c>
      <c r="B501" s="1">
        <f t="shared" si="16"/>
        <v>2023</v>
      </c>
      <c r="C501" s="1">
        <f t="shared" si="17"/>
        <v>9</v>
      </c>
      <c r="D501" s="2" t="s">
        <v>26</v>
      </c>
      <c r="E501" s="6">
        <v>3080</v>
      </c>
      <c r="F501" s="7"/>
    </row>
    <row r="502" spans="1:6">
      <c r="A502" s="9">
        <v>45190</v>
      </c>
      <c r="B502" s="1">
        <f t="shared" si="16"/>
        <v>2023</v>
      </c>
      <c r="C502" s="1">
        <f t="shared" si="17"/>
        <v>9</v>
      </c>
      <c r="D502" s="2" t="s">
        <v>27</v>
      </c>
      <c r="E502" s="6">
        <v>1920</v>
      </c>
      <c r="F502" s="7"/>
    </row>
    <row r="503" spans="1:6">
      <c r="A503" s="9">
        <v>45191</v>
      </c>
      <c r="B503" s="1">
        <f t="shared" si="16"/>
        <v>2023</v>
      </c>
      <c r="C503" s="1">
        <f t="shared" si="17"/>
        <v>9</v>
      </c>
      <c r="D503" s="2" t="s">
        <v>28</v>
      </c>
      <c r="E503" s="6">
        <v>922</v>
      </c>
      <c r="F503" s="7"/>
    </row>
    <row r="504" spans="1:6">
      <c r="A504" s="9">
        <v>45192</v>
      </c>
      <c r="B504" s="1">
        <f t="shared" si="16"/>
        <v>2023</v>
      </c>
      <c r="C504" s="1">
        <f t="shared" si="17"/>
        <v>9</v>
      </c>
      <c r="D504" s="2" t="s">
        <v>29</v>
      </c>
      <c r="E504" s="6">
        <v>70</v>
      </c>
      <c r="F504" s="7"/>
    </row>
    <row r="505" spans="1:6">
      <c r="A505" s="9">
        <v>45193</v>
      </c>
      <c r="B505" s="1">
        <f t="shared" si="16"/>
        <v>2023</v>
      </c>
      <c r="C505" s="1">
        <f t="shared" si="17"/>
        <v>9</v>
      </c>
      <c r="D505" s="2" t="s">
        <v>30</v>
      </c>
      <c r="E505" s="6">
        <v>0</v>
      </c>
      <c r="F505" s="7"/>
    </row>
    <row r="506" spans="1:6">
      <c r="A506" s="10">
        <v>45200</v>
      </c>
      <c r="B506" s="1">
        <f t="shared" si="16"/>
        <v>2023</v>
      </c>
      <c r="C506" s="1">
        <f t="shared" si="17"/>
        <v>10</v>
      </c>
      <c r="D506" s="2" t="s">
        <v>7</v>
      </c>
      <c r="E506" s="6">
        <v>168734</v>
      </c>
      <c r="F506" s="7"/>
    </row>
    <row r="507" spans="1:6">
      <c r="A507" s="10">
        <v>45201</v>
      </c>
      <c r="B507" s="1">
        <f t="shared" si="16"/>
        <v>2023</v>
      </c>
      <c r="C507" s="1">
        <f t="shared" si="17"/>
        <v>10</v>
      </c>
      <c r="D507" s="2" t="s">
        <v>8</v>
      </c>
      <c r="E507" s="6">
        <v>158085</v>
      </c>
      <c r="F507" s="7"/>
    </row>
    <row r="508" spans="1:6">
      <c r="A508" s="10">
        <v>45202</v>
      </c>
      <c r="B508" s="1">
        <f t="shared" si="16"/>
        <v>2023</v>
      </c>
      <c r="C508" s="1">
        <f t="shared" si="17"/>
        <v>10</v>
      </c>
      <c r="D508" s="2" t="s">
        <v>9</v>
      </c>
      <c r="E508" s="6">
        <v>154233</v>
      </c>
      <c r="F508" s="7"/>
    </row>
    <row r="509" spans="1:6">
      <c r="A509" s="10">
        <v>45203</v>
      </c>
      <c r="B509" s="1">
        <f t="shared" si="16"/>
        <v>2023</v>
      </c>
      <c r="C509" s="1">
        <f t="shared" si="17"/>
        <v>10</v>
      </c>
      <c r="D509" s="2" t="s">
        <v>10</v>
      </c>
      <c r="E509" s="6">
        <v>123829</v>
      </c>
      <c r="F509" s="7"/>
    </row>
    <row r="510" spans="1:6">
      <c r="A510" s="10">
        <v>45204</v>
      </c>
      <c r="B510" s="1">
        <f t="shared" si="16"/>
        <v>2023</v>
      </c>
      <c r="C510" s="1">
        <f t="shared" si="17"/>
        <v>10</v>
      </c>
      <c r="D510" s="2" t="s">
        <v>11</v>
      </c>
      <c r="E510" s="6">
        <v>112029</v>
      </c>
      <c r="F510" s="7"/>
    </row>
    <row r="511" spans="1:6">
      <c r="A511" s="10">
        <v>45205</v>
      </c>
      <c r="B511" s="1">
        <f t="shared" si="16"/>
        <v>2023</v>
      </c>
      <c r="C511" s="1">
        <f t="shared" si="17"/>
        <v>10</v>
      </c>
      <c r="D511" s="2" t="s">
        <v>12</v>
      </c>
      <c r="E511" s="6">
        <v>74147</v>
      </c>
      <c r="F511" s="7"/>
    </row>
    <row r="512" spans="1:6">
      <c r="A512" s="10">
        <v>45206</v>
      </c>
      <c r="B512" s="1">
        <f t="shared" ref="B512:B649" si="22">YEAR(A512)</f>
        <v>2023</v>
      </c>
      <c r="C512" s="1">
        <f t="shared" ref="C512:C649" si="23">MONTH(A512)</f>
        <v>10</v>
      </c>
      <c r="D512" s="2" t="s">
        <v>13</v>
      </c>
      <c r="E512" s="6">
        <v>68653</v>
      </c>
      <c r="F512" s="7"/>
    </row>
    <row r="513" spans="1:6">
      <c r="A513" s="10">
        <v>45207</v>
      </c>
      <c r="B513" s="1">
        <f t="shared" si="22"/>
        <v>2023</v>
      </c>
      <c r="C513" s="1">
        <f t="shared" si="23"/>
        <v>10</v>
      </c>
      <c r="D513" s="2" t="s">
        <v>14</v>
      </c>
      <c r="E513" s="6">
        <v>52376</v>
      </c>
      <c r="F513" s="7"/>
    </row>
    <row r="514" spans="1:6">
      <c r="A514" s="10">
        <v>45208</v>
      </c>
      <c r="B514" s="1">
        <f t="shared" si="22"/>
        <v>2023</v>
      </c>
      <c r="C514" s="1">
        <f t="shared" si="23"/>
        <v>10</v>
      </c>
      <c r="D514" s="2" t="s">
        <v>15</v>
      </c>
      <c r="E514" s="6">
        <v>34079</v>
      </c>
      <c r="F514" s="7"/>
    </row>
    <row r="515" spans="1:6">
      <c r="A515" s="10">
        <v>45209</v>
      </c>
      <c r="B515" s="1">
        <f t="shared" si="22"/>
        <v>2023</v>
      </c>
      <c r="C515" s="1">
        <f t="shared" si="23"/>
        <v>10</v>
      </c>
      <c r="D515" s="2" t="s">
        <v>16</v>
      </c>
      <c r="E515" s="6">
        <v>32204</v>
      </c>
      <c r="F515" s="7"/>
    </row>
    <row r="516" spans="1:6">
      <c r="A516" s="10">
        <v>45210</v>
      </c>
      <c r="B516" s="1">
        <f t="shared" si="22"/>
        <v>2023</v>
      </c>
      <c r="C516" s="1">
        <f t="shared" si="23"/>
        <v>10</v>
      </c>
      <c r="D516" s="2" t="s">
        <v>17</v>
      </c>
      <c r="E516" s="6">
        <v>32110</v>
      </c>
      <c r="F516" s="7"/>
    </row>
    <row r="517" spans="1:6">
      <c r="A517" s="10">
        <v>45211</v>
      </c>
      <c r="B517" s="1">
        <f t="shared" si="22"/>
        <v>2023</v>
      </c>
      <c r="C517" s="1">
        <f t="shared" si="23"/>
        <v>10</v>
      </c>
      <c r="D517" s="2" t="s">
        <v>18</v>
      </c>
      <c r="E517" s="6">
        <v>25357</v>
      </c>
      <c r="F517" s="7"/>
    </row>
    <row r="518" spans="1:6">
      <c r="A518" s="10">
        <v>45212</v>
      </c>
      <c r="B518" s="1">
        <f t="shared" si="22"/>
        <v>2023</v>
      </c>
      <c r="C518" s="1">
        <f t="shared" si="23"/>
        <v>10</v>
      </c>
      <c r="D518" s="2" t="s">
        <v>19</v>
      </c>
      <c r="E518" s="6">
        <v>24184</v>
      </c>
      <c r="F518" s="7"/>
    </row>
    <row r="519" spans="1:6">
      <c r="A519" s="10">
        <v>45213</v>
      </c>
      <c r="B519" s="1">
        <f t="shared" si="22"/>
        <v>2023</v>
      </c>
      <c r="C519" s="1">
        <f t="shared" si="23"/>
        <v>10</v>
      </c>
      <c r="D519" s="2" t="s">
        <v>20</v>
      </c>
      <c r="E519" s="6">
        <v>18036</v>
      </c>
      <c r="F519" s="7"/>
    </row>
    <row r="520" spans="1:6">
      <c r="A520" s="10">
        <v>45214</v>
      </c>
      <c r="B520" s="1">
        <f t="shared" si="22"/>
        <v>2023</v>
      </c>
      <c r="C520" s="1">
        <f t="shared" si="23"/>
        <v>10</v>
      </c>
      <c r="D520" s="2" t="s">
        <v>21</v>
      </c>
      <c r="E520" s="6">
        <v>16093</v>
      </c>
      <c r="F520" s="7"/>
    </row>
    <row r="521" spans="1:6">
      <c r="A521" s="10">
        <v>45215</v>
      </c>
      <c r="B521" s="1">
        <f t="shared" si="22"/>
        <v>2023</v>
      </c>
      <c r="C521" s="1">
        <f t="shared" si="23"/>
        <v>10</v>
      </c>
      <c r="D521" s="2" t="s">
        <v>22</v>
      </c>
      <c r="E521" s="6">
        <v>13299</v>
      </c>
      <c r="F521" s="7"/>
    </row>
    <row r="522" spans="1:6">
      <c r="A522" s="10">
        <v>45216</v>
      </c>
      <c r="B522" s="1">
        <f t="shared" si="22"/>
        <v>2023</v>
      </c>
      <c r="C522" s="1">
        <f t="shared" si="23"/>
        <v>10</v>
      </c>
      <c r="D522" s="2" t="s">
        <v>23</v>
      </c>
      <c r="E522" s="6">
        <v>11771</v>
      </c>
      <c r="F522" s="7"/>
    </row>
    <row r="523" spans="1:6">
      <c r="A523" s="10">
        <v>45217</v>
      </c>
      <c r="B523" s="1">
        <f t="shared" si="22"/>
        <v>2023</v>
      </c>
      <c r="C523" s="1">
        <f t="shared" si="23"/>
        <v>10</v>
      </c>
      <c r="D523" s="2" t="s">
        <v>24</v>
      </c>
      <c r="E523" s="6">
        <v>7910</v>
      </c>
      <c r="F523" s="7"/>
    </row>
    <row r="524" spans="1:6">
      <c r="A524" s="10">
        <v>45218</v>
      </c>
      <c r="B524" s="1">
        <f t="shared" si="22"/>
        <v>2023</v>
      </c>
      <c r="C524" s="1">
        <f t="shared" si="23"/>
        <v>10</v>
      </c>
      <c r="D524" s="2" t="s">
        <v>25</v>
      </c>
      <c r="E524" s="6">
        <v>6106</v>
      </c>
      <c r="F524" s="7"/>
    </row>
    <row r="525" spans="1:6">
      <c r="A525" s="10">
        <v>45219</v>
      </c>
      <c r="B525" s="1">
        <f t="shared" si="22"/>
        <v>2023</v>
      </c>
      <c r="C525" s="1">
        <f t="shared" si="23"/>
        <v>10</v>
      </c>
      <c r="D525" s="2" t="s">
        <v>26</v>
      </c>
      <c r="E525" s="6">
        <v>3809</v>
      </c>
      <c r="F525" s="7"/>
    </row>
    <row r="526" spans="1:6">
      <c r="A526" s="10">
        <v>45220</v>
      </c>
      <c r="B526" s="1">
        <f t="shared" si="22"/>
        <v>2023</v>
      </c>
      <c r="C526" s="1">
        <f t="shared" si="23"/>
        <v>10</v>
      </c>
      <c r="D526" s="2" t="s">
        <v>27</v>
      </c>
      <c r="E526" s="6">
        <v>2140</v>
      </c>
      <c r="F526" s="7"/>
    </row>
    <row r="527" spans="1:6">
      <c r="A527" s="10">
        <v>45221</v>
      </c>
      <c r="B527" s="1">
        <f t="shared" si="22"/>
        <v>2023</v>
      </c>
      <c r="C527" s="1">
        <f t="shared" si="23"/>
        <v>10</v>
      </c>
      <c r="D527" s="2" t="s">
        <v>28</v>
      </c>
      <c r="E527" s="6">
        <v>1000</v>
      </c>
      <c r="F527" s="7"/>
    </row>
    <row r="528" spans="1:6">
      <c r="A528" s="10">
        <v>45222</v>
      </c>
      <c r="B528" s="1">
        <f t="shared" si="22"/>
        <v>2023</v>
      </c>
      <c r="C528" s="1">
        <f t="shared" si="23"/>
        <v>10</v>
      </c>
      <c r="D528" s="2" t="s">
        <v>29</v>
      </c>
      <c r="E528" s="6">
        <v>70</v>
      </c>
      <c r="F528" s="7"/>
    </row>
    <row r="529" spans="1:6">
      <c r="A529" s="10">
        <v>45223</v>
      </c>
      <c r="B529" s="1">
        <f t="shared" si="22"/>
        <v>2023</v>
      </c>
      <c r="C529" s="1">
        <f t="shared" si="23"/>
        <v>10</v>
      </c>
      <c r="D529" s="2" t="s">
        <v>30</v>
      </c>
      <c r="E529" s="6">
        <v>0</v>
      </c>
      <c r="F529" s="7"/>
    </row>
    <row r="530" spans="1:6">
      <c r="A530" s="10">
        <v>45231</v>
      </c>
      <c r="B530" s="1">
        <f t="shared" si="22"/>
        <v>2023</v>
      </c>
      <c r="C530" s="1">
        <f t="shared" si="23"/>
        <v>11</v>
      </c>
      <c r="D530" s="2" t="s">
        <v>7</v>
      </c>
      <c r="E530" s="6">
        <v>183733</v>
      </c>
      <c r="F530" s="7"/>
    </row>
    <row r="531" spans="1:6">
      <c r="A531" s="10">
        <v>45232</v>
      </c>
      <c r="B531" s="1">
        <f t="shared" si="22"/>
        <v>2023</v>
      </c>
      <c r="C531" s="1">
        <f t="shared" si="23"/>
        <v>11</v>
      </c>
      <c r="D531" s="2" t="s">
        <v>8</v>
      </c>
      <c r="E531" s="6">
        <v>177284</v>
      </c>
      <c r="F531" s="7"/>
    </row>
    <row r="532" spans="1:6">
      <c r="A532" s="10">
        <v>45233</v>
      </c>
      <c r="B532" s="1">
        <f t="shared" si="22"/>
        <v>2023</v>
      </c>
      <c r="C532" s="1">
        <f t="shared" si="23"/>
        <v>11</v>
      </c>
      <c r="D532" s="2" t="s">
        <v>9</v>
      </c>
      <c r="E532" s="6">
        <v>168501</v>
      </c>
      <c r="F532" s="7"/>
    </row>
    <row r="533" spans="1:6">
      <c r="A533" s="10">
        <v>45234</v>
      </c>
      <c r="B533" s="1">
        <f t="shared" si="22"/>
        <v>2023</v>
      </c>
      <c r="C533" s="1">
        <f t="shared" si="23"/>
        <v>11</v>
      </c>
      <c r="D533" s="2" t="s">
        <v>10</v>
      </c>
      <c r="E533" s="6">
        <v>134860</v>
      </c>
      <c r="F533" s="7"/>
    </row>
    <row r="534" spans="1:6">
      <c r="A534" s="10">
        <v>45235</v>
      </c>
      <c r="B534" s="1">
        <f t="shared" si="22"/>
        <v>2023</v>
      </c>
      <c r="C534" s="1">
        <f t="shared" si="23"/>
        <v>11</v>
      </c>
      <c r="D534" s="2" t="s">
        <v>11</v>
      </c>
      <c r="E534" s="6">
        <v>125194</v>
      </c>
      <c r="F534" s="7"/>
    </row>
    <row r="535" spans="1:6">
      <c r="A535" s="10">
        <v>45236</v>
      </c>
      <c r="B535" s="1">
        <f t="shared" si="22"/>
        <v>2023</v>
      </c>
      <c r="C535" s="1">
        <f t="shared" si="23"/>
        <v>11</v>
      </c>
      <c r="D535" s="2" t="s">
        <v>12</v>
      </c>
      <c r="E535" s="6">
        <v>81153</v>
      </c>
      <c r="F535" s="7"/>
    </row>
    <row r="536" spans="1:6">
      <c r="A536" s="10">
        <v>45237</v>
      </c>
      <c r="B536" s="1">
        <f t="shared" si="22"/>
        <v>2023</v>
      </c>
      <c r="C536" s="1">
        <f t="shared" si="23"/>
        <v>11</v>
      </c>
      <c r="D536" s="2" t="s">
        <v>13</v>
      </c>
      <c r="E536" s="6">
        <v>75692</v>
      </c>
      <c r="F536" s="7"/>
    </row>
    <row r="537" spans="1:6">
      <c r="A537" s="10">
        <v>45238</v>
      </c>
      <c r="B537" s="1">
        <f t="shared" si="22"/>
        <v>2023</v>
      </c>
      <c r="C537" s="1">
        <f t="shared" si="23"/>
        <v>11</v>
      </c>
      <c r="D537" s="2" t="s">
        <v>14</v>
      </c>
      <c r="E537" s="6">
        <v>57142</v>
      </c>
      <c r="F537" s="7"/>
    </row>
    <row r="538" spans="1:6">
      <c r="A538" s="10">
        <v>45239</v>
      </c>
      <c r="B538" s="1">
        <f t="shared" si="22"/>
        <v>2023</v>
      </c>
      <c r="C538" s="1">
        <f t="shared" si="23"/>
        <v>11</v>
      </c>
      <c r="D538" s="2" t="s">
        <v>15</v>
      </c>
      <c r="E538" s="6">
        <v>37527</v>
      </c>
      <c r="F538" s="7"/>
    </row>
    <row r="539" spans="1:6">
      <c r="A539" s="10">
        <v>45240</v>
      </c>
      <c r="B539" s="1">
        <f t="shared" si="22"/>
        <v>2023</v>
      </c>
      <c r="C539" s="1">
        <f t="shared" si="23"/>
        <v>11</v>
      </c>
      <c r="D539" s="2" t="s">
        <v>16</v>
      </c>
      <c r="E539" s="6">
        <v>35425</v>
      </c>
      <c r="F539" s="7"/>
    </row>
    <row r="540" spans="1:6">
      <c r="A540" s="10">
        <v>45241</v>
      </c>
      <c r="B540" s="1">
        <f t="shared" si="22"/>
        <v>2023</v>
      </c>
      <c r="C540" s="1">
        <f t="shared" si="23"/>
        <v>11</v>
      </c>
      <c r="D540" s="2" t="s">
        <v>17</v>
      </c>
      <c r="E540" s="6">
        <v>35309</v>
      </c>
      <c r="F540" s="7"/>
    </row>
    <row r="541" spans="1:6">
      <c r="A541" s="10">
        <v>45242</v>
      </c>
      <c r="B541" s="1">
        <f t="shared" si="22"/>
        <v>2023</v>
      </c>
      <c r="C541" s="1">
        <f t="shared" si="23"/>
        <v>11</v>
      </c>
      <c r="D541" s="2" t="s">
        <v>18</v>
      </c>
      <c r="E541" s="6">
        <v>27811</v>
      </c>
      <c r="F541" s="7"/>
    </row>
    <row r="542" spans="1:6">
      <c r="A542" s="10">
        <v>45243</v>
      </c>
      <c r="B542" s="1">
        <f t="shared" si="22"/>
        <v>2023</v>
      </c>
      <c r="C542" s="1">
        <f t="shared" si="23"/>
        <v>11</v>
      </c>
      <c r="D542" s="2" t="s">
        <v>19</v>
      </c>
      <c r="E542" s="6">
        <v>25824</v>
      </c>
      <c r="F542" s="7"/>
    </row>
    <row r="543" spans="1:6">
      <c r="A543" s="10">
        <v>45244</v>
      </c>
      <c r="B543" s="1">
        <f t="shared" si="22"/>
        <v>2023</v>
      </c>
      <c r="C543" s="1">
        <f t="shared" si="23"/>
        <v>11</v>
      </c>
      <c r="D543" s="2" t="s">
        <v>20</v>
      </c>
      <c r="E543" s="6">
        <v>19666</v>
      </c>
      <c r="F543" s="7"/>
    </row>
    <row r="544" spans="1:6">
      <c r="A544" s="10">
        <v>45245</v>
      </c>
      <c r="B544" s="1">
        <f t="shared" si="22"/>
        <v>2023</v>
      </c>
      <c r="C544" s="1">
        <f t="shared" si="23"/>
        <v>11</v>
      </c>
      <c r="D544" s="2" t="s">
        <v>21</v>
      </c>
      <c r="E544" s="6">
        <v>17292</v>
      </c>
      <c r="F544" s="7"/>
    </row>
    <row r="545" spans="1:6">
      <c r="A545" s="10">
        <v>45246</v>
      </c>
      <c r="B545" s="1">
        <f t="shared" si="22"/>
        <v>2023</v>
      </c>
      <c r="C545" s="1">
        <f t="shared" si="23"/>
        <v>11</v>
      </c>
      <c r="D545" s="2" t="s">
        <v>22</v>
      </c>
      <c r="E545" s="6">
        <v>14768</v>
      </c>
      <c r="F545" s="7"/>
    </row>
    <row r="546" spans="1:6">
      <c r="A546" s="10">
        <v>45247</v>
      </c>
      <c r="B546" s="1">
        <f t="shared" si="22"/>
        <v>2023</v>
      </c>
      <c r="C546" s="1">
        <f t="shared" si="23"/>
        <v>11</v>
      </c>
      <c r="D546" s="2" t="s">
        <v>23</v>
      </c>
      <c r="E546" s="6">
        <v>13011</v>
      </c>
      <c r="F546" s="7"/>
    </row>
    <row r="547" spans="1:6">
      <c r="A547" s="10">
        <v>45248</v>
      </c>
      <c r="B547" s="1">
        <f t="shared" si="22"/>
        <v>2023</v>
      </c>
      <c r="C547" s="1">
        <f t="shared" si="23"/>
        <v>11</v>
      </c>
      <c r="D547" s="2" t="s">
        <v>24</v>
      </c>
      <c r="E547" s="6">
        <v>8864</v>
      </c>
      <c r="F547" s="7"/>
    </row>
    <row r="548" spans="1:6">
      <c r="A548" s="10">
        <v>45249</v>
      </c>
      <c r="B548" s="1">
        <f t="shared" si="22"/>
        <v>2023</v>
      </c>
      <c r="C548" s="1">
        <f t="shared" si="23"/>
        <v>11</v>
      </c>
      <c r="D548" s="2" t="s">
        <v>25</v>
      </c>
      <c r="E548" s="6">
        <v>6486</v>
      </c>
      <c r="F548" s="7"/>
    </row>
    <row r="549" spans="1:6">
      <c r="A549" s="10">
        <v>45250</v>
      </c>
      <c r="B549" s="1">
        <f t="shared" si="22"/>
        <v>2023</v>
      </c>
      <c r="C549" s="1">
        <f t="shared" si="23"/>
        <v>11</v>
      </c>
      <c r="D549" s="2" t="s">
        <v>26</v>
      </c>
      <c r="E549" s="6">
        <v>4473</v>
      </c>
      <c r="F549" s="7"/>
    </row>
    <row r="550" spans="1:6">
      <c r="A550" s="10">
        <v>45251</v>
      </c>
      <c r="B550" s="1">
        <f t="shared" si="22"/>
        <v>2023</v>
      </c>
      <c r="C550" s="1">
        <f t="shared" si="23"/>
        <v>11</v>
      </c>
      <c r="D550" s="2" t="s">
        <v>27</v>
      </c>
      <c r="E550" s="6">
        <v>2613</v>
      </c>
      <c r="F550" s="7"/>
    </row>
    <row r="551" spans="1:6">
      <c r="A551" s="10">
        <v>45252</v>
      </c>
      <c r="B551" s="1">
        <f t="shared" si="22"/>
        <v>2023</v>
      </c>
      <c r="C551" s="1">
        <f t="shared" si="23"/>
        <v>11</v>
      </c>
      <c r="D551" s="2" t="s">
        <v>28</v>
      </c>
      <c r="E551" s="6">
        <v>1170</v>
      </c>
      <c r="F551" s="7"/>
    </row>
    <row r="552" spans="1:6">
      <c r="A552" s="10">
        <v>45253</v>
      </c>
      <c r="B552" s="1">
        <f t="shared" si="22"/>
        <v>2023</v>
      </c>
      <c r="C552" s="1">
        <f t="shared" si="23"/>
        <v>11</v>
      </c>
      <c r="D552" s="2" t="s">
        <v>29</v>
      </c>
      <c r="E552" s="6">
        <v>70</v>
      </c>
      <c r="F552" s="7"/>
    </row>
    <row r="553" spans="1:6">
      <c r="A553" s="10">
        <v>45254</v>
      </c>
      <c r="B553" s="1">
        <f t="shared" si="22"/>
        <v>2023</v>
      </c>
      <c r="C553" s="1">
        <f t="shared" si="23"/>
        <v>11</v>
      </c>
      <c r="D553" s="2" t="s">
        <v>30</v>
      </c>
      <c r="E553" s="6">
        <v>0</v>
      </c>
      <c r="F553" s="7"/>
    </row>
    <row r="554" spans="1:6">
      <c r="A554" s="10">
        <v>45261</v>
      </c>
      <c r="B554" s="1">
        <f t="shared" si="22"/>
        <v>2023</v>
      </c>
      <c r="C554" s="1">
        <f t="shared" si="23"/>
        <v>12</v>
      </c>
      <c r="D554" s="2" t="s">
        <v>7</v>
      </c>
      <c r="E554" s="6">
        <v>203531</v>
      </c>
      <c r="F554" s="7"/>
    </row>
    <row r="555" spans="1:6">
      <c r="A555" s="10">
        <v>45262</v>
      </c>
      <c r="B555" s="1">
        <f t="shared" si="22"/>
        <v>2023</v>
      </c>
      <c r="C555" s="1">
        <f t="shared" si="23"/>
        <v>12</v>
      </c>
      <c r="D555" s="2" t="s">
        <v>8</v>
      </c>
      <c r="E555" s="6">
        <v>194199</v>
      </c>
      <c r="F555" s="7"/>
    </row>
    <row r="556" spans="1:6">
      <c r="A556" s="10">
        <v>45263</v>
      </c>
      <c r="B556" s="1">
        <f t="shared" si="22"/>
        <v>2023</v>
      </c>
      <c r="C556" s="1">
        <f t="shared" si="23"/>
        <v>12</v>
      </c>
      <c r="D556" s="2" t="s">
        <v>9</v>
      </c>
      <c r="E556" s="6">
        <v>185345</v>
      </c>
      <c r="F556" s="7"/>
    </row>
    <row r="557" spans="1:6">
      <c r="A557" s="10">
        <v>45264</v>
      </c>
      <c r="B557" s="1">
        <f t="shared" si="22"/>
        <v>2023</v>
      </c>
      <c r="C557" s="1">
        <f t="shared" si="23"/>
        <v>12</v>
      </c>
      <c r="D557" s="2" t="s">
        <v>10</v>
      </c>
      <c r="E557" s="6">
        <v>145261</v>
      </c>
      <c r="F557" s="7"/>
    </row>
    <row r="558" spans="1:6">
      <c r="A558" s="10">
        <v>45265</v>
      </c>
      <c r="B558" s="1">
        <f t="shared" si="22"/>
        <v>2023</v>
      </c>
      <c r="C558" s="1">
        <f t="shared" si="23"/>
        <v>12</v>
      </c>
      <c r="D558" s="2" t="s">
        <v>11</v>
      </c>
      <c r="E558" s="6">
        <v>139618</v>
      </c>
      <c r="F558" s="7"/>
    </row>
    <row r="559" spans="1:6">
      <c r="A559" s="10">
        <v>45266</v>
      </c>
      <c r="B559" s="1">
        <f t="shared" si="22"/>
        <v>2023</v>
      </c>
      <c r="C559" s="1">
        <f t="shared" si="23"/>
        <v>12</v>
      </c>
      <c r="D559" s="2" t="s">
        <v>12</v>
      </c>
      <c r="E559" s="6">
        <v>88636</v>
      </c>
      <c r="F559" s="7"/>
    </row>
    <row r="560" spans="1:6">
      <c r="A560" s="10">
        <v>45267</v>
      </c>
      <c r="B560" s="1">
        <f t="shared" si="22"/>
        <v>2023</v>
      </c>
      <c r="C560" s="1">
        <f t="shared" si="23"/>
        <v>12</v>
      </c>
      <c r="D560" s="2" t="s">
        <v>13</v>
      </c>
      <c r="E560" s="6">
        <v>83169</v>
      </c>
      <c r="F560" s="7"/>
    </row>
    <row r="561" spans="1:6">
      <c r="A561" s="10">
        <v>45268</v>
      </c>
      <c r="B561" s="1">
        <f t="shared" si="22"/>
        <v>2023</v>
      </c>
      <c r="C561" s="1">
        <f t="shared" si="23"/>
        <v>12</v>
      </c>
      <c r="D561" s="2" t="s">
        <v>14</v>
      </c>
      <c r="E561" s="6">
        <v>62388</v>
      </c>
      <c r="F561" s="7"/>
    </row>
    <row r="562" spans="1:6">
      <c r="A562" s="10">
        <v>45269</v>
      </c>
      <c r="B562" s="1">
        <f t="shared" si="22"/>
        <v>2023</v>
      </c>
      <c r="C562" s="1">
        <f t="shared" si="23"/>
        <v>12</v>
      </c>
      <c r="D562" s="2" t="s">
        <v>15</v>
      </c>
      <c r="E562" s="6">
        <v>41171</v>
      </c>
      <c r="F562" s="7"/>
    </row>
    <row r="563" spans="1:6">
      <c r="A563" s="10">
        <v>45270</v>
      </c>
      <c r="B563" s="1">
        <f t="shared" si="22"/>
        <v>2023</v>
      </c>
      <c r="C563" s="1">
        <f t="shared" si="23"/>
        <v>12</v>
      </c>
      <c r="D563" s="2" t="s">
        <v>16</v>
      </c>
      <c r="E563" s="6">
        <v>40025</v>
      </c>
      <c r="F563" s="7"/>
    </row>
    <row r="564" spans="1:6">
      <c r="A564" s="10">
        <v>45271</v>
      </c>
      <c r="B564" s="1">
        <f t="shared" si="22"/>
        <v>2023</v>
      </c>
      <c r="C564" s="1">
        <f t="shared" si="23"/>
        <v>12</v>
      </c>
      <c r="D564" s="2" t="s">
        <v>17</v>
      </c>
      <c r="E564" s="6">
        <v>39231</v>
      </c>
      <c r="F564" s="7"/>
    </row>
    <row r="565" spans="1:6">
      <c r="A565" s="10">
        <v>45272</v>
      </c>
      <c r="B565" s="1">
        <f t="shared" si="22"/>
        <v>2023</v>
      </c>
      <c r="C565" s="1">
        <f t="shared" si="23"/>
        <v>12</v>
      </c>
      <c r="D565" s="2" t="s">
        <v>18</v>
      </c>
      <c r="E565" s="6">
        <v>30915</v>
      </c>
      <c r="F565" s="7"/>
    </row>
    <row r="566" spans="1:6">
      <c r="A566" s="10">
        <v>45273</v>
      </c>
      <c r="B566" s="1">
        <f t="shared" si="22"/>
        <v>2023</v>
      </c>
      <c r="C566" s="1">
        <f t="shared" si="23"/>
        <v>12</v>
      </c>
      <c r="D566" s="2" t="s">
        <v>19</v>
      </c>
      <c r="E566" s="6">
        <v>27597</v>
      </c>
      <c r="F566" s="7"/>
    </row>
    <row r="567" spans="1:6">
      <c r="A567" s="10">
        <v>45274</v>
      </c>
      <c r="B567" s="1">
        <f t="shared" si="22"/>
        <v>2023</v>
      </c>
      <c r="C567" s="1">
        <f t="shared" si="23"/>
        <v>12</v>
      </c>
      <c r="D567" s="2" t="s">
        <v>20</v>
      </c>
      <c r="E567" s="6">
        <v>21513</v>
      </c>
      <c r="F567" s="7"/>
    </row>
    <row r="568" spans="1:6">
      <c r="A568" s="10">
        <v>45275</v>
      </c>
      <c r="B568" s="1">
        <f t="shared" si="22"/>
        <v>2023</v>
      </c>
      <c r="C568" s="1">
        <f t="shared" si="23"/>
        <v>12</v>
      </c>
      <c r="D568" s="2" t="s">
        <v>21</v>
      </c>
      <c r="E568" s="6">
        <v>19376</v>
      </c>
      <c r="F568" s="7"/>
    </row>
    <row r="569" spans="1:6">
      <c r="A569" s="10">
        <v>45276</v>
      </c>
      <c r="B569" s="1">
        <f t="shared" si="22"/>
        <v>2023</v>
      </c>
      <c r="C569" s="1">
        <f t="shared" si="23"/>
        <v>12</v>
      </c>
      <c r="D569" s="2" t="s">
        <v>22</v>
      </c>
      <c r="E569" s="6">
        <v>16580</v>
      </c>
      <c r="F569" s="7"/>
    </row>
    <row r="570" spans="1:6">
      <c r="A570" s="10">
        <v>45277</v>
      </c>
      <c r="B570" s="1">
        <f t="shared" si="22"/>
        <v>2023</v>
      </c>
      <c r="C570" s="1">
        <f t="shared" si="23"/>
        <v>12</v>
      </c>
      <c r="D570" s="2" t="s">
        <v>23</v>
      </c>
      <c r="E570" s="6">
        <v>14364</v>
      </c>
      <c r="F570" s="7"/>
    </row>
    <row r="571" spans="1:6">
      <c r="A571" s="10">
        <v>45278</v>
      </c>
      <c r="B571" s="1">
        <f t="shared" si="22"/>
        <v>2023</v>
      </c>
      <c r="C571" s="1">
        <f t="shared" si="23"/>
        <v>12</v>
      </c>
      <c r="D571" s="2" t="s">
        <v>24</v>
      </c>
      <c r="E571" s="6">
        <v>9856</v>
      </c>
      <c r="F571" s="7"/>
    </row>
    <row r="572" spans="1:6">
      <c r="A572" s="10">
        <v>45279</v>
      </c>
      <c r="B572" s="1">
        <f t="shared" si="22"/>
        <v>2023</v>
      </c>
      <c r="C572" s="1">
        <f t="shared" si="23"/>
        <v>12</v>
      </c>
      <c r="D572" s="2" t="s">
        <v>25</v>
      </c>
      <c r="E572" s="6">
        <v>7126</v>
      </c>
      <c r="F572" s="7"/>
    </row>
    <row r="573" spans="1:6">
      <c r="A573" s="10">
        <v>45280</v>
      </c>
      <c r="B573" s="1">
        <f t="shared" si="22"/>
        <v>2023</v>
      </c>
      <c r="C573" s="1">
        <f t="shared" si="23"/>
        <v>12</v>
      </c>
      <c r="D573" s="2" t="s">
        <v>26</v>
      </c>
      <c r="E573" s="6">
        <v>4999</v>
      </c>
      <c r="F573" s="7"/>
    </row>
    <row r="574" spans="1:6">
      <c r="A574" s="10">
        <v>45281</v>
      </c>
      <c r="B574" s="1">
        <f t="shared" si="22"/>
        <v>2023</v>
      </c>
      <c r="C574" s="1">
        <f t="shared" si="23"/>
        <v>12</v>
      </c>
      <c r="D574" s="2" t="s">
        <v>27</v>
      </c>
      <c r="E574" s="6">
        <v>3100</v>
      </c>
      <c r="F574" s="7"/>
    </row>
    <row r="575" spans="1:6">
      <c r="A575" s="10">
        <v>45282</v>
      </c>
      <c r="B575" s="1">
        <f t="shared" si="22"/>
        <v>2023</v>
      </c>
      <c r="C575" s="1">
        <f t="shared" si="23"/>
        <v>12</v>
      </c>
      <c r="D575" s="2" t="s">
        <v>28</v>
      </c>
      <c r="E575" s="6">
        <v>1476</v>
      </c>
      <c r="F575" s="7"/>
    </row>
    <row r="576" spans="1:6">
      <c r="A576" s="10">
        <v>45283</v>
      </c>
      <c r="B576" s="1">
        <f t="shared" si="22"/>
        <v>2023</v>
      </c>
      <c r="C576" s="1">
        <f t="shared" si="23"/>
        <v>12</v>
      </c>
      <c r="D576" s="2" t="s">
        <v>29</v>
      </c>
      <c r="E576" s="6">
        <v>70</v>
      </c>
      <c r="F576" s="7"/>
    </row>
    <row r="577" spans="1:6">
      <c r="A577" s="10">
        <v>45284</v>
      </c>
      <c r="B577" s="1">
        <f t="shared" si="22"/>
        <v>2023</v>
      </c>
      <c r="C577" s="1">
        <f t="shared" si="23"/>
        <v>12</v>
      </c>
      <c r="D577" s="2" t="s">
        <v>30</v>
      </c>
      <c r="E577" s="6">
        <v>0</v>
      </c>
      <c r="F577" s="7"/>
    </row>
    <row r="578" spans="1:6">
      <c r="A578" s="9">
        <v>45292</v>
      </c>
      <c r="B578" s="1">
        <f t="shared" si="22"/>
        <v>2024</v>
      </c>
      <c r="C578" s="1">
        <f t="shared" si="23"/>
        <v>1</v>
      </c>
      <c r="D578" s="2" t="s">
        <v>7</v>
      </c>
      <c r="E578" s="6">
        <v>19042</v>
      </c>
      <c r="F578" s="7"/>
    </row>
    <row r="579" spans="1:6">
      <c r="A579" s="9">
        <v>45293</v>
      </c>
      <c r="B579" s="1">
        <f t="shared" si="22"/>
        <v>2024</v>
      </c>
      <c r="C579" s="1">
        <f t="shared" si="23"/>
        <v>1</v>
      </c>
      <c r="D579" s="2" t="s">
        <v>8</v>
      </c>
      <c r="E579" s="6">
        <v>16605</v>
      </c>
      <c r="F579" s="7"/>
    </row>
    <row r="580" spans="1:6">
      <c r="A580" s="9">
        <v>45294</v>
      </c>
      <c r="B580" s="1">
        <f t="shared" si="22"/>
        <v>2024</v>
      </c>
      <c r="C580" s="1">
        <f t="shared" si="23"/>
        <v>1</v>
      </c>
      <c r="D580" s="2" t="s">
        <v>9</v>
      </c>
      <c r="E580" s="6">
        <v>14166</v>
      </c>
      <c r="F580" s="7"/>
    </row>
    <row r="581" spans="1:6">
      <c r="A581" s="9">
        <v>45295</v>
      </c>
      <c r="B581" s="1">
        <f t="shared" si="22"/>
        <v>2024</v>
      </c>
      <c r="C581" s="1">
        <f t="shared" si="23"/>
        <v>1</v>
      </c>
      <c r="D581" s="2" t="s">
        <v>10</v>
      </c>
      <c r="E581" s="6">
        <v>10412</v>
      </c>
      <c r="F581" s="7"/>
    </row>
    <row r="582" spans="1:6">
      <c r="A582" s="9">
        <v>45296</v>
      </c>
      <c r="B582" s="1">
        <f t="shared" si="22"/>
        <v>2024</v>
      </c>
      <c r="C582" s="1">
        <f t="shared" si="23"/>
        <v>1</v>
      </c>
      <c r="D582" s="2" t="s">
        <v>11</v>
      </c>
      <c r="E582" s="6">
        <v>12560</v>
      </c>
      <c r="F582" s="7"/>
    </row>
    <row r="583" spans="1:6">
      <c r="A583" s="9">
        <v>45297</v>
      </c>
      <c r="B583" s="1">
        <f t="shared" si="22"/>
        <v>2024</v>
      </c>
      <c r="C583" s="1">
        <f t="shared" si="23"/>
        <v>1</v>
      </c>
      <c r="D583" s="2" t="s">
        <v>12</v>
      </c>
      <c r="E583" s="6">
        <v>6119</v>
      </c>
      <c r="F583" s="7"/>
    </row>
    <row r="584" spans="1:6">
      <c r="A584" s="9">
        <v>45298</v>
      </c>
      <c r="B584" s="1">
        <f t="shared" si="22"/>
        <v>2024</v>
      </c>
      <c r="C584" s="1">
        <f t="shared" si="23"/>
        <v>1</v>
      </c>
      <c r="D584" s="2" t="s">
        <v>13</v>
      </c>
      <c r="E584" s="6">
        <v>8281</v>
      </c>
      <c r="F584" s="7"/>
    </row>
    <row r="585" spans="1:6">
      <c r="A585" s="9">
        <v>45299</v>
      </c>
      <c r="B585" s="1">
        <f t="shared" si="22"/>
        <v>2024</v>
      </c>
      <c r="C585" s="1">
        <f t="shared" si="23"/>
        <v>1</v>
      </c>
      <c r="D585" s="2" t="s">
        <v>14</v>
      </c>
      <c r="E585" s="6">
        <v>5378</v>
      </c>
      <c r="F585" s="7"/>
    </row>
    <row r="586" spans="1:6">
      <c r="A586" s="9">
        <v>45300</v>
      </c>
      <c r="B586" s="1">
        <f t="shared" si="22"/>
        <v>2024</v>
      </c>
      <c r="C586" s="1">
        <f t="shared" si="23"/>
        <v>1</v>
      </c>
      <c r="D586" s="2" t="s">
        <v>15</v>
      </c>
      <c r="E586" s="6">
        <v>3875</v>
      </c>
      <c r="F586" s="7"/>
    </row>
    <row r="587" spans="1:6">
      <c r="A587" s="9">
        <v>45301</v>
      </c>
      <c r="B587" s="1">
        <f t="shared" si="22"/>
        <v>2024</v>
      </c>
      <c r="C587" s="1">
        <f t="shared" si="23"/>
        <v>1</v>
      </c>
      <c r="D587" s="2" t="s">
        <v>16</v>
      </c>
      <c r="E587" s="6">
        <v>3293</v>
      </c>
      <c r="F587" s="7"/>
    </row>
    <row r="588" spans="1:6">
      <c r="A588" s="9">
        <v>45302</v>
      </c>
      <c r="B588" s="1">
        <f t="shared" si="22"/>
        <v>2024</v>
      </c>
      <c r="C588" s="1">
        <f t="shared" si="23"/>
        <v>1</v>
      </c>
      <c r="D588" s="2" t="s">
        <v>17</v>
      </c>
      <c r="E588" s="6">
        <v>4316</v>
      </c>
      <c r="F588" s="7"/>
    </row>
    <row r="589" spans="1:6">
      <c r="A589" s="9">
        <v>45303</v>
      </c>
      <c r="B589" s="1">
        <f t="shared" si="22"/>
        <v>2024</v>
      </c>
      <c r="C589" s="1">
        <f t="shared" si="23"/>
        <v>1</v>
      </c>
      <c r="D589" s="2" t="s">
        <v>18</v>
      </c>
      <c r="E589" s="6">
        <v>3186</v>
      </c>
      <c r="F589" s="7"/>
    </row>
    <row r="590" spans="1:6">
      <c r="A590" s="9">
        <v>45304</v>
      </c>
      <c r="B590" s="1">
        <f t="shared" si="22"/>
        <v>2024</v>
      </c>
      <c r="C590" s="1">
        <f t="shared" si="23"/>
        <v>1</v>
      </c>
      <c r="D590" s="2" t="s">
        <v>19</v>
      </c>
      <c r="E590" s="6">
        <v>2133</v>
      </c>
      <c r="F590" s="7"/>
    </row>
    <row r="591" spans="1:6">
      <c r="A591" s="9">
        <v>45305</v>
      </c>
      <c r="B591" s="1">
        <f t="shared" si="22"/>
        <v>2024</v>
      </c>
      <c r="C591" s="1">
        <f t="shared" si="23"/>
        <v>1</v>
      </c>
      <c r="D591" s="2" t="s">
        <v>20</v>
      </c>
      <c r="E591" s="6">
        <v>1461</v>
      </c>
      <c r="F591" s="7"/>
    </row>
    <row r="592" spans="1:6">
      <c r="A592" s="9">
        <v>45306</v>
      </c>
      <c r="B592" s="1">
        <f t="shared" si="22"/>
        <v>2024</v>
      </c>
      <c r="C592" s="1">
        <f t="shared" si="23"/>
        <v>1</v>
      </c>
      <c r="D592" s="2" t="s">
        <v>21</v>
      </c>
      <c r="E592" s="6">
        <v>2058</v>
      </c>
      <c r="F592" s="7"/>
    </row>
    <row r="593" spans="1:6">
      <c r="A593" s="9">
        <v>45307</v>
      </c>
      <c r="B593" s="1">
        <f t="shared" si="22"/>
        <v>2024</v>
      </c>
      <c r="C593" s="1">
        <f t="shared" si="23"/>
        <v>1</v>
      </c>
      <c r="D593" s="2" t="s">
        <v>22</v>
      </c>
      <c r="E593" s="6">
        <v>1709</v>
      </c>
      <c r="F593" s="7"/>
    </row>
    <row r="594" spans="1:6">
      <c r="A594" s="9">
        <v>45308</v>
      </c>
      <c r="B594" s="1">
        <f t="shared" si="22"/>
        <v>2024</v>
      </c>
      <c r="C594" s="1">
        <f t="shared" si="23"/>
        <v>1</v>
      </c>
      <c r="D594" s="2" t="s">
        <v>23</v>
      </c>
      <c r="E594" s="6">
        <v>1306</v>
      </c>
      <c r="F594" s="7"/>
    </row>
    <row r="595" spans="1:6">
      <c r="A595" s="9">
        <v>45309</v>
      </c>
      <c r="B595" s="1">
        <f t="shared" si="22"/>
        <v>2024</v>
      </c>
      <c r="C595" s="1">
        <f t="shared" si="23"/>
        <v>1</v>
      </c>
      <c r="D595" s="2" t="s">
        <v>24</v>
      </c>
      <c r="E595" s="6">
        <v>825</v>
      </c>
      <c r="F595" s="7"/>
    </row>
    <row r="596" spans="1:6">
      <c r="A596" s="9">
        <v>45310</v>
      </c>
      <c r="B596" s="1">
        <f t="shared" si="22"/>
        <v>2024</v>
      </c>
      <c r="C596" s="1">
        <f t="shared" si="23"/>
        <v>1</v>
      </c>
      <c r="D596" s="2" t="s">
        <v>25</v>
      </c>
      <c r="E596" s="6">
        <v>658</v>
      </c>
      <c r="F596" s="7"/>
    </row>
    <row r="597" spans="1:6">
      <c r="A597" s="9">
        <v>45311</v>
      </c>
      <c r="B597" s="1">
        <f t="shared" si="22"/>
        <v>2024</v>
      </c>
      <c r="C597" s="1">
        <f t="shared" si="23"/>
        <v>1</v>
      </c>
      <c r="D597" s="2" t="s">
        <v>26</v>
      </c>
      <c r="E597" s="6">
        <v>631</v>
      </c>
      <c r="F597" s="7"/>
    </row>
    <row r="598" spans="1:6">
      <c r="A598" s="9">
        <v>45312</v>
      </c>
      <c r="B598" s="1">
        <f t="shared" si="22"/>
        <v>2024</v>
      </c>
      <c r="C598" s="1">
        <f t="shared" si="23"/>
        <v>1</v>
      </c>
      <c r="D598" s="2" t="s">
        <v>27</v>
      </c>
      <c r="E598" s="6">
        <v>299</v>
      </c>
      <c r="F598" s="7"/>
    </row>
    <row r="599" spans="1:6">
      <c r="A599" s="9">
        <v>45313</v>
      </c>
      <c r="B599" s="1">
        <f t="shared" si="22"/>
        <v>2024</v>
      </c>
      <c r="C599" s="1">
        <f t="shared" si="23"/>
        <v>1</v>
      </c>
      <c r="D599" s="2" t="s">
        <v>28</v>
      </c>
      <c r="E599" s="6">
        <v>168</v>
      </c>
      <c r="F599" s="7"/>
    </row>
    <row r="600" spans="1:6">
      <c r="A600" s="9">
        <v>45314</v>
      </c>
      <c r="B600" s="1">
        <f t="shared" si="22"/>
        <v>2024</v>
      </c>
      <c r="C600" s="1">
        <f t="shared" si="23"/>
        <v>1</v>
      </c>
      <c r="D600" s="2" t="s">
        <v>29</v>
      </c>
      <c r="E600" s="6">
        <v>0</v>
      </c>
      <c r="F600" s="7"/>
    </row>
    <row r="601" spans="1:6">
      <c r="A601" s="9">
        <v>45315</v>
      </c>
      <c r="B601" s="1">
        <f t="shared" si="22"/>
        <v>2024</v>
      </c>
      <c r="C601" s="1">
        <f t="shared" si="23"/>
        <v>1</v>
      </c>
      <c r="D601" s="2" t="s">
        <v>30</v>
      </c>
      <c r="E601" s="6">
        <v>0</v>
      </c>
      <c r="F601" s="7"/>
    </row>
    <row r="602" spans="1:6">
      <c r="A602" s="9">
        <v>45323</v>
      </c>
      <c r="B602" s="1">
        <f t="shared" si="22"/>
        <v>2024</v>
      </c>
      <c r="C602" s="1">
        <f t="shared" si="23"/>
        <v>2</v>
      </c>
      <c r="D602" s="2" t="s">
        <v>7</v>
      </c>
      <c r="E602" s="6">
        <v>35367</v>
      </c>
      <c r="F602" s="7"/>
    </row>
    <row r="603" spans="1:6">
      <c r="A603" s="9">
        <v>45324</v>
      </c>
      <c r="B603" s="1">
        <f t="shared" si="22"/>
        <v>2024</v>
      </c>
      <c r="C603" s="1">
        <f t="shared" si="23"/>
        <v>2</v>
      </c>
      <c r="D603" s="2" t="s">
        <v>8</v>
      </c>
      <c r="E603" s="6">
        <v>34271</v>
      </c>
      <c r="F603" s="7"/>
    </row>
    <row r="604" spans="1:6">
      <c r="A604" s="9">
        <v>45325</v>
      </c>
      <c r="B604" s="1">
        <f t="shared" si="22"/>
        <v>2024</v>
      </c>
      <c r="C604" s="1">
        <f t="shared" si="23"/>
        <v>2</v>
      </c>
      <c r="D604" s="2" t="s">
        <v>9</v>
      </c>
      <c r="E604" s="6">
        <v>28978</v>
      </c>
      <c r="F604" s="7"/>
    </row>
    <row r="605" spans="1:6">
      <c r="A605" s="9">
        <v>45326</v>
      </c>
      <c r="B605" s="1">
        <f t="shared" si="22"/>
        <v>2024</v>
      </c>
      <c r="C605" s="1">
        <f t="shared" si="23"/>
        <v>2</v>
      </c>
      <c r="D605" s="2" t="s">
        <v>10</v>
      </c>
      <c r="E605" s="6">
        <v>19977</v>
      </c>
      <c r="F605" s="7"/>
    </row>
    <row r="606" spans="1:6">
      <c r="A606" s="9">
        <v>45327</v>
      </c>
      <c r="B606" s="1">
        <f t="shared" si="22"/>
        <v>2024</v>
      </c>
      <c r="C606" s="1">
        <f t="shared" si="23"/>
        <v>2</v>
      </c>
      <c r="D606" s="2" t="s">
        <v>11</v>
      </c>
      <c r="E606" s="6">
        <v>23802</v>
      </c>
      <c r="F606" s="7"/>
    </row>
    <row r="607" spans="1:6">
      <c r="A607" s="9">
        <v>45328</v>
      </c>
      <c r="B607" s="1">
        <f t="shared" si="22"/>
        <v>2024</v>
      </c>
      <c r="C607" s="1">
        <f t="shared" si="23"/>
        <v>2</v>
      </c>
      <c r="D607" s="2" t="s">
        <v>12</v>
      </c>
      <c r="E607" s="6">
        <v>12245</v>
      </c>
      <c r="F607" s="7"/>
    </row>
    <row r="608" spans="1:6">
      <c r="A608" s="9">
        <v>45329</v>
      </c>
      <c r="B608" s="1">
        <f t="shared" si="22"/>
        <v>2024</v>
      </c>
      <c r="C608" s="1">
        <f t="shared" si="23"/>
        <v>2</v>
      </c>
      <c r="D608" s="2" t="s">
        <v>13</v>
      </c>
      <c r="E608" s="6">
        <v>17958</v>
      </c>
      <c r="F608" s="7"/>
    </row>
    <row r="609" spans="1:6">
      <c r="A609" s="9">
        <v>45330</v>
      </c>
      <c r="B609" s="1">
        <f t="shared" si="22"/>
        <v>2024</v>
      </c>
      <c r="C609" s="1">
        <f t="shared" si="23"/>
        <v>2</v>
      </c>
      <c r="D609" s="2" t="s">
        <v>14</v>
      </c>
      <c r="E609" s="6">
        <v>11831</v>
      </c>
      <c r="F609" s="7"/>
    </row>
    <row r="610" spans="1:6">
      <c r="A610" s="9">
        <v>45331</v>
      </c>
      <c r="B610" s="1">
        <f t="shared" si="22"/>
        <v>2024</v>
      </c>
      <c r="C610" s="1">
        <f t="shared" si="23"/>
        <v>2</v>
      </c>
      <c r="D610" s="2" t="s">
        <v>15</v>
      </c>
      <c r="E610" s="6">
        <v>7652</v>
      </c>
      <c r="F610" s="7"/>
    </row>
    <row r="611" spans="1:6">
      <c r="A611" s="9">
        <v>45332</v>
      </c>
      <c r="B611" s="1">
        <f t="shared" si="22"/>
        <v>2024</v>
      </c>
      <c r="C611" s="1">
        <f t="shared" si="23"/>
        <v>2</v>
      </c>
      <c r="D611" s="2" t="s">
        <v>16</v>
      </c>
      <c r="E611" s="6">
        <v>6028</v>
      </c>
      <c r="F611" s="7"/>
    </row>
    <row r="612" spans="1:6">
      <c r="A612" s="9">
        <v>45333</v>
      </c>
      <c r="B612" s="1">
        <f t="shared" si="22"/>
        <v>2024</v>
      </c>
      <c r="C612" s="1">
        <f t="shared" si="23"/>
        <v>2</v>
      </c>
      <c r="D612" s="2" t="s">
        <v>17</v>
      </c>
      <c r="E612" s="6">
        <v>7432</v>
      </c>
      <c r="F612" s="7"/>
    </row>
    <row r="613" spans="1:6">
      <c r="A613" s="9">
        <v>45334</v>
      </c>
      <c r="B613" s="1">
        <f t="shared" si="22"/>
        <v>2024</v>
      </c>
      <c r="C613" s="1">
        <f t="shared" si="23"/>
        <v>2</v>
      </c>
      <c r="D613" s="2" t="s">
        <v>18</v>
      </c>
      <c r="E613" s="6">
        <v>6354</v>
      </c>
      <c r="F613" s="7"/>
    </row>
    <row r="614" spans="1:6">
      <c r="A614" s="9">
        <v>45335</v>
      </c>
      <c r="B614" s="1">
        <f t="shared" si="22"/>
        <v>2024</v>
      </c>
      <c r="C614" s="1">
        <f t="shared" si="23"/>
        <v>2</v>
      </c>
      <c r="D614" s="2" t="s">
        <v>19</v>
      </c>
      <c r="E614" s="6">
        <v>3668</v>
      </c>
      <c r="F614" s="7"/>
    </row>
    <row r="615" spans="1:6">
      <c r="A615" s="9">
        <v>45336</v>
      </c>
      <c r="B615" s="1">
        <f t="shared" si="22"/>
        <v>2024</v>
      </c>
      <c r="C615" s="1">
        <f t="shared" si="23"/>
        <v>2</v>
      </c>
      <c r="D615" s="2" t="s">
        <v>20</v>
      </c>
      <c r="E615" s="6">
        <v>3322</v>
      </c>
      <c r="F615" s="7"/>
    </row>
    <row r="616" spans="1:6">
      <c r="A616" s="9">
        <v>45337</v>
      </c>
      <c r="B616" s="1">
        <f t="shared" si="22"/>
        <v>2024</v>
      </c>
      <c r="C616" s="1">
        <f t="shared" si="23"/>
        <v>2</v>
      </c>
      <c r="D616" s="2" t="s">
        <v>21</v>
      </c>
      <c r="E616" s="6">
        <v>4073</v>
      </c>
      <c r="F616" s="7"/>
    </row>
    <row r="617" spans="1:6">
      <c r="A617" s="9">
        <v>45338</v>
      </c>
      <c r="B617" s="1">
        <f t="shared" si="22"/>
        <v>2024</v>
      </c>
      <c r="C617" s="1">
        <f t="shared" si="23"/>
        <v>2</v>
      </c>
      <c r="D617" s="2" t="s">
        <v>22</v>
      </c>
      <c r="E617" s="6">
        <v>2990</v>
      </c>
      <c r="F617" s="7"/>
    </row>
    <row r="618" spans="1:6">
      <c r="A618" s="9">
        <v>45339</v>
      </c>
      <c r="B618" s="1">
        <f t="shared" si="22"/>
        <v>2024</v>
      </c>
      <c r="C618" s="1">
        <f t="shared" si="23"/>
        <v>2</v>
      </c>
      <c r="D618" s="2" t="s">
        <v>23</v>
      </c>
      <c r="E618" s="6">
        <v>2316</v>
      </c>
      <c r="F618" s="7"/>
    </row>
    <row r="619" spans="1:6">
      <c r="A619" s="9">
        <v>45340</v>
      </c>
      <c r="B619" s="1">
        <f t="shared" si="22"/>
        <v>2024</v>
      </c>
      <c r="C619" s="1">
        <f t="shared" si="23"/>
        <v>2</v>
      </c>
      <c r="D619" s="2" t="s">
        <v>24</v>
      </c>
      <c r="E619" s="6">
        <v>0</v>
      </c>
      <c r="F619" s="7"/>
    </row>
    <row r="620" spans="1:6">
      <c r="A620" s="9">
        <v>45341</v>
      </c>
      <c r="B620" s="1">
        <f t="shared" si="22"/>
        <v>2024</v>
      </c>
      <c r="C620" s="1">
        <f t="shared" si="23"/>
        <v>2</v>
      </c>
      <c r="D620" s="2" t="s">
        <v>25</v>
      </c>
      <c r="E620" s="6">
        <v>1290</v>
      </c>
      <c r="F620" s="7"/>
    </row>
    <row r="621" spans="1:6">
      <c r="A621" s="9">
        <v>45342</v>
      </c>
      <c r="B621" s="1">
        <f t="shared" si="22"/>
        <v>2024</v>
      </c>
      <c r="C621" s="1">
        <f t="shared" si="23"/>
        <v>2</v>
      </c>
      <c r="D621" s="2" t="s">
        <v>26</v>
      </c>
      <c r="E621" s="6">
        <v>1139</v>
      </c>
      <c r="F621" s="7"/>
    </row>
    <row r="622" spans="1:6">
      <c r="A622" s="9">
        <v>45343</v>
      </c>
      <c r="B622" s="1">
        <f t="shared" si="22"/>
        <v>2024</v>
      </c>
      <c r="C622" s="1">
        <f t="shared" si="23"/>
        <v>2</v>
      </c>
      <c r="D622" s="2" t="s">
        <v>27</v>
      </c>
      <c r="E622" s="6">
        <v>493</v>
      </c>
      <c r="F622" s="7"/>
    </row>
    <row r="623" spans="1:6">
      <c r="A623" s="9">
        <v>45344</v>
      </c>
      <c r="B623" s="1">
        <f t="shared" si="22"/>
        <v>2024</v>
      </c>
      <c r="C623" s="1">
        <f t="shared" si="23"/>
        <v>2</v>
      </c>
      <c r="D623" s="2" t="s">
        <v>28</v>
      </c>
      <c r="E623" s="6">
        <v>0</v>
      </c>
      <c r="F623" s="7"/>
    </row>
    <row r="624" spans="1:6">
      <c r="A624" s="9">
        <v>45345</v>
      </c>
      <c r="B624" s="1">
        <f t="shared" si="22"/>
        <v>2024</v>
      </c>
      <c r="C624" s="1">
        <f t="shared" si="23"/>
        <v>2</v>
      </c>
      <c r="D624" s="2" t="s">
        <v>29</v>
      </c>
      <c r="E624" s="6">
        <v>0</v>
      </c>
      <c r="F624" s="7"/>
    </row>
    <row r="625" spans="1:6">
      <c r="A625" s="9">
        <v>45346</v>
      </c>
      <c r="B625" s="1">
        <f t="shared" si="22"/>
        <v>2024</v>
      </c>
      <c r="C625" s="1">
        <f t="shared" si="23"/>
        <v>2</v>
      </c>
      <c r="D625" s="2" t="s">
        <v>30</v>
      </c>
      <c r="E625" s="6">
        <v>0</v>
      </c>
      <c r="F625" s="7"/>
    </row>
    <row r="626" spans="1:6">
      <c r="A626" s="5" t="s">
        <v>31</v>
      </c>
      <c r="B626" s="1">
        <f t="shared" si="22"/>
        <v>2024</v>
      </c>
      <c r="C626" s="1">
        <f t="shared" si="23"/>
        <v>3</v>
      </c>
      <c r="D626" s="1" t="s">
        <v>7</v>
      </c>
      <c r="E626" s="6">
        <v>52580</v>
      </c>
      <c r="F626" s="1"/>
    </row>
    <row r="627" spans="1:6">
      <c r="A627" s="5" t="s">
        <v>31</v>
      </c>
      <c r="B627" s="1">
        <f t="shared" si="22"/>
        <v>2024</v>
      </c>
      <c r="C627" s="1">
        <f t="shared" si="23"/>
        <v>3</v>
      </c>
      <c r="D627" s="1" t="s">
        <v>8</v>
      </c>
      <c r="E627" s="6">
        <v>51015</v>
      </c>
      <c r="F627" s="1"/>
    </row>
    <row r="628" spans="1:6">
      <c r="A628" s="1" t="s">
        <v>31</v>
      </c>
      <c r="B628" s="1">
        <f t="shared" si="22"/>
        <v>2024</v>
      </c>
      <c r="C628" s="1">
        <f t="shared" si="23"/>
        <v>3</v>
      </c>
      <c r="D628" s="1" t="s">
        <v>9</v>
      </c>
      <c r="E628" s="6">
        <v>43286</v>
      </c>
      <c r="F628" s="1"/>
    </row>
    <row r="629" spans="1:6">
      <c r="A629" s="1" t="s">
        <v>31</v>
      </c>
      <c r="B629" s="1">
        <f t="shared" si="22"/>
        <v>2024</v>
      </c>
      <c r="C629" s="1">
        <f t="shared" si="23"/>
        <v>3</v>
      </c>
      <c r="D629" s="1" t="s">
        <v>11</v>
      </c>
      <c r="E629" s="6">
        <v>36279</v>
      </c>
      <c r="F629" s="1"/>
    </row>
    <row r="630" spans="1:6">
      <c r="A630" s="1" t="s">
        <v>31</v>
      </c>
      <c r="B630" s="1">
        <f t="shared" si="22"/>
        <v>2024</v>
      </c>
      <c r="C630" s="1">
        <f t="shared" si="23"/>
        <v>3</v>
      </c>
      <c r="D630" s="1" t="s">
        <v>10</v>
      </c>
      <c r="E630" s="6">
        <v>33391</v>
      </c>
      <c r="F630" s="1"/>
    </row>
    <row r="631" spans="1:6">
      <c r="A631" s="1" t="s">
        <v>31</v>
      </c>
      <c r="B631" s="1">
        <f t="shared" si="22"/>
        <v>2024</v>
      </c>
      <c r="C631" s="1">
        <f t="shared" si="23"/>
        <v>3</v>
      </c>
      <c r="D631" s="1" t="s">
        <v>13</v>
      </c>
      <c r="E631" s="6">
        <v>28693</v>
      </c>
      <c r="F631" s="1"/>
    </row>
    <row r="632" spans="1:6">
      <c r="A632" s="1" t="s">
        <v>31</v>
      </c>
      <c r="B632" s="1">
        <f t="shared" si="22"/>
        <v>2024</v>
      </c>
      <c r="C632" s="1">
        <f t="shared" si="23"/>
        <v>3</v>
      </c>
      <c r="D632" s="1" t="s">
        <v>12</v>
      </c>
      <c r="E632" s="6">
        <v>20469</v>
      </c>
      <c r="F632" s="1"/>
    </row>
    <row r="633" spans="1:6">
      <c r="A633" s="1" t="s">
        <v>31</v>
      </c>
      <c r="B633" s="1">
        <f t="shared" si="22"/>
        <v>2024</v>
      </c>
      <c r="C633" s="1">
        <f t="shared" si="23"/>
        <v>3</v>
      </c>
      <c r="D633" s="1" t="s">
        <v>14</v>
      </c>
      <c r="E633" s="6">
        <v>18239</v>
      </c>
      <c r="F633" s="1"/>
    </row>
    <row r="634" spans="1:6">
      <c r="A634" s="1" t="s">
        <v>31</v>
      </c>
      <c r="B634" s="1">
        <f t="shared" si="22"/>
        <v>2024</v>
      </c>
      <c r="C634" s="1">
        <f t="shared" si="23"/>
        <v>3</v>
      </c>
      <c r="D634" s="1" t="s">
        <v>15</v>
      </c>
      <c r="E634" s="6">
        <v>11747</v>
      </c>
      <c r="F634" s="1"/>
    </row>
    <row r="635" spans="1:6">
      <c r="A635" s="1" t="s">
        <v>31</v>
      </c>
      <c r="B635" s="1">
        <f t="shared" si="22"/>
        <v>2024</v>
      </c>
      <c r="C635" s="1">
        <f t="shared" si="23"/>
        <v>3</v>
      </c>
      <c r="D635" s="1" t="s">
        <v>17</v>
      </c>
      <c r="E635" s="6">
        <v>10665</v>
      </c>
      <c r="F635" s="1"/>
    </row>
    <row r="636" spans="1:6">
      <c r="A636" s="1" t="s">
        <v>31</v>
      </c>
      <c r="B636" s="1">
        <f t="shared" si="22"/>
        <v>2024</v>
      </c>
      <c r="C636" s="1">
        <f t="shared" si="23"/>
        <v>3</v>
      </c>
      <c r="D636" s="1" t="s">
        <v>16</v>
      </c>
      <c r="E636" s="6">
        <v>9566</v>
      </c>
      <c r="F636" s="1"/>
    </row>
    <row r="637" spans="1:6">
      <c r="A637" s="1" t="s">
        <v>31</v>
      </c>
      <c r="B637" s="1">
        <f t="shared" si="22"/>
        <v>2024</v>
      </c>
      <c r="C637" s="1">
        <f t="shared" si="23"/>
        <v>3</v>
      </c>
      <c r="D637" s="1" t="s">
        <v>18</v>
      </c>
      <c r="E637" s="6">
        <v>8914</v>
      </c>
      <c r="F637" s="1"/>
    </row>
    <row r="638" spans="1:6">
      <c r="A638" s="1" t="s">
        <v>31</v>
      </c>
      <c r="B638" s="1">
        <f t="shared" si="22"/>
        <v>2024</v>
      </c>
      <c r="C638" s="1">
        <f t="shared" si="23"/>
        <v>3</v>
      </c>
      <c r="D638" s="1" t="s">
        <v>21</v>
      </c>
      <c r="E638" s="6">
        <v>5587</v>
      </c>
      <c r="F638" s="1"/>
    </row>
    <row r="639" spans="1:6">
      <c r="A639" s="1" t="s">
        <v>31</v>
      </c>
      <c r="B639" s="1">
        <f t="shared" si="22"/>
        <v>2024</v>
      </c>
      <c r="C639" s="1">
        <f t="shared" si="23"/>
        <v>3</v>
      </c>
      <c r="D639" s="1" t="s">
        <v>32</v>
      </c>
      <c r="E639" s="6">
        <v>5260</v>
      </c>
      <c r="F639" s="1"/>
    </row>
    <row r="640" spans="1:6">
      <c r="A640" s="1" t="s">
        <v>31</v>
      </c>
      <c r="B640" s="1">
        <f t="shared" si="22"/>
        <v>2024</v>
      </c>
      <c r="C640" s="1">
        <f t="shared" si="23"/>
        <v>3</v>
      </c>
      <c r="D640" s="1" t="s">
        <v>19</v>
      </c>
      <c r="E640" s="6">
        <v>4642</v>
      </c>
      <c r="F640" s="1"/>
    </row>
    <row r="641" spans="1:6">
      <c r="A641" s="1" t="s">
        <v>31</v>
      </c>
      <c r="B641" s="1">
        <f t="shared" si="22"/>
        <v>2024</v>
      </c>
      <c r="C641" s="1">
        <f t="shared" si="23"/>
        <v>3</v>
      </c>
      <c r="D641" s="1" t="s">
        <v>20</v>
      </c>
      <c r="E641" s="6">
        <v>4602</v>
      </c>
      <c r="F641" s="1"/>
    </row>
    <row r="642" spans="1:6">
      <c r="A642" s="1" t="s">
        <v>31</v>
      </c>
      <c r="B642" s="1">
        <f t="shared" si="22"/>
        <v>2024</v>
      </c>
      <c r="C642" s="1">
        <f t="shared" si="23"/>
        <v>3</v>
      </c>
      <c r="D642" s="1" t="s">
        <v>22</v>
      </c>
      <c r="E642" s="6">
        <v>4391</v>
      </c>
      <c r="F642" s="1"/>
    </row>
    <row r="643" spans="1:6">
      <c r="A643" s="1" t="s">
        <v>31</v>
      </c>
      <c r="B643" s="1">
        <f t="shared" si="22"/>
        <v>2024</v>
      </c>
      <c r="C643" s="1">
        <f t="shared" si="23"/>
        <v>3</v>
      </c>
      <c r="D643" s="1" t="s">
        <v>23</v>
      </c>
      <c r="E643" s="6">
        <v>3514</v>
      </c>
      <c r="F643" s="1"/>
    </row>
    <row r="644" spans="1:6">
      <c r="A644" s="1" t="s">
        <v>31</v>
      </c>
      <c r="B644" s="1">
        <f t="shared" si="22"/>
        <v>2024</v>
      </c>
      <c r="C644" s="1">
        <f t="shared" si="23"/>
        <v>3</v>
      </c>
      <c r="D644" s="1" t="s">
        <v>26</v>
      </c>
      <c r="E644" s="6">
        <v>1907</v>
      </c>
      <c r="F644" s="1"/>
    </row>
    <row r="645" spans="1:6">
      <c r="A645" s="1" t="s">
        <v>31</v>
      </c>
      <c r="B645" s="1">
        <f t="shared" si="22"/>
        <v>2024</v>
      </c>
      <c r="C645" s="1">
        <f t="shared" si="23"/>
        <v>3</v>
      </c>
      <c r="D645" s="1" t="s">
        <v>25</v>
      </c>
      <c r="E645" s="6">
        <v>1875</v>
      </c>
      <c r="F645" s="1"/>
    </row>
    <row r="646" spans="1:6">
      <c r="A646" s="1" t="s">
        <v>31</v>
      </c>
      <c r="B646" s="1">
        <f t="shared" si="22"/>
        <v>2024</v>
      </c>
      <c r="C646" s="1">
        <f t="shared" si="23"/>
        <v>3</v>
      </c>
      <c r="D646" s="1" t="s">
        <v>27</v>
      </c>
      <c r="E646" s="6">
        <v>713000</v>
      </c>
      <c r="F646" s="1"/>
    </row>
    <row r="647" spans="1:6">
      <c r="A647" s="1" t="s">
        <v>31</v>
      </c>
      <c r="B647" s="1">
        <f t="shared" si="22"/>
        <v>2024</v>
      </c>
      <c r="C647" s="1">
        <f t="shared" si="23"/>
        <v>3</v>
      </c>
      <c r="D647" s="1" t="s">
        <v>33</v>
      </c>
      <c r="E647" s="6">
        <v>414000</v>
      </c>
      <c r="F647" s="1"/>
    </row>
    <row r="648" spans="1:6">
      <c r="A648" s="1" t="s">
        <v>31</v>
      </c>
      <c r="B648" s="1">
        <f t="shared" si="22"/>
        <v>2024</v>
      </c>
      <c r="C648" s="1">
        <f t="shared" si="23"/>
        <v>3</v>
      </c>
      <c r="D648" s="1" t="s">
        <v>30</v>
      </c>
      <c r="E648" s="6">
        <v>0</v>
      </c>
      <c r="F648" s="1"/>
    </row>
    <row r="649" spans="1:6">
      <c r="A649" s="1" t="s">
        <v>31</v>
      </c>
      <c r="B649" s="1">
        <f t="shared" si="22"/>
        <v>2024</v>
      </c>
      <c r="C649" s="1">
        <f t="shared" si="23"/>
        <v>3</v>
      </c>
      <c r="D649" s="1" t="s">
        <v>29</v>
      </c>
      <c r="E649" s="6">
        <v>0</v>
      </c>
      <c r="F649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A49"/>
  <sheetViews>
    <sheetView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defaultColWidth="12.5703125" defaultRowHeight="15.75" customHeight="1"/>
  <cols>
    <col min="1" max="2" width="7.42578125" customWidth="1"/>
    <col min="3" max="3" width="17.5703125" customWidth="1"/>
    <col min="7" max="7" width="26" customWidth="1"/>
    <col min="10" max="10" width="21.85546875" customWidth="1"/>
    <col min="13" max="13" width="33" customWidth="1"/>
    <col min="16" max="16" width="33" customWidth="1"/>
  </cols>
  <sheetData>
    <row r="1" spans="1:19">
      <c r="A1" s="11" t="s">
        <v>34</v>
      </c>
      <c r="B1" s="11" t="s">
        <v>2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11" t="s">
        <v>46</v>
      </c>
      <c r="O1" s="11" t="s">
        <v>47</v>
      </c>
      <c r="P1" s="11" t="s">
        <v>48</v>
      </c>
      <c r="Q1" s="11" t="s">
        <v>49</v>
      </c>
      <c r="R1" s="11" t="s">
        <v>50</v>
      </c>
      <c r="S1" s="11" t="s">
        <v>51</v>
      </c>
    </row>
    <row r="2" spans="1:19">
      <c r="A2" s="12">
        <v>44562</v>
      </c>
      <c r="B2" s="11">
        <f>MONTH(A2)</f>
        <v>1</v>
      </c>
      <c r="C2" s="11" t="s">
        <v>52</v>
      </c>
      <c r="D2" s="11" t="s">
        <v>53</v>
      </c>
      <c r="E2" s="13">
        <v>95784</v>
      </c>
      <c r="F2" s="13">
        <v>96409</v>
      </c>
      <c r="G2" s="14">
        <v>-6.4999999999999997E-3</v>
      </c>
      <c r="H2" s="13">
        <v>98611</v>
      </c>
      <c r="I2" s="13">
        <v>104854</v>
      </c>
      <c r="J2" s="14">
        <v>-5.9499999999999997E-2</v>
      </c>
      <c r="K2" s="13">
        <v>119547</v>
      </c>
      <c r="L2" s="13">
        <v>105043</v>
      </c>
      <c r="M2" s="14">
        <v>0.1381</v>
      </c>
      <c r="N2" s="13">
        <v>114919</v>
      </c>
      <c r="O2" s="13">
        <v>111747</v>
      </c>
      <c r="P2" s="14">
        <f t="shared" ref="P2:P49" si="0">(N2/O2)-100%</f>
        <v>2.8385549500210328E-2</v>
      </c>
      <c r="Q2" s="13">
        <v>110561</v>
      </c>
      <c r="R2" s="13">
        <v>116604</v>
      </c>
      <c r="S2" s="14">
        <v>-5.1799999999999999E-2</v>
      </c>
    </row>
    <row r="3" spans="1:19">
      <c r="A3" s="12">
        <v>44593</v>
      </c>
      <c r="B3" s="11">
        <f>MONTH(A2)</f>
        <v>1</v>
      </c>
      <c r="C3" s="11" t="s">
        <v>54</v>
      </c>
      <c r="D3" s="11" t="s">
        <v>53</v>
      </c>
      <c r="E3" s="13">
        <v>95784</v>
      </c>
      <c r="F3" s="13">
        <v>96409</v>
      </c>
      <c r="G3" s="14">
        <v>-6.4999999999999997E-3</v>
      </c>
      <c r="H3" s="13">
        <v>98611</v>
      </c>
      <c r="I3" s="13">
        <v>104854</v>
      </c>
      <c r="J3" s="14">
        <v>-5.9499999999999997E-2</v>
      </c>
      <c r="K3" s="13">
        <v>119547</v>
      </c>
      <c r="L3" s="13">
        <v>105043</v>
      </c>
      <c r="M3" s="14">
        <v>0.1381</v>
      </c>
      <c r="N3" s="13">
        <v>114919</v>
      </c>
      <c r="O3" s="13">
        <v>111747</v>
      </c>
      <c r="P3" s="14">
        <f t="shared" si="0"/>
        <v>2.8385549500210328E-2</v>
      </c>
      <c r="Q3" s="11">
        <v>7309</v>
      </c>
      <c r="R3" s="11">
        <v>7196</v>
      </c>
      <c r="S3" s="14">
        <v>1.5699999999999999E-2</v>
      </c>
    </row>
    <row r="4" spans="1:19">
      <c r="A4" s="12">
        <v>44621</v>
      </c>
      <c r="B4" s="11">
        <f>MONTH(A2)</f>
        <v>1</v>
      </c>
      <c r="C4" s="11" t="s">
        <v>55</v>
      </c>
      <c r="D4" s="11" t="s">
        <v>53</v>
      </c>
      <c r="E4" s="13">
        <v>6924</v>
      </c>
      <c r="F4" s="13">
        <v>8229</v>
      </c>
      <c r="G4" s="14">
        <v>-0.15859999999999999</v>
      </c>
      <c r="H4" s="13">
        <v>4717</v>
      </c>
      <c r="I4" s="13">
        <v>7774</v>
      </c>
      <c r="J4" s="14">
        <v>-0.39319999999999999</v>
      </c>
      <c r="K4" s="13">
        <v>10116</v>
      </c>
      <c r="L4" s="13">
        <v>5741</v>
      </c>
      <c r="M4" s="14">
        <v>0.7621</v>
      </c>
      <c r="N4" s="13">
        <v>5938</v>
      </c>
      <c r="O4" s="13">
        <v>7196</v>
      </c>
      <c r="P4" s="14">
        <f t="shared" si="0"/>
        <v>-0.17481934408004451</v>
      </c>
    </row>
    <row r="5" spans="1:19">
      <c r="A5" s="12">
        <v>44652</v>
      </c>
      <c r="B5" s="11">
        <f t="shared" ref="B5:B6" si="1">MONTH(A2)</f>
        <v>1</v>
      </c>
      <c r="C5" s="11" t="s">
        <v>56</v>
      </c>
      <c r="D5" s="11" t="s">
        <v>53</v>
      </c>
      <c r="E5" s="13">
        <v>6924</v>
      </c>
      <c r="F5" s="13">
        <v>8229</v>
      </c>
      <c r="G5" s="14">
        <v>-0.15859999999999999</v>
      </c>
      <c r="H5" s="13">
        <v>4717</v>
      </c>
      <c r="I5" s="13">
        <v>7774</v>
      </c>
      <c r="J5" s="14">
        <v>-0.39319999999999999</v>
      </c>
      <c r="K5" s="13">
        <v>10116</v>
      </c>
      <c r="L5" s="13">
        <v>5741</v>
      </c>
      <c r="M5" s="14">
        <v>0.7621</v>
      </c>
      <c r="N5" s="13">
        <v>5938</v>
      </c>
      <c r="O5" s="13">
        <v>7196</v>
      </c>
      <c r="P5" s="14">
        <f t="shared" si="0"/>
        <v>-0.17481934408004451</v>
      </c>
    </row>
    <row r="6" spans="1:19">
      <c r="A6" s="12">
        <v>44682</v>
      </c>
      <c r="B6" s="11">
        <f t="shared" si="1"/>
        <v>2</v>
      </c>
      <c r="C6" s="11" t="s">
        <v>52</v>
      </c>
      <c r="D6" s="11" t="s">
        <v>53</v>
      </c>
      <c r="E6" s="13">
        <f t="shared" ref="E6:F6" si="2">E7+E2</f>
        <v>212051</v>
      </c>
      <c r="F6" s="13">
        <f t="shared" si="2"/>
        <v>210756</v>
      </c>
      <c r="G6" s="14">
        <f>(E6/F6)-100%</f>
        <v>6.1445462999867306E-3</v>
      </c>
      <c r="H6" s="13">
        <f t="shared" ref="H6:I6" si="3">H7+H2</f>
        <v>195430</v>
      </c>
      <c r="I6" s="13">
        <f t="shared" si="3"/>
        <v>207224</v>
      </c>
      <c r="J6" s="14">
        <f>(H6/I6)-100%</f>
        <v>-5.6914257035864613E-2</v>
      </c>
      <c r="K6" s="13">
        <f t="shared" ref="K6:L6" si="4">K7+K2</f>
        <v>234797</v>
      </c>
      <c r="L6" s="13">
        <f t="shared" si="4"/>
        <v>197969</v>
      </c>
      <c r="M6" s="14">
        <f>(K6/L6)-100%</f>
        <v>0.18602912577221686</v>
      </c>
      <c r="N6" s="13">
        <v>232679</v>
      </c>
      <c r="O6" s="13">
        <v>228099</v>
      </c>
      <c r="P6" s="14">
        <f t="shared" si="0"/>
        <v>2.0079000784746892E-2</v>
      </c>
    </row>
    <row r="7" spans="1:19">
      <c r="A7" s="12">
        <v>44713</v>
      </c>
      <c r="B7" s="11">
        <f>MONTH(A3)</f>
        <v>2</v>
      </c>
      <c r="C7" s="11" t="s">
        <v>54</v>
      </c>
      <c r="D7" s="11" t="s">
        <v>53</v>
      </c>
      <c r="E7" s="13">
        <v>116267</v>
      </c>
      <c r="F7" s="13">
        <v>114347</v>
      </c>
      <c r="G7" s="14">
        <v>1.6799999999999999E-2</v>
      </c>
      <c r="H7" s="13">
        <v>96819</v>
      </c>
      <c r="I7" s="13">
        <v>102370</v>
      </c>
      <c r="J7" s="14">
        <v>-5.4199999999999998E-2</v>
      </c>
      <c r="K7" s="13">
        <v>115250</v>
      </c>
      <c r="L7" s="13">
        <v>92926</v>
      </c>
      <c r="M7" s="14">
        <v>0.2402</v>
      </c>
      <c r="N7" s="13">
        <v>117761</v>
      </c>
      <c r="O7" s="13">
        <v>116352</v>
      </c>
      <c r="P7" s="14">
        <f t="shared" si="0"/>
        <v>1.2109804730473073E-2</v>
      </c>
    </row>
    <row r="8" spans="1:19">
      <c r="A8" s="12">
        <v>44743</v>
      </c>
      <c r="B8" s="11">
        <f>MONTH(A3)</f>
        <v>2</v>
      </c>
      <c r="C8" s="11" t="s">
        <v>55</v>
      </c>
      <c r="D8" s="11" t="s">
        <v>53</v>
      </c>
      <c r="E8" s="13">
        <f t="shared" ref="E8:F8" si="5">E9+E4</f>
        <v>14192</v>
      </c>
      <c r="F8" s="13">
        <f t="shared" si="5"/>
        <v>17028</v>
      </c>
      <c r="G8" s="14">
        <f>(E8/F8)-100%</f>
        <v>-0.16654921306084092</v>
      </c>
      <c r="H8" s="13">
        <f t="shared" ref="H8:I8" si="6">H9+H4</f>
        <v>8988</v>
      </c>
      <c r="I8" s="13">
        <f t="shared" si="6"/>
        <v>16089</v>
      </c>
      <c r="J8" s="14">
        <f>(H8/I8)-100%</f>
        <v>-0.44135744918888686</v>
      </c>
      <c r="K8" s="13">
        <f t="shared" ref="K8:L8" si="7">K9+K4</f>
        <v>18144</v>
      </c>
      <c r="L8" s="13">
        <f t="shared" si="7"/>
        <v>10820</v>
      </c>
      <c r="M8" s="14">
        <f>(K8/L8)-100%</f>
        <v>0.67689463955637708</v>
      </c>
      <c r="N8" s="13">
        <v>13651</v>
      </c>
      <c r="O8" s="13">
        <v>14329</v>
      </c>
      <c r="P8" s="14">
        <f t="shared" si="0"/>
        <v>-4.7316630609253951E-2</v>
      </c>
    </row>
    <row r="9" spans="1:19">
      <c r="A9" s="12">
        <v>44774</v>
      </c>
      <c r="B9" s="11">
        <f t="shared" ref="B9:B10" si="8">MONTH(A3)</f>
        <v>2</v>
      </c>
      <c r="C9" s="11" t="s">
        <v>56</v>
      </c>
      <c r="D9" s="11" t="s">
        <v>53</v>
      </c>
      <c r="E9" s="13">
        <v>7268</v>
      </c>
      <c r="F9" s="13">
        <v>8799</v>
      </c>
      <c r="G9" s="14">
        <v>-0.17399999999999999</v>
      </c>
      <c r="H9" s="13">
        <v>4271</v>
      </c>
      <c r="I9" s="13">
        <v>8315</v>
      </c>
      <c r="J9" s="14">
        <v>-0.48630000000000001</v>
      </c>
      <c r="K9" s="13">
        <v>8028</v>
      </c>
      <c r="L9" s="13">
        <v>5079</v>
      </c>
      <c r="M9" s="14">
        <v>0.5806</v>
      </c>
      <c r="N9" s="13">
        <v>7713</v>
      </c>
      <c r="O9" s="13">
        <v>7133</v>
      </c>
      <c r="P9" s="14">
        <f t="shared" si="0"/>
        <v>8.1312210850974287E-2</v>
      </c>
    </row>
    <row r="10" spans="1:19">
      <c r="A10" s="12">
        <v>44805</v>
      </c>
      <c r="B10" s="11">
        <f t="shared" si="8"/>
        <v>3</v>
      </c>
      <c r="C10" s="11" t="s">
        <v>52</v>
      </c>
      <c r="D10" s="11" t="s">
        <v>53</v>
      </c>
      <c r="E10" s="13">
        <f t="shared" ref="E10:F10" si="9">E11+E6</f>
        <v>311260</v>
      </c>
      <c r="F10" s="13">
        <f t="shared" si="9"/>
        <v>337015</v>
      </c>
      <c r="G10" s="14">
        <f>F10/E10-100%</f>
        <v>8.2744329499453873E-2</v>
      </c>
      <c r="H10" s="13">
        <f t="shared" ref="H10:I10" si="10">H11+H6</f>
        <v>311660</v>
      </c>
      <c r="I10" s="13">
        <f t="shared" si="10"/>
        <v>314431</v>
      </c>
      <c r="J10" s="14">
        <f>I10/H10-100%</f>
        <v>8.8910992748507667E-3</v>
      </c>
      <c r="K10" s="13">
        <f t="shared" ref="K10:L10" si="11">K11+K6</f>
        <v>359917</v>
      </c>
      <c r="L10" s="13">
        <f t="shared" si="11"/>
        <v>298292</v>
      </c>
      <c r="M10" s="14">
        <f>L10/K10-100%</f>
        <v>-0.17122003128499075</v>
      </c>
      <c r="N10" s="11">
        <v>361052</v>
      </c>
      <c r="O10" s="11">
        <v>353507</v>
      </c>
      <c r="P10" s="14">
        <f t="shared" si="0"/>
        <v>2.1343283159880766E-2</v>
      </c>
    </row>
    <row r="11" spans="1:19">
      <c r="A11" s="15">
        <v>44835</v>
      </c>
      <c r="B11" s="11">
        <f>MONTH(A4)</f>
        <v>3</v>
      </c>
      <c r="C11" s="11" t="s">
        <v>54</v>
      </c>
      <c r="D11" s="11" t="s">
        <v>53</v>
      </c>
      <c r="E11" s="13">
        <v>99209</v>
      </c>
      <c r="F11" s="13">
        <v>126259</v>
      </c>
      <c r="G11" s="14">
        <v>-0.2142</v>
      </c>
      <c r="H11" s="13">
        <v>116230</v>
      </c>
      <c r="I11" s="13">
        <v>107207</v>
      </c>
      <c r="J11" s="14">
        <v>8.4199999999999997E-2</v>
      </c>
      <c r="K11" s="13">
        <v>125120</v>
      </c>
      <c r="L11" s="13">
        <v>100323</v>
      </c>
      <c r="M11" s="14">
        <v>0.2472</v>
      </c>
      <c r="N11" s="11">
        <v>128373</v>
      </c>
      <c r="O11" s="11">
        <v>125408</v>
      </c>
      <c r="P11" s="14">
        <f t="shared" si="0"/>
        <v>2.3642829803521392E-2</v>
      </c>
    </row>
    <row r="12" spans="1:19">
      <c r="A12" s="15">
        <v>44866</v>
      </c>
      <c r="B12" s="11">
        <f>MONTH(A4)</f>
        <v>3</v>
      </c>
      <c r="C12" s="11" t="s">
        <v>55</v>
      </c>
      <c r="D12" s="11" t="s">
        <v>53</v>
      </c>
      <c r="E12" s="13">
        <f t="shared" ref="E12:F12" si="12">E13+E8</f>
        <v>21013</v>
      </c>
      <c r="F12" s="13">
        <f t="shared" si="12"/>
        <v>27067</v>
      </c>
      <c r="G12" s="14">
        <f>F12/E12-100%</f>
        <v>0.28810736210917054</v>
      </c>
      <c r="H12" s="13">
        <f t="shared" ref="H12:I12" si="13">H13+H8</f>
        <v>16478</v>
      </c>
      <c r="I12" s="13">
        <f t="shared" si="13"/>
        <v>25574</v>
      </c>
      <c r="J12" s="14">
        <f>I12/H12-100%</f>
        <v>0.55200873892462687</v>
      </c>
      <c r="K12" s="13">
        <f t="shared" ref="K12:L12" si="14">K13+K8</f>
        <v>26791</v>
      </c>
      <c r="L12" s="13">
        <f t="shared" si="14"/>
        <v>16008</v>
      </c>
      <c r="M12" s="14">
        <f>L12/K12-100%</f>
        <v>-0.40248590944720242</v>
      </c>
      <c r="N12" s="11">
        <v>19437</v>
      </c>
      <c r="O12" s="11">
        <v>23176</v>
      </c>
      <c r="P12" s="14">
        <f t="shared" si="0"/>
        <v>-0.16133068691750085</v>
      </c>
    </row>
    <row r="13" spans="1:19">
      <c r="A13" s="15">
        <v>44896</v>
      </c>
      <c r="B13" s="11">
        <f t="shared" ref="B13:B14" si="15">MONTH(A4)</f>
        <v>3</v>
      </c>
      <c r="C13" s="11" t="s">
        <v>56</v>
      </c>
      <c r="D13" s="11" t="s">
        <v>53</v>
      </c>
      <c r="E13" s="13">
        <v>6821</v>
      </c>
      <c r="F13" s="13">
        <v>10039</v>
      </c>
      <c r="G13" s="14">
        <v>-0.32050000000000001</v>
      </c>
      <c r="H13" s="13">
        <v>7490</v>
      </c>
      <c r="I13" s="13">
        <v>9485</v>
      </c>
      <c r="J13" s="14">
        <v>-0.2104</v>
      </c>
      <c r="K13" s="13">
        <v>8647</v>
      </c>
      <c r="L13" s="13">
        <v>5188</v>
      </c>
      <c r="M13" s="14">
        <v>0.66669999999999996</v>
      </c>
      <c r="N13" s="11">
        <v>5786</v>
      </c>
      <c r="O13" s="11">
        <v>8847</v>
      </c>
      <c r="P13" s="14">
        <f t="shared" si="0"/>
        <v>-0.3459929919746807</v>
      </c>
    </row>
    <row r="14" spans="1:19">
      <c r="B14" s="11">
        <f t="shared" si="15"/>
        <v>4</v>
      </c>
      <c r="C14" s="11" t="s">
        <v>52</v>
      </c>
      <c r="D14" s="11" t="s">
        <v>53</v>
      </c>
      <c r="E14" s="13">
        <f t="shared" ref="E14:F14" si="16">E15+E10</f>
        <v>416779</v>
      </c>
      <c r="F14" s="13">
        <f t="shared" si="16"/>
        <v>460293</v>
      </c>
      <c r="G14" s="14">
        <f>(E14/F14)-100%</f>
        <v>-9.4535437210646278E-2</v>
      </c>
      <c r="H14" s="13">
        <f t="shared" ref="H14:I14" si="17">H15+H10</f>
        <v>413882</v>
      </c>
      <c r="I14" s="13">
        <f t="shared" si="17"/>
        <v>418762</v>
      </c>
      <c r="J14" s="14">
        <f>(H14/I14)-100%</f>
        <v>-1.1653397395179121E-2</v>
      </c>
      <c r="K14" s="13">
        <f t="shared" ref="K14:L14" si="18">K15+K10</f>
        <v>360018.59</v>
      </c>
      <c r="L14" s="13">
        <f t="shared" si="18"/>
        <v>298395.179</v>
      </c>
      <c r="M14" s="14">
        <f>(K14/L14)-100%</f>
        <v>0.2065161079562885</v>
      </c>
      <c r="N14" s="11">
        <v>476008</v>
      </c>
      <c r="O14" s="11">
        <v>474617</v>
      </c>
      <c r="P14" s="14">
        <f t="shared" si="0"/>
        <v>2.9307841901997644E-3</v>
      </c>
    </row>
    <row r="15" spans="1:19">
      <c r="B15" s="11">
        <f>MONTH(A5)</f>
        <v>4</v>
      </c>
      <c r="C15" s="11" t="s">
        <v>54</v>
      </c>
      <c r="D15" s="11" t="s">
        <v>53</v>
      </c>
      <c r="E15" s="13">
        <v>105519</v>
      </c>
      <c r="F15" s="13">
        <v>123278</v>
      </c>
      <c r="G15" s="14">
        <v>-0.14410000000000001</v>
      </c>
      <c r="H15" s="13">
        <v>102222</v>
      </c>
      <c r="I15" s="13">
        <v>104331</v>
      </c>
      <c r="J15" s="14">
        <v>-2.0199999999999999E-2</v>
      </c>
      <c r="K15" s="11">
        <v>101.59</v>
      </c>
      <c r="L15" s="11">
        <v>103.179</v>
      </c>
      <c r="M15" s="16">
        <v>-1.54E-2</v>
      </c>
      <c r="N15" s="11">
        <v>114955</v>
      </c>
      <c r="O15" s="11">
        <v>121110</v>
      </c>
      <c r="P15" s="14">
        <f t="shared" si="0"/>
        <v>-5.0821567170341031E-2</v>
      </c>
    </row>
    <row r="16" spans="1:19">
      <c r="B16" s="11">
        <f>MONTH(A5)</f>
        <v>4</v>
      </c>
      <c r="C16" s="11" t="s">
        <v>55</v>
      </c>
      <c r="D16" s="11" t="s">
        <v>53</v>
      </c>
      <c r="E16" s="13">
        <f t="shared" ref="E16:F16" si="19">E17+E12</f>
        <v>28139</v>
      </c>
      <c r="F16" s="13">
        <f t="shared" si="19"/>
        <v>35160</v>
      </c>
      <c r="G16" s="14">
        <f>(E16/F16)-100%</f>
        <v>-0.19968714448236635</v>
      </c>
      <c r="H16" s="13">
        <f t="shared" ref="H16:I16" si="20">H17+H12</f>
        <v>20994</v>
      </c>
      <c r="I16" s="13">
        <f t="shared" si="20"/>
        <v>33223</v>
      </c>
      <c r="J16" s="14">
        <f>(H16/I16)-100%</f>
        <v>-0.36808837251301807</v>
      </c>
      <c r="K16" s="13">
        <f t="shared" ref="K16:L16" si="21">K17+K12</f>
        <v>26794.697</v>
      </c>
      <c r="L16" s="13">
        <f t="shared" si="21"/>
        <v>16013.638999999999</v>
      </c>
      <c r="M16" s="14">
        <f>(K16/L16)-100%</f>
        <v>0.67324222807820266</v>
      </c>
      <c r="N16" s="11">
        <v>22719</v>
      </c>
      <c r="O16" s="11">
        <v>30373</v>
      </c>
      <c r="P16" s="14">
        <f t="shared" si="0"/>
        <v>-0.25200013169591418</v>
      </c>
    </row>
    <row r="17" spans="2:16">
      <c r="B17" s="11">
        <f t="shared" ref="B17:B18" si="22">MONTH(A5)</f>
        <v>4</v>
      </c>
      <c r="C17" s="11" t="s">
        <v>56</v>
      </c>
      <c r="D17" s="11" t="s">
        <v>53</v>
      </c>
      <c r="E17" s="13">
        <v>7126</v>
      </c>
      <c r="F17" s="13">
        <v>8093</v>
      </c>
      <c r="G17" s="14">
        <v>-0.1195</v>
      </c>
      <c r="H17" s="13">
        <v>4516</v>
      </c>
      <c r="I17" s="13">
        <v>7649</v>
      </c>
      <c r="J17" s="14">
        <v>-2.0199999999999999E-2</v>
      </c>
      <c r="K17" s="11">
        <v>3.6970000000000001</v>
      </c>
      <c r="L17" s="11">
        <v>5.6390000000000002</v>
      </c>
      <c r="M17" s="16">
        <v>-0.34439999999999998</v>
      </c>
      <c r="N17" s="11">
        <v>3282</v>
      </c>
      <c r="O17" s="11">
        <v>7197</v>
      </c>
      <c r="P17" s="14">
        <f t="shared" si="0"/>
        <v>-0.54397665694039188</v>
      </c>
    </row>
    <row r="18" spans="2:16">
      <c r="B18" s="11">
        <f t="shared" si="22"/>
        <v>5</v>
      </c>
      <c r="C18" s="11" t="s">
        <v>52</v>
      </c>
      <c r="D18" s="11" t="s">
        <v>53</v>
      </c>
      <c r="E18" s="13">
        <f t="shared" ref="E18:F18" si="23">E19+E14</f>
        <v>516117</v>
      </c>
      <c r="F18" s="13">
        <f t="shared" si="23"/>
        <v>567857</v>
      </c>
      <c r="G18" s="14">
        <f>(E18/F18)-100%</f>
        <v>-9.1114488330688914E-2</v>
      </c>
      <c r="H18" s="13">
        <f t="shared" ref="H18:I18" si="24">H19+H14</f>
        <v>535443</v>
      </c>
      <c r="I18" s="13">
        <f t="shared" si="24"/>
        <v>527669</v>
      </c>
      <c r="J18" s="14">
        <f>(H18/I18)-100%</f>
        <v>1.4732720701803537E-2</v>
      </c>
      <c r="K18" s="13">
        <f t="shared" ref="K18:L18" si="25">K19+K14</f>
        <v>492047.59</v>
      </c>
      <c r="L18" s="13">
        <f t="shared" si="25"/>
        <v>409164.179</v>
      </c>
      <c r="M18" s="14">
        <f>(K18/L18)-100%</f>
        <v>0.20256761284081026</v>
      </c>
      <c r="N18" s="11">
        <v>603880</v>
      </c>
      <c r="O18" s="11">
        <v>603249</v>
      </c>
      <c r="P18" s="14">
        <f t="shared" si="0"/>
        <v>1.0460025627891945E-3</v>
      </c>
    </row>
    <row r="19" spans="2:16">
      <c r="B19" s="11">
        <f>MONTH(A6)</f>
        <v>5</v>
      </c>
      <c r="C19" s="11" t="s">
        <v>54</v>
      </c>
      <c r="D19" s="11" t="s">
        <v>53</v>
      </c>
      <c r="E19" s="13">
        <v>99338</v>
      </c>
      <c r="F19" s="13">
        <v>107564</v>
      </c>
      <c r="G19" s="14">
        <v>-7.6499999999999999E-2</v>
      </c>
      <c r="H19" s="13">
        <v>121561</v>
      </c>
      <c r="I19" s="13">
        <v>108907</v>
      </c>
      <c r="J19" s="14">
        <v>0.1162</v>
      </c>
      <c r="K19" s="13">
        <v>132029</v>
      </c>
      <c r="L19" s="13">
        <v>110769</v>
      </c>
      <c r="M19" s="14">
        <v>0.19189999999999999</v>
      </c>
      <c r="N19" s="11">
        <v>127873</v>
      </c>
      <c r="O19" s="11">
        <v>128632</v>
      </c>
      <c r="P19" s="14">
        <f t="shared" si="0"/>
        <v>-5.9005535170097989E-3</v>
      </c>
    </row>
    <row r="20" spans="2:16">
      <c r="B20" s="11">
        <f>MONTH(A6)</f>
        <v>5</v>
      </c>
      <c r="C20" s="11" t="s">
        <v>55</v>
      </c>
      <c r="D20" s="11" t="s">
        <v>53</v>
      </c>
      <c r="E20" s="13">
        <f t="shared" ref="E20:F20" si="26">E21+E16</f>
        <v>35138</v>
      </c>
      <c r="F20" s="13">
        <f t="shared" si="26"/>
        <v>40384</v>
      </c>
      <c r="G20" s="14">
        <f>(E20/F20)-100%</f>
        <v>-0.12990293185419965</v>
      </c>
      <c r="H20" s="13">
        <f t="shared" ref="H20:I20" si="27">H21+H16</f>
        <v>24636</v>
      </c>
      <c r="I20" s="13">
        <f t="shared" si="27"/>
        <v>38158</v>
      </c>
      <c r="J20" s="14">
        <f>(H20/I20)-100%</f>
        <v>-0.35436867760364799</v>
      </c>
      <c r="K20" s="13">
        <f t="shared" ref="K20:L20" si="28">K21+K16</f>
        <v>30839.697</v>
      </c>
      <c r="L20" s="13">
        <f t="shared" si="28"/>
        <v>22067.638999999999</v>
      </c>
      <c r="M20" s="14">
        <f>(K20/L20)-100%</f>
        <v>0.39750777144759342</v>
      </c>
      <c r="N20" s="11">
        <v>28687</v>
      </c>
      <c r="O20" s="11">
        <v>36951</v>
      </c>
      <c r="P20" s="14">
        <f t="shared" si="0"/>
        <v>-0.22364753321966924</v>
      </c>
    </row>
    <row r="21" spans="2:16">
      <c r="B21" s="11">
        <f t="shared" ref="B21:B22" si="29">MONTH(A6)</f>
        <v>5</v>
      </c>
      <c r="C21" s="11" t="s">
        <v>56</v>
      </c>
      <c r="D21" s="11" t="s">
        <v>53</v>
      </c>
      <c r="E21" s="13">
        <v>6999</v>
      </c>
      <c r="F21" s="13">
        <v>5224</v>
      </c>
      <c r="G21" s="14">
        <v>0.33979999999999999</v>
      </c>
      <c r="H21" s="13">
        <v>3642</v>
      </c>
      <c r="I21" s="13">
        <v>4935</v>
      </c>
      <c r="J21" s="14">
        <v>-0.26200000000000001</v>
      </c>
      <c r="K21" s="13">
        <v>4045</v>
      </c>
      <c r="L21" s="13">
        <v>6054</v>
      </c>
      <c r="M21" s="14">
        <v>-0.33179999999999998</v>
      </c>
      <c r="N21" s="11">
        <v>5968</v>
      </c>
      <c r="O21" s="11">
        <v>6578</v>
      </c>
      <c r="P21" s="14">
        <f t="shared" si="0"/>
        <v>-9.2733353602918789E-2</v>
      </c>
    </row>
    <row r="22" spans="2:16">
      <c r="B22" s="11">
        <f t="shared" si="29"/>
        <v>6</v>
      </c>
      <c r="C22" s="11" t="s">
        <v>52</v>
      </c>
      <c r="D22" s="11" t="s">
        <v>53</v>
      </c>
      <c r="E22" s="13">
        <f t="shared" ref="E22:F22" si="30">E23+E18</f>
        <v>625946</v>
      </c>
      <c r="F22" s="13">
        <f t="shared" si="30"/>
        <v>684397</v>
      </c>
      <c r="G22" s="14">
        <f>(E22/F22)-100%</f>
        <v>-8.5405108438523225E-2</v>
      </c>
      <c r="H22" s="13">
        <f t="shared" ref="H22:I22" si="31">H23+H18</f>
        <v>644771</v>
      </c>
      <c r="I22" s="13">
        <f t="shared" si="31"/>
        <v>636706</v>
      </c>
      <c r="J22" s="14">
        <f>(H22/I22)-100%</f>
        <v>1.2666756713459515E-2</v>
      </c>
      <c r="K22" s="13">
        <f t="shared" ref="K22:L22" si="32">K23+K18</f>
        <v>612060.59000000008</v>
      </c>
      <c r="L22" s="13">
        <f t="shared" si="32"/>
        <v>521531.179</v>
      </c>
      <c r="M22" s="14">
        <f>(K22/L22)-100%</f>
        <v>0.17358389036986055</v>
      </c>
      <c r="N22" s="11">
        <v>734179</v>
      </c>
      <c r="O22" s="11">
        <v>730806</v>
      </c>
      <c r="P22" s="14">
        <f t="shared" si="0"/>
        <v>4.6154519804162408E-3</v>
      </c>
    </row>
    <row r="23" spans="2:16">
      <c r="B23" s="11">
        <f>MONTH(A7)</f>
        <v>6</v>
      </c>
      <c r="C23" s="11" t="s">
        <v>54</v>
      </c>
      <c r="D23" s="11" t="s">
        <v>53</v>
      </c>
      <c r="E23" s="13">
        <v>109829</v>
      </c>
      <c r="F23" s="13">
        <v>116540</v>
      </c>
      <c r="G23" s="14">
        <v>-5.7599999999999998E-2</v>
      </c>
      <c r="H23" s="13">
        <v>109328</v>
      </c>
      <c r="I23" s="13">
        <v>109037</v>
      </c>
      <c r="J23" s="14">
        <v>2.7000000000000001E-3</v>
      </c>
      <c r="K23" s="13">
        <v>120013</v>
      </c>
      <c r="L23" s="13">
        <v>112367</v>
      </c>
      <c r="M23" s="14">
        <v>6.8000000000000005E-2</v>
      </c>
      <c r="N23" s="11">
        <v>130299</v>
      </c>
      <c r="O23" s="11">
        <v>127557</v>
      </c>
      <c r="P23" s="14">
        <f t="shared" si="0"/>
        <v>2.1496272254756699E-2</v>
      </c>
    </row>
    <row r="24" spans="2:16">
      <c r="B24" s="11">
        <f>MONTH(A7)</f>
        <v>6</v>
      </c>
      <c r="C24" s="11" t="s">
        <v>55</v>
      </c>
      <c r="D24" s="11" t="s">
        <v>53</v>
      </c>
      <c r="E24" s="13">
        <f t="shared" ref="E24:F24" si="33">E25+E20</f>
        <v>42298</v>
      </c>
      <c r="F24" s="13">
        <f t="shared" si="33"/>
        <v>45604</v>
      </c>
      <c r="G24" s="14">
        <f>(E24/F24)-100%</f>
        <v>-7.2493640908692258E-2</v>
      </c>
      <c r="H24" s="13">
        <f t="shared" ref="H24:I24" si="34">H25+H20</f>
        <v>30120</v>
      </c>
      <c r="I24" s="13">
        <f t="shared" si="34"/>
        <v>43089</v>
      </c>
      <c r="J24" s="14">
        <f>(H24/I24)-100%</f>
        <v>-0.3009816890621736</v>
      </c>
      <c r="K24" s="13">
        <f t="shared" ref="K24:L24" si="35">K25+K20</f>
        <v>37643.697</v>
      </c>
      <c r="L24" s="13">
        <f t="shared" si="35"/>
        <v>28208.638999999999</v>
      </c>
      <c r="M24" s="14">
        <f>(K24/L24)-100%</f>
        <v>0.33447405952481435</v>
      </c>
      <c r="N24" s="11">
        <v>34339</v>
      </c>
      <c r="O24" s="11">
        <v>44767</v>
      </c>
      <c r="P24" s="14">
        <f t="shared" si="0"/>
        <v>-0.2329394419996873</v>
      </c>
    </row>
    <row r="25" spans="2:16">
      <c r="B25" s="11">
        <f t="shared" ref="B25:B26" si="36">MONTH(A7)</f>
        <v>6</v>
      </c>
      <c r="C25" s="11" t="s">
        <v>56</v>
      </c>
      <c r="D25" s="11" t="s">
        <v>53</v>
      </c>
      <c r="E25" s="13">
        <v>7160</v>
      </c>
      <c r="F25" s="13">
        <v>5220</v>
      </c>
      <c r="G25" s="14">
        <v>0.37159999999999999</v>
      </c>
      <c r="H25" s="13">
        <v>5484</v>
      </c>
      <c r="I25" s="13">
        <v>4931</v>
      </c>
      <c r="J25" s="14">
        <v>0.11210000000000001</v>
      </c>
      <c r="K25" s="13">
        <v>6804</v>
      </c>
      <c r="L25" s="13">
        <v>6141</v>
      </c>
      <c r="M25" s="14">
        <v>0.108</v>
      </c>
      <c r="N25" s="11">
        <v>5652</v>
      </c>
      <c r="O25" s="11">
        <v>7816</v>
      </c>
      <c r="P25" s="14">
        <f t="shared" si="0"/>
        <v>-0.27686796315250772</v>
      </c>
    </row>
    <row r="26" spans="2:16">
      <c r="B26" s="11">
        <f t="shared" si="36"/>
        <v>7</v>
      </c>
      <c r="C26" s="11" t="s">
        <v>52</v>
      </c>
      <c r="D26" s="11" t="s">
        <v>53</v>
      </c>
      <c r="E26" s="13">
        <f t="shared" ref="E26:F26" si="37">E27+E22</f>
        <v>732329</v>
      </c>
      <c r="F26" s="13">
        <f t="shared" si="37"/>
        <v>792537</v>
      </c>
      <c r="G26" s="14">
        <f>(E26/F26)-100%</f>
        <v>-7.5968692944304195E-2</v>
      </c>
      <c r="H26" s="13">
        <f t="shared" ref="H26:I26" si="38">H27+H22</f>
        <v>774871</v>
      </c>
      <c r="I26" s="13">
        <f t="shared" si="38"/>
        <v>746136</v>
      </c>
      <c r="J26" s="14">
        <f>(H26/I26)-100%</f>
        <v>3.8511745847942036E-2</v>
      </c>
      <c r="K26" s="13">
        <f t="shared" ref="K26:L26" si="39">K27+K22</f>
        <v>740980.59000000008</v>
      </c>
      <c r="L26" s="13">
        <f t="shared" si="39"/>
        <v>635496.179</v>
      </c>
      <c r="M26" s="14">
        <f>(K26/L26)-100%</f>
        <v>0.16598748267218144</v>
      </c>
      <c r="N26" s="11">
        <v>867888</v>
      </c>
      <c r="O26" s="11">
        <v>866806</v>
      </c>
      <c r="P26" s="14">
        <f t="shared" si="0"/>
        <v>1.2482608565238529E-3</v>
      </c>
    </row>
    <row r="27" spans="2:16">
      <c r="B27" s="11">
        <f>MONTH(A8)</f>
        <v>7</v>
      </c>
      <c r="C27" s="11" t="s">
        <v>54</v>
      </c>
      <c r="D27" s="11" t="s">
        <v>53</v>
      </c>
      <c r="E27" s="13">
        <v>106383</v>
      </c>
      <c r="F27" s="13">
        <v>108140</v>
      </c>
      <c r="G27" s="14">
        <v>-1.6199999999999999E-2</v>
      </c>
      <c r="H27" s="13">
        <v>130100</v>
      </c>
      <c r="I27" s="13">
        <v>109430</v>
      </c>
      <c r="J27" s="14">
        <v>0.18890000000000001</v>
      </c>
      <c r="K27" s="13">
        <v>128920</v>
      </c>
      <c r="L27" s="13">
        <v>113965</v>
      </c>
      <c r="M27" s="14">
        <v>0.13120000000000001</v>
      </c>
      <c r="N27" s="11">
        <v>133709</v>
      </c>
      <c r="O27" s="11">
        <v>136000</v>
      </c>
      <c r="P27" s="14">
        <f t="shared" si="0"/>
        <v>-1.684558823529414E-2</v>
      </c>
    </row>
    <row r="28" spans="2:16">
      <c r="B28" s="11">
        <f>MONTH(A8)</f>
        <v>7</v>
      </c>
      <c r="C28" s="11" t="s">
        <v>55</v>
      </c>
      <c r="D28" s="11" t="s">
        <v>53</v>
      </c>
      <c r="E28" s="13">
        <f t="shared" ref="E28:F28" si="40">E29+E24</f>
        <v>47798</v>
      </c>
      <c r="F28" s="13">
        <f t="shared" si="40"/>
        <v>51820</v>
      </c>
      <c r="G28" s="14">
        <f>(E28/F28)-100%</f>
        <v>-7.7614820532612927E-2</v>
      </c>
      <c r="H28" s="13">
        <f t="shared" ref="H28:I28" si="41">H29+H24</f>
        <v>32584</v>
      </c>
      <c r="I28" s="13">
        <f t="shared" si="41"/>
        <v>48963</v>
      </c>
      <c r="J28" s="14">
        <f>(H28/I28)-100%</f>
        <v>-0.33451790127238934</v>
      </c>
      <c r="K28" s="13">
        <f t="shared" ref="K28:L28" si="42">K29+K24</f>
        <v>42981.697</v>
      </c>
      <c r="L28" s="13">
        <f t="shared" si="42"/>
        <v>34436.638999999996</v>
      </c>
      <c r="M28" s="14">
        <f>(K28/L28)-100%</f>
        <v>0.24813855963121156</v>
      </c>
      <c r="N28" s="11">
        <v>40248</v>
      </c>
      <c r="O28" s="11">
        <v>49690</v>
      </c>
      <c r="P28" s="14">
        <f t="shared" si="0"/>
        <v>-0.19001811229623666</v>
      </c>
    </row>
    <row r="29" spans="2:16">
      <c r="B29" s="11">
        <f t="shared" ref="B29:B30" si="43">MONTH(A8)</f>
        <v>7</v>
      </c>
      <c r="C29" s="11" t="s">
        <v>56</v>
      </c>
      <c r="D29" s="11" t="s">
        <v>53</v>
      </c>
      <c r="E29" s="13">
        <v>5500</v>
      </c>
      <c r="F29" s="13">
        <v>6216</v>
      </c>
      <c r="G29" s="14">
        <v>-0.1152</v>
      </c>
      <c r="H29" s="13">
        <v>2464</v>
      </c>
      <c r="I29" s="13">
        <v>5874</v>
      </c>
      <c r="J29" s="14">
        <v>-0.58050000000000002</v>
      </c>
      <c r="K29" s="13">
        <v>5338</v>
      </c>
      <c r="L29" s="13">
        <v>6228</v>
      </c>
      <c r="M29" s="14">
        <v>-0.1429</v>
      </c>
      <c r="N29" s="11">
        <v>5909</v>
      </c>
      <c r="O29" s="11">
        <v>4923</v>
      </c>
      <c r="P29" s="14">
        <f t="shared" si="0"/>
        <v>0.20028437944342881</v>
      </c>
    </row>
    <row r="30" spans="2:16">
      <c r="B30" s="11">
        <f t="shared" si="43"/>
        <v>8</v>
      </c>
      <c r="C30" s="11" t="s">
        <v>52</v>
      </c>
      <c r="D30" s="11" t="s">
        <v>53</v>
      </c>
      <c r="E30" s="13">
        <f t="shared" ref="E30:F30" si="44">E31+E26</f>
        <v>857743</v>
      </c>
      <c r="F30" s="13">
        <f t="shared" si="44"/>
        <v>913249</v>
      </c>
      <c r="G30" s="14">
        <f>(E30/F30)-100%</f>
        <v>-6.0778604739780695E-2</v>
      </c>
      <c r="H30" s="13">
        <f t="shared" ref="H30:I30" si="45">H31+H26</f>
        <v>889888</v>
      </c>
      <c r="I30" s="13">
        <f t="shared" si="45"/>
        <v>855958</v>
      </c>
      <c r="J30" s="14">
        <f>(H30/I30)-100%</f>
        <v>3.9639795410522538E-2</v>
      </c>
      <c r="K30" s="13">
        <f t="shared" ref="K30:L30" si="46">K31+K26</f>
        <v>876727.59000000008</v>
      </c>
      <c r="L30" s="13">
        <f t="shared" si="46"/>
        <v>751059.179</v>
      </c>
      <c r="M30" s="14">
        <f>(K30/L30)-100%</f>
        <v>0.16732158332359592</v>
      </c>
      <c r="N30" s="13">
        <v>988526</v>
      </c>
      <c r="O30" s="17">
        <v>1005108</v>
      </c>
      <c r="P30" s="14">
        <f t="shared" si="0"/>
        <v>-1.6497729597217403E-2</v>
      </c>
    </row>
    <row r="31" spans="2:16">
      <c r="B31" s="11">
        <f>MONTH(A9)</f>
        <v>8</v>
      </c>
      <c r="C31" s="11" t="s">
        <v>54</v>
      </c>
      <c r="D31" s="11" t="s">
        <v>53</v>
      </c>
      <c r="E31" s="13">
        <v>125414</v>
      </c>
      <c r="F31" s="13">
        <v>120712</v>
      </c>
      <c r="G31" s="14">
        <v>3.9E-2</v>
      </c>
      <c r="H31" s="13">
        <v>115017</v>
      </c>
      <c r="I31" s="13">
        <v>109822</v>
      </c>
      <c r="J31" s="14">
        <v>4.7300000000000002E-2</v>
      </c>
      <c r="K31" s="13">
        <v>135747</v>
      </c>
      <c r="L31" s="13">
        <v>115563</v>
      </c>
      <c r="M31" s="14">
        <v>0.17469999999999999</v>
      </c>
      <c r="N31" s="13">
        <v>120637</v>
      </c>
      <c r="O31" s="18">
        <v>138302</v>
      </c>
      <c r="P31" s="14">
        <f t="shared" si="0"/>
        <v>-0.12772772628016948</v>
      </c>
    </row>
    <row r="32" spans="2:16">
      <c r="B32" s="11">
        <f>MONTH(A9)</f>
        <v>8</v>
      </c>
      <c r="C32" s="11" t="s">
        <v>55</v>
      </c>
      <c r="D32" s="11" t="s">
        <v>53</v>
      </c>
      <c r="E32" s="13">
        <f t="shared" ref="E32:F32" si="47">E33+E28</f>
        <v>54527</v>
      </c>
      <c r="F32" s="13">
        <f t="shared" si="47"/>
        <v>57474</v>
      </c>
      <c r="G32" s="14">
        <f>(E32/F32)-100%</f>
        <v>-5.1275359292897615E-2</v>
      </c>
      <c r="H32" s="13">
        <f t="shared" ref="H32:I32" si="48">H33+H28</f>
        <v>40315</v>
      </c>
      <c r="I32" s="13">
        <f t="shared" si="48"/>
        <v>54307</v>
      </c>
      <c r="J32" s="14">
        <f>(H32/I32)-100%</f>
        <v>-0.25764634393356289</v>
      </c>
      <c r="K32" s="13">
        <f t="shared" ref="K32:L32" si="49">K33+K28</f>
        <v>48905.697</v>
      </c>
      <c r="L32" s="13">
        <f t="shared" si="49"/>
        <v>40752.638999999996</v>
      </c>
      <c r="M32" s="14">
        <f>(K32/L32)-100%</f>
        <v>0.20006208677676085</v>
      </c>
      <c r="N32" s="13">
        <v>44098</v>
      </c>
      <c r="O32" s="17">
        <v>58629</v>
      </c>
      <c r="P32" s="14">
        <f t="shared" si="0"/>
        <v>-0.24784662880144637</v>
      </c>
    </row>
    <row r="33" spans="1:27">
      <c r="B33" s="11">
        <f t="shared" ref="B33:B34" si="50">MONTH(A9)</f>
        <v>8</v>
      </c>
      <c r="C33" s="11" t="s">
        <v>56</v>
      </c>
      <c r="D33" s="11" t="s">
        <v>53</v>
      </c>
      <c r="E33" s="13">
        <v>6729</v>
      </c>
      <c r="F33" s="13">
        <v>5654</v>
      </c>
      <c r="G33" s="14">
        <v>0.19009999999999999</v>
      </c>
      <c r="H33" s="13">
        <v>7731</v>
      </c>
      <c r="I33" s="13">
        <v>5344</v>
      </c>
      <c r="J33" s="14">
        <v>0.44669999999999999</v>
      </c>
      <c r="K33" s="13">
        <v>5924</v>
      </c>
      <c r="L33" s="13">
        <v>6316</v>
      </c>
      <c r="M33" s="14">
        <v>-6.2100000000000002E-2</v>
      </c>
      <c r="N33" s="13">
        <v>3850</v>
      </c>
      <c r="O33" s="18">
        <v>8939</v>
      </c>
      <c r="P33" s="14">
        <f t="shared" si="0"/>
        <v>-0.56930305403288961</v>
      </c>
    </row>
    <row r="34" spans="1:27">
      <c r="A34" s="19"/>
      <c r="B34" s="19">
        <f t="shared" si="50"/>
        <v>9</v>
      </c>
      <c r="C34" s="19" t="s">
        <v>52</v>
      </c>
      <c r="D34" s="19" t="s">
        <v>53</v>
      </c>
      <c r="E34" s="20">
        <f t="shared" ref="E34:F34" si="51">E35+E30</f>
        <v>955694</v>
      </c>
      <c r="F34" s="20">
        <f t="shared" si="51"/>
        <v>1018528</v>
      </c>
      <c r="G34" s="21">
        <f>(E34/F34)-100%</f>
        <v>-6.1690989349335479E-2</v>
      </c>
      <c r="H34" s="20">
        <f t="shared" ref="H34:I34" si="52">H35+H30</f>
        <v>1009618</v>
      </c>
      <c r="I34" s="20">
        <f t="shared" si="52"/>
        <v>967989</v>
      </c>
      <c r="J34" s="21">
        <f>(H34/I34)-100%</f>
        <v>4.3005653989869774E-2</v>
      </c>
      <c r="K34" s="20">
        <f t="shared" ref="K34:L34" si="53">K35+K30</f>
        <v>1007075.5900000001</v>
      </c>
      <c r="L34" s="20">
        <f t="shared" si="53"/>
        <v>868220.179</v>
      </c>
      <c r="M34" s="21">
        <f>(K34/L34)-100%</f>
        <v>0.15993110314474746</v>
      </c>
      <c r="N34" s="20">
        <v>1115827</v>
      </c>
      <c r="O34" s="20">
        <v>1130209</v>
      </c>
      <c r="P34" s="14">
        <f t="shared" si="0"/>
        <v>-1.2725080051565696E-2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>
      <c r="A35" s="19"/>
      <c r="B35" s="19">
        <f>MONTH(A10)</f>
        <v>9</v>
      </c>
      <c r="C35" s="19" t="s">
        <v>54</v>
      </c>
      <c r="D35" s="19" t="s">
        <v>53</v>
      </c>
      <c r="E35" s="20">
        <v>97951</v>
      </c>
      <c r="F35" s="20">
        <v>105279</v>
      </c>
      <c r="G35" s="21">
        <v>-6.9599999999999995E-2</v>
      </c>
      <c r="H35" s="20">
        <v>119730</v>
      </c>
      <c r="I35" s="20">
        <v>112031</v>
      </c>
      <c r="J35" s="21">
        <v>6.8699999999999997E-2</v>
      </c>
      <c r="K35" s="20">
        <v>130348</v>
      </c>
      <c r="L35" s="20">
        <v>117161</v>
      </c>
      <c r="M35" s="22">
        <v>0.11260000000000001</v>
      </c>
      <c r="N35" s="20">
        <v>127302</v>
      </c>
      <c r="O35" s="20">
        <v>125101</v>
      </c>
      <c r="P35" s="14">
        <f t="shared" si="0"/>
        <v>1.7593784222348363E-2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>
      <c r="A36" s="19"/>
      <c r="B36" s="19">
        <f>MONTH(A10)</f>
        <v>9</v>
      </c>
      <c r="C36" s="19" t="s">
        <v>55</v>
      </c>
      <c r="D36" s="19" t="s">
        <v>53</v>
      </c>
      <c r="E36" s="20">
        <f t="shared" ref="E36:F36" si="54">E37+E32</f>
        <v>58974</v>
      </c>
      <c r="F36" s="20">
        <f t="shared" si="54"/>
        <v>64904</v>
      </c>
      <c r="G36" s="21">
        <f>(E36/F36)-100%</f>
        <v>-9.1365709355355595E-2</v>
      </c>
      <c r="H36" s="20">
        <f t="shared" ref="H36:I36" si="55">H37+H32</f>
        <v>47970</v>
      </c>
      <c r="I36" s="20">
        <f t="shared" si="55"/>
        <v>61330</v>
      </c>
      <c r="J36" s="21">
        <f>(H36/I36)-100%</f>
        <v>-0.21783792597423768</v>
      </c>
      <c r="K36" s="20">
        <f t="shared" ref="K36:L36" si="56">K37+K32</f>
        <v>54787.697</v>
      </c>
      <c r="L36" s="20">
        <f t="shared" si="56"/>
        <v>47155.638999999996</v>
      </c>
      <c r="M36" s="21">
        <f>(K36/L36)-100%</f>
        <v>0.16184825742685849</v>
      </c>
      <c r="N36" s="20">
        <v>47883</v>
      </c>
      <c r="O36" s="20">
        <v>66110</v>
      </c>
      <c r="P36" s="14">
        <f t="shared" si="0"/>
        <v>-0.27570715474209651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>
      <c r="A37" s="19"/>
      <c r="B37" s="19">
        <f t="shared" ref="B37:B38" si="57">MONTH(A10)</f>
        <v>9</v>
      </c>
      <c r="C37" s="19" t="s">
        <v>56</v>
      </c>
      <c r="D37" s="19" t="s">
        <v>53</v>
      </c>
      <c r="E37" s="20">
        <v>4447</v>
      </c>
      <c r="F37" s="20">
        <v>7430</v>
      </c>
      <c r="G37" s="21">
        <v>-0.40150000000000002</v>
      </c>
      <c r="H37" s="20">
        <v>7655</v>
      </c>
      <c r="I37" s="20">
        <v>7023</v>
      </c>
      <c r="J37" s="21">
        <v>0.09</v>
      </c>
      <c r="K37" s="20">
        <v>5882</v>
      </c>
      <c r="L37" s="20">
        <v>6403</v>
      </c>
      <c r="M37" s="22">
        <v>-8.14E-2</v>
      </c>
      <c r="N37" s="20">
        <v>3785</v>
      </c>
      <c r="O37" s="20">
        <v>7481</v>
      </c>
      <c r="P37" s="14">
        <f t="shared" si="0"/>
        <v>-0.49405159738002946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>
      <c r="B38" s="11">
        <f t="shared" si="57"/>
        <v>10</v>
      </c>
      <c r="C38" s="11" t="s">
        <v>52</v>
      </c>
      <c r="D38" s="11" t="s">
        <v>53</v>
      </c>
      <c r="E38" s="13">
        <f t="shared" ref="E38:F38" si="58">E39+E34</f>
        <v>1069456</v>
      </c>
      <c r="F38" s="13">
        <f t="shared" si="58"/>
        <v>1137223</v>
      </c>
      <c r="G38" s="14">
        <f>(E38/F38)-100%</f>
        <v>-5.9589895737247711E-2</v>
      </c>
      <c r="H38" s="13">
        <f t="shared" ref="H38:I38" si="59">H39+H34</f>
        <v>1138338</v>
      </c>
      <c r="I38" s="13">
        <f t="shared" si="59"/>
        <v>1080949</v>
      </c>
      <c r="J38" s="14">
        <f>(H38/I38)-100%</f>
        <v>5.309131143097412E-2</v>
      </c>
      <c r="K38" s="13">
        <f t="shared" ref="K38:L38" si="60">K39+K34</f>
        <v>1144012.5900000001</v>
      </c>
      <c r="L38" s="13">
        <f t="shared" si="60"/>
        <v>987644.179</v>
      </c>
      <c r="M38" s="14">
        <f>(K38/L38)-100%</f>
        <v>0.1583246419356461</v>
      </c>
      <c r="N38" s="13">
        <v>1253933</v>
      </c>
      <c r="O38" s="13">
        <v>1269586</v>
      </c>
      <c r="P38" s="14">
        <f t="shared" si="0"/>
        <v>-1.2329215980642516E-2</v>
      </c>
    </row>
    <row r="39" spans="1:27">
      <c r="B39" s="11">
        <f>MONTH(A11)</f>
        <v>10</v>
      </c>
      <c r="C39" s="11" t="s">
        <v>54</v>
      </c>
      <c r="D39" s="11" t="s">
        <v>53</v>
      </c>
      <c r="E39" s="13">
        <v>113762</v>
      </c>
      <c r="F39" s="13">
        <v>118695</v>
      </c>
      <c r="G39" s="14">
        <v>-4.1599999999999998E-2</v>
      </c>
      <c r="H39" s="13">
        <v>128720</v>
      </c>
      <c r="I39" s="13">
        <v>112960</v>
      </c>
      <c r="J39" s="14">
        <v>0.13950000000000001</v>
      </c>
      <c r="K39" s="13">
        <v>136937</v>
      </c>
      <c r="L39" s="13">
        <v>119424</v>
      </c>
      <c r="M39" s="14">
        <v>0.14660000000000001</v>
      </c>
      <c r="N39" s="13">
        <v>138106</v>
      </c>
      <c r="O39" s="13">
        <v>139377</v>
      </c>
      <c r="P39" s="14">
        <f t="shared" si="0"/>
        <v>-9.1191516534291361E-3</v>
      </c>
    </row>
    <row r="40" spans="1:27">
      <c r="B40" s="11">
        <f>MONTH(A11)</f>
        <v>10</v>
      </c>
      <c r="C40" s="11" t="s">
        <v>55</v>
      </c>
      <c r="D40" s="11" t="s">
        <v>53</v>
      </c>
      <c r="E40" s="13">
        <f t="shared" ref="E40:F40" si="61">E41+E36</f>
        <v>62749</v>
      </c>
      <c r="F40" s="13">
        <f t="shared" si="61"/>
        <v>73144</v>
      </c>
      <c r="G40" s="14">
        <f>(E40/F40)-100%</f>
        <v>-0.14211692004812426</v>
      </c>
      <c r="H40" s="13">
        <f t="shared" ref="H40:I40" si="62">H41+H36</f>
        <v>55251</v>
      </c>
      <c r="I40" s="13">
        <f t="shared" si="62"/>
        <v>69116</v>
      </c>
      <c r="J40" s="14">
        <f>(H40/I40)-100%</f>
        <v>-0.20060478036923435</v>
      </c>
      <c r="K40" s="13">
        <f t="shared" ref="K40:L40" si="63">K41+K36</f>
        <v>61043.697</v>
      </c>
      <c r="L40" s="13">
        <f t="shared" si="63"/>
        <v>53682.638999999996</v>
      </c>
      <c r="M40" s="14">
        <f>(K40/L40)-100%</f>
        <v>0.13712176109673013</v>
      </c>
      <c r="N40" s="13">
        <v>53140</v>
      </c>
      <c r="O40" s="13">
        <v>72945</v>
      </c>
      <c r="P40" s="14">
        <f t="shared" si="0"/>
        <v>-0.27150592912468297</v>
      </c>
    </row>
    <row r="41" spans="1:27">
      <c r="B41" s="11">
        <f t="shared" ref="B41:B42" si="64">MONTH(A11)</f>
        <v>10</v>
      </c>
      <c r="C41" s="11" t="s">
        <v>56</v>
      </c>
      <c r="D41" s="11" t="s">
        <v>53</v>
      </c>
      <c r="E41" s="13">
        <v>3775</v>
      </c>
      <c r="F41" s="13">
        <v>8240</v>
      </c>
      <c r="G41" s="14">
        <v>-0.54190000000000005</v>
      </c>
      <c r="H41" s="13">
        <v>7281</v>
      </c>
      <c r="I41" s="13">
        <v>7786</v>
      </c>
      <c r="J41" s="14">
        <v>-6.4899999999999999E-2</v>
      </c>
      <c r="K41" s="13">
        <v>6256</v>
      </c>
      <c r="L41" s="13">
        <v>6527</v>
      </c>
      <c r="M41" s="14">
        <v>-4.1500000000000002E-2</v>
      </c>
      <c r="N41" s="13">
        <v>5257</v>
      </c>
      <c r="O41" s="13">
        <v>6835</v>
      </c>
      <c r="P41" s="14">
        <f t="shared" si="0"/>
        <v>-0.23087051938551573</v>
      </c>
    </row>
    <row r="42" spans="1:27">
      <c r="B42" s="11">
        <f t="shared" si="64"/>
        <v>11</v>
      </c>
      <c r="C42" s="11" t="s">
        <v>52</v>
      </c>
      <c r="D42" s="11" t="s">
        <v>53</v>
      </c>
      <c r="E42" s="13">
        <f t="shared" ref="E42:F42" si="65">E43+E38</f>
        <v>1177617</v>
      </c>
      <c r="F42" s="13">
        <f t="shared" si="65"/>
        <v>1252475</v>
      </c>
      <c r="G42" s="14">
        <f>(E42/F42)-100%</f>
        <v>-5.9768059242699456E-2</v>
      </c>
      <c r="H42" s="13">
        <f t="shared" ref="H42:I42" si="66">H43+H38</f>
        <v>1251167</v>
      </c>
      <c r="I42" s="13">
        <f t="shared" si="66"/>
        <v>1194431</v>
      </c>
      <c r="J42" s="14">
        <f>(H42/I42)-100%</f>
        <v>4.7500441632877921E-2</v>
      </c>
      <c r="K42" s="13">
        <f t="shared" ref="K42:L42" si="67">K43+K38</f>
        <v>1265717.5900000001</v>
      </c>
      <c r="L42" s="13">
        <f t="shared" si="67"/>
        <v>1108666.179</v>
      </c>
      <c r="M42" s="14">
        <f>(K42/L42)-100%</f>
        <v>0.14165797962887083</v>
      </c>
      <c r="N42" s="13">
        <v>1379296</v>
      </c>
      <c r="O42" s="13">
        <v>1396683</v>
      </c>
      <c r="P42" s="14">
        <f t="shared" si="0"/>
        <v>-1.2448780431923323E-2</v>
      </c>
    </row>
    <row r="43" spans="1:27">
      <c r="B43" s="11">
        <f>MONTH(A12)</f>
        <v>11</v>
      </c>
      <c r="C43" s="11" t="s">
        <v>54</v>
      </c>
      <c r="D43" s="11" t="s">
        <v>53</v>
      </c>
      <c r="E43" s="13">
        <v>108161</v>
      </c>
      <c r="F43" s="13">
        <v>115252</v>
      </c>
      <c r="G43" s="14">
        <v>-6.1499999999999999E-2</v>
      </c>
      <c r="H43" s="13">
        <v>112829</v>
      </c>
      <c r="I43" s="13">
        <v>113482</v>
      </c>
      <c r="J43" s="14">
        <v>-5.7999999999999996E-3</v>
      </c>
      <c r="K43" s="13">
        <v>121705</v>
      </c>
      <c r="L43" s="13">
        <v>121022</v>
      </c>
      <c r="M43" s="14">
        <v>5.5999999999999999E-3</v>
      </c>
      <c r="N43" s="13">
        <v>125364</v>
      </c>
      <c r="O43" s="13">
        <v>127097</v>
      </c>
      <c r="P43" s="14">
        <f t="shared" si="0"/>
        <v>-1.363525496274498E-2</v>
      </c>
    </row>
    <row r="44" spans="1:27">
      <c r="B44" s="11">
        <f>MONTH(A12)</f>
        <v>11</v>
      </c>
      <c r="C44" s="11" t="s">
        <v>55</v>
      </c>
      <c r="D44" s="11" t="s">
        <v>53</v>
      </c>
      <c r="E44" s="13">
        <f t="shared" ref="E44:F44" si="68">E45+E40</f>
        <v>67740</v>
      </c>
      <c r="F44" s="13">
        <f t="shared" si="68"/>
        <v>80241</v>
      </c>
      <c r="G44" s="14">
        <f>(E44/F44)-100%</f>
        <v>-0.15579317306613827</v>
      </c>
      <c r="H44" s="13">
        <f t="shared" ref="H44:I44" si="69">H45+H40</f>
        <v>63824</v>
      </c>
      <c r="I44" s="13">
        <f t="shared" si="69"/>
        <v>75823</v>
      </c>
      <c r="J44" s="14">
        <f>(H44/I44)-100%</f>
        <v>-0.1582501351832557</v>
      </c>
      <c r="K44" s="13">
        <f t="shared" ref="K44:L44" si="70">K45+K40</f>
        <v>66054.697</v>
      </c>
      <c r="L44" s="13">
        <f t="shared" si="70"/>
        <v>60296.638999999996</v>
      </c>
      <c r="M44" s="14">
        <f>(K44/L44)-100%</f>
        <v>9.5495505147475956E-2</v>
      </c>
      <c r="N44" s="13">
        <v>60494</v>
      </c>
      <c r="O44" s="13">
        <v>81330</v>
      </c>
      <c r="P44" s="14">
        <f t="shared" si="0"/>
        <v>-0.25619082749292998</v>
      </c>
    </row>
    <row r="45" spans="1:27">
      <c r="B45" s="11">
        <f t="shared" ref="B45:B46" si="71">MONTH(A12)</f>
        <v>11</v>
      </c>
      <c r="C45" s="11" t="s">
        <v>56</v>
      </c>
      <c r="D45" s="11" t="s">
        <v>53</v>
      </c>
      <c r="E45" s="13">
        <v>4991</v>
      </c>
      <c r="F45" s="13">
        <v>7097</v>
      </c>
      <c r="G45" s="14">
        <v>-0.29670000000000002</v>
      </c>
      <c r="H45" s="13">
        <v>8573</v>
      </c>
      <c r="I45" s="13">
        <v>6707</v>
      </c>
      <c r="J45" s="14">
        <v>-5.7999999999999996E-3</v>
      </c>
      <c r="K45" s="13">
        <v>5011</v>
      </c>
      <c r="L45" s="13">
        <v>6614</v>
      </c>
      <c r="M45" s="14">
        <v>-0.2424</v>
      </c>
      <c r="N45" s="13">
        <v>7354</v>
      </c>
      <c r="O45" s="13">
        <v>8385</v>
      </c>
      <c r="P45" s="14">
        <f t="shared" si="0"/>
        <v>-0.12295766249254625</v>
      </c>
    </row>
    <row r="46" spans="1:27">
      <c r="B46" s="11">
        <f t="shared" si="71"/>
        <v>12</v>
      </c>
      <c r="C46" s="11" t="s">
        <v>52</v>
      </c>
      <c r="D46" s="11" t="s">
        <v>53</v>
      </c>
      <c r="E46" s="13">
        <f t="shared" ref="E46:F46" si="72">E47+E42</f>
        <v>1293496</v>
      </c>
      <c r="F46" s="13">
        <f t="shared" si="72"/>
        <v>1373153</v>
      </c>
      <c r="G46" s="14">
        <f>(E46/F46)-100%</f>
        <v>-5.8010287273158934E-2</v>
      </c>
      <c r="H46" s="13">
        <f t="shared" ref="H46:I46" si="73">H47+H42</f>
        <v>1375929</v>
      </c>
      <c r="I46" s="13">
        <f t="shared" si="73"/>
        <v>1307402</v>
      </c>
      <c r="J46" s="14">
        <f>(H46/I46)-100%</f>
        <v>5.2414636049202823E-2</v>
      </c>
      <c r="K46" s="13">
        <v>1508743</v>
      </c>
      <c r="L46" s="13">
        <v>1336985</v>
      </c>
      <c r="M46" s="14">
        <f t="shared" ref="M46:M49" si="74">(K46/L46)-100%</f>
        <v>0.12846666192964018</v>
      </c>
      <c r="N46" s="13">
        <v>1509592</v>
      </c>
      <c r="O46" s="13">
        <v>1534984</v>
      </c>
      <c r="P46" s="14">
        <f t="shared" si="0"/>
        <v>-1.6542191970730591E-2</v>
      </c>
    </row>
    <row r="47" spans="1:27">
      <c r="B47" s="11">
        <f>MONTH(A13)</f>
        <v>12</v>
      </c>
      <c r="C47" s="11" t="s">
        <v>54</v>
      </c>
      <c r="D47" s="11" t="s">
        <v>53</v>
      </c>
      <c r="E47" s="13">
        <v>115879</v>
      </c>
      <c r="F47" s="13">
        <v>120678</v>
      </c>
      <c r="G47" s="14">
        <v>-3.9800000000000002E-2</v>
      </c>
      <c r="H47" s="13">
        <v>124762</v>
      </c>
      <c r="I47" s="13">
        <v>112971</v>
      </c>
      <c r="J47" s="14">
        <v>0.10440000000000001</v>
      </c>
      <c r="K47" s="13">
        <v>141540</v>
      </c>
      <c r="L47" s="13">
        <v>125243</v>
      </c>
      <c r="M47" s="14">
        <f t="shared" si="74"/>
        <v>0.13012304080866799</v>
      </c>
      <c r="N47" s="13">
        <v>130295</v>
      </c>
      <c r="O47" s="13">
        <v>83315</v>
      </c>
      <c r="P47" s="14">
        <f t="shared" si="0"/>
        <v>0.56388405449198831</v>
      </c>
    </row>
    <row r="48" spans="1:27">
      <c r="B48" s="11">
        <f>MONTH(A13)</f>
        <v>12</v>
      </c>
      <c r="C48" s="11" t="s">
        <v>55</v>
      </c>
      <c r="D48" s="11" t="s">
        <v>53</v>
      </c>
      <c r="E48" s="13">
        <f t="shared" ref="E48:F48" si="75">E49+E44</f>
        <v>183619</v>
      </c>
      <c r="F48" s="13">
        <f t="shared" si="75"/>
        <v>200919</v>
      </c>
      <c r="G48" s="14">
        <f>(E48/F48)-100%</f>
        <v>-8.6104350509409233E-2</v>
      </c>
      <c r="H48" s="13">
        <f t="shared" ref="H48:I48" si="76">H49+H44</f>
        <v>73714</v>
      </c>
      <c r="I48" s="13">
        <f t="shared" si="76"/>
        <v>83451</v>
      </c>
      <c r="J48" s="14">
        <f>(H48/I48)-100%</f>
        <v>-0.11667924890055237</v>
      </c>
      <c r="K48" s="13">
        <v>76031</v>
      </c>
      <c r="L48" s="13">
        <v>72774</v>
      </c>
      <c r="M48" s="14">
        <f t="shared" si="74"/>
        <v>4.4754994915766622E-2</v>
      </c>
      <c r="N48" s="13">
        <v>68265</v>
      </c>
      <c r="O48" s="13">
        <v>90506</v>
      </c>
      <c r="P48" s="14">
        <f t="shared" si="0"/>
        <v>-0.24574061388195256</v>
      </c>
    </row>
    <row r="49" spans="2:16">
      <c r="B49" s="11">
        <f>MONTH(A13)</f>
        <v>12</v>
      </c>
      <c r="C49" s="11" t="s">
        <v>56</v>
      </c>
      <c r="D49" s="11" t="s">
        <v>53</v>
      </c>
      <c r="E49" s="13">
        <v>115879</v>
      </c>
      <c r="F49" s="13">
        <v>120678</v>
      </c>
      <c r="G49" s="14">
        <v>-3.9800000000000002E-2</v>
      </c>
      <c r="H49" s="13">
        <v>9890</v>
      </c>
      <c r="I49" s="13">
        <v>7628</v>
      </c>
      <c r="J49" s="14">
        <v>0.29649999999999999</v>
      </c>
      <c r="K49" s="13">
        <v>6283</v>
      </c>
      <c r="L49" s="13">
        <v>6844</v>
      </c>
      <c r="M49" s="14">
        <f t="shared" si="74"/>
        <v>-8.1969608416130879E-2</v>
      </c>
      <c r="N49" s="13">
        <v>7771</v>
      </c>
      <c r="O49" s="13">
        <v>9176</v>
      </c>
      <c r="P49" s="14">
        <f t="shared" si="0"/>
        <v>-0.15311682650392333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3"/>
  <sheetViews>
    <sheetView workbookViewId="0"/>
  </sheetViews>
  <sheetFormatPr defaultColWidth="12.5703125" defaultRowHeight="15.75" customHeight="1"/>
  <sheetData>
    <row r="1" spans="1:5">
      <c r="A1" s="11" t="s">
        <v>57</v>
      </c>
      <c r="B1" s="11" t="s">
        <v>1</v>
      </c>
      <c r="C1" s="11" t="s">
        <v>2</v>
      </c>
      <c r="D1" s="11" t="s">
        <v>4</v>
      </c>
      <c r="E1" s="11" t="s">
        <v>58</v>
      </c>
    </row>
    <row r="2" spans="1:5">
      <c r="A2" s="12">
        <v>44562</v>
      </c>
      <c r="B2" s="11">
        <f t="shared" ref="B2:B29" si="0">YEAR(A2)</f>
        <v>2022</v>
      </c>
      <c r="C2" s="11">
        <f t="shared" ref="C2:C29" si="1">MONTH(A2)</f>
        <v>1</v>
      </c>
      <c r="D2" s="13">
        <v>95784</v>
      </c>
      <c r="E2" s="11" t="s">
        <v>59</v>
      </c>
    </row>
    <row r="3" spans="1:5">
      <c r="A3" s="12">
        <v>44593</v>
      </c>
      <c r="B3" s="11">
        <f t="shared" si="0"/>
        <v>2022</v>
      </c>
      <c r="C3" s="11">
        <f t="shared" si="1"/>
        <v>2</v>
      </c>
      <c r="D3" s="23">
        <v>116266.75</v>
      </c>
      <c r="E3" s="11" t="s">
        <v>59</v>
      </c>
    </row>
    <row r="4" spans="1:5">
      <c r="A4" s="12">
        <v>44621</v>
      </c>
      <c r="B4" s="11">
        <f t="shared" si="0"/>
        <v>2022</v>
      </c>
      <c r="C4" s="11">
        <f t="shared" si="1"/>
        <v>3</v>
      </c>
      <c r="D4" s="23">
        <v>99208.75</v>
      </c>
      <c r="E4" s="11" t="s">
        <v>59</v>
      </c>
    </row>
    <row r="5" spans="1:5">
      <c r="A5" s="12">
        <v>44652</v>
      </c>
      <c r="B5" s="11">
        <f t="shared" si="0"/>
        <v>2022</v>
      </c>
      <c r="C5" s="11">
        <f t="shared" si="1"/>
        <v>4</v>
      </c>
      <c r="D5" s="23">
        <v>105519</v>
      </c>
      <c r="E5" s="11" t="s">
        <v>59</v>
      </c>
    </row>
    <row r="6" spans="1:5">
      <c r="A6" s="12">
        <v>44682</v>
      </c>
      <c r="B6" s="11">
        <f t="shared" si="0"/>
        <v>2022</v>
      </c>
      <c r="C6" s="11">
        <f t="shared" si="1"/>
        <v>5</v>
      </c>
      <c r="D6" s="23">
        <v>99338.25</v>
      </c>
      <c r="E6" s="11" t="s">
        <v>59</v>
      </c>
    </row>
    <row r="7" spans="1:5">
      <c r="A7" s="12">
        <v>44713</v>
      </c>
      <c r="B7" s="11">
        <f t="shared" si="0"/>
        <v>2022</v>
      </c>
      <c r="C7" s="11">
        <f t="shared" si="1"/>
        <v>6</v>
      </c>
      <c r="D7" s="23">
        <v>109829</v>
      </c>
      <c r="E7" s="11" t="s">
        <v>59</v>
      </c>
    </row>
    <row r="8" spans="1:5">
      <c r="A8" s="12">
        <v>44743</v>
      </c>
      <c r="B8" s="11">
        <f t="shared" si="0"/>
        <v>2022</v>
      </c>
      <c r="C8" s="11">
        <f t="shared" si="1"/>
        <v>7</v>
      </c>
      <c r="D8" s="23">
        <v>106382.5</v>
      </c>
      <c r="E8" s="11" t="s">
        <v>59</v>
      </c>
    </row>
    <row r="9" spans="1:5">
      <c r="A9" s="12">
        <v>44774</v>
      </c>
      <c r="B9" s="11">
        <f t="shared" si="0"/>
        <v>2022</v>
      </c>
      <c r="C9" s="11">
        <f t="shared" si="1"/>
        <v>8</v>
      </c>
      <c r="D9" s="23">
        <v>125414.25</v>
      </c>
      <c r="E9" s="11" t="s">
        <v>59</v>
      </c>
    </row>
    <row r="10" spans="1:5">
      <c r="A10" s="12">
        <v>44805</v>
      </c>
      <c r="B10" s="11">
        <f t="shared" si="0"/>
        <v>2022</v>
      </c>
      <c r="C10" s="11">
        <f t="shared" si="1"/>
        <v>9</v>
      </c>
      <c r="D10" s="23">
        <v>97950.5</v>
      </c>
      <c r="E10" s="11" t="s">
        <v>59</v>
      </c>
    </row>
    <row r="11" spans="1:5">
      <c r="A11" s="12">
        <v>44835</v>
      </c>
      <c r="B11" s="11">
        <f t="shared" si="0"/>
        <v>2022</v>
      </c>
      <c r="C11" s="11">
        <f t="shared" si="1"/>
        <v>10</v>
      </c>
      <c r="D11" s="23">
        <v>113761.75</v>
      </c>
      <c r="E11" s="11" t="s">
        <v>59</v>
      </c>
    </row>
    <row r="12" spans="1:5">
      <c r="A12" s="12">
        <v>44866</v>
      </c>
      <c r="B12" s="11">
        <f t="shared" si="0"/>
        <v>2022</v>
      </c>
      <c r="C12" s="11">
        <f t="shared" si="1"/>
        <v>11</v>
      </c>
      <c r="D12" s="23">
        <v>108161.25</v>
      </c>
      <c r="E12" s="11" t="s">
        <v>59</v>
      </c>
    </row>
    <row r="13" spans="1:5">
      <c r="A13" s="12">
        <v>44896</v>
      </c>
      <c r="B13" s="11">
        <f t="shared" si="0"/>
        <v>2022</v>
      </c>
      <c r="C13" s="11">
        <f t="shared" si="1"/>
        <v>12</v>
      </c>
      <c r="D13" s="23">
        <v>115879</v>
      </c>
      <c r="E13" s="11" t="s">
        <v>59</v>
      </c>
    </row>
    <row r="14" spans="1:5">
      <c r="A14" s="12">
        <v>44927</v>
      </c>
      <c r="B14" s="11">
        <f t="shared" si="0"/>
        <v>2023</v>
      </c>
      <c r="C14" s="11">
        <f t="shared" si="1"/>
        <v>1</v>
      </c>
      <c r="D14" s="23">
        <v>98611.25</v>
      </c>
      <c r="E14" s="11" t="s">
        <v>59</v>
      </c>
    </row>
    <row r="15" spans="1:5">
      <c r="A15" s="12">
        <v>44958</v>
      </c>
      <c r="B15" s="11">
        <f t="shared" si="0"/>
        <v>2023</v>
      </c>
      <c r="C15" s="11">
        <f t="shared" si="1"/>
        <v>2</v>
      </c>
      <c r="D15" s="23">
        <v>96819</v>
      </c>
      <c r="E15" s="11" t="s">
        <v>59</v>
      </c>
    </row>
    <row r="16" spans="1:5">
      <c r="A16" s="12">
        <v>44986</v>
      </c>
      <c r="B16" s="11">
        <f t="shared" si="0"/>
        <v>2023</v>
      </c>
      <c r="C16" s="11">
        <f t="shared" si="1"/>
        <v>3</v>
      </c>
      <c r="D16" s="23">
        <v>116230</v>
      </c>
      <c r="E16" s="11" t="s">
        <v>59</v>
      </c>
    </row>
    <row r="17" spans="1:5">
      <c r="A17" s="12">
        <v>45017</v>
      </c>
      <c r="B17" s="11">
        <f t="shared" si="0"/>
        <v>2023</v>
      </c>
      <c r="C17" s="11">
        <f t="shared" si="1"/>
        <v>4</v>
      </c>
      <c r="D17" s="23">
        <v>102221.5</v>
      </c>
      <c r="E17" s="11" t="s">
        <v>59</v>
      </c>
    </row>
    <row r="18" spans="1:5">
      <c r="A18" s="12">
        <v>45047</v>
      </c>
      <c r="B18" s="11">
        <f t="shared" si="0"/>
        <v>2023</v>
      </c>
      <c r="C18" s="11">
        <f t="shared" si="1"/>
        <v>5</v>
      </c>
      <c r="D18" s="23">
        <v>121560.75</v>
      </c>
      <c r="E18" s="11" t="s">
        <v>59</v>
      </c>
    </row>
    <row r="19" spans="1:5">
      <c r="A19" s="12">
        <v>45078</v>
      </c>
      <c r="B19" s="11">
        <f t="shared" si="0"/>
        <v>2023</v>
      </c>
      <c r="C19" s="11">
        <f t="shared" si="1"/>
        <v>6</v>
      </c>
      <c r="D19" s="23">
        <v>109327.75</v>
      </c>
      <c r="E19" s="11" t="s">
        <v>59</v>
      </c>
    </row>
    <row r="20" spans="1:5">
      <c r="A20" s="12">
        <v>45108</v>
      </c>
      <c r="B20" s="11">
        <f t="shared" si="0"/>
        <v>2023</v>
      </c>
      <c r="C20" s="11">
        <f t="shared" si="1"/>
        <v>7</v>
      </c>
      <c r="D20" s="23">
        <v>130099.5</v>
      </c>
      <c r="E20" s="11" t="s">
        <v>59</v>
      </c>
    </row>
    <row r="21" spans="1:5">
      <c r="A21" s="12">
        <v>45139</v>
      </c>
      <c r="B21" s="11">
        <f t="shared" si="0"/>
        <v>2023</v>
      </c>
      <c r="C21" s="11">
        <f t="shared" si="1"/>
        <v>8</v>
      </c>
      <c r="D21" s="23">
        <v>115017</v>
      </c>
      <c r="E21" s="11" t="s">
        <v>59</v>
      </c>
    </row>
    <row r="22" spans="1:5">
      <c r="A22" s="12">
        <v>45170</v>
      </c>
      <c r="B22" s="11">
        <f t="shared" si="0"/>
        <v>2023</v>
      </c>
      <c r="C22" s="11">
        <f t="shared" si="1"/>
        <v>9</v>
      </c>
      <c r="D22" s="23">
        <v>119729.75</v>
      </c>
      <c r="E22" s="11" t="s">
        <v>59</v>
      </c>
    </row>
    <row r="23" spans="1:5">
      <c r="A23" s="12">
        <v>45200</v>
      </c>
      <c r="B23" s="11">
        <f t="shared" si="0"/>
        <v>2023</v>
      </c>
      <c r="C23" s="11">
        <f t="shared" si="1"/>
        <v>10</v>
      </c>
      <c r="D23" s="23">
        <v>128719.5</v>
      </c>
      <c r="E23" s="11" t="s">
        <v>59</v>
      </c>
    </row>
    <row r="24" spans="1:5">
      <c r="A24" s="12">
        <v>45231</v>
      </c>
      <c r="B24" s="11">
        <f t="shared" si="0"/>
        <v>2023</v>
      </c>
      <c r="C24" s="11">
        <f t="shared" si="1"/>
        <v>11</v>
      </c>
      <c r="D24" s="23">
        <v>112829</v>
      </c>
      <c r="E24" s="11" t="s">
        <v>59</v>
      </c>
    </row>
    <row r="25" spans="1:5">
      <c r="A25" s="12">
        <v>45261</v>
      </c>
      <c r="B25" s="11">
        <f t="shared" si="0"/>
        <v>2023</v>
      </c>
      <c r="C25" s="11">
        <f t="shared" si="1"/>
        <v>12</v>
      </c>
      <c r="D25" s="13">
        <v>124762</v>
      </c>
      <c r="E25" s="11" t="s">
        <v>59</v>
      </c>
    </row>
    <row r="26" spans="1:5">
      <c r="A26" s="12">
        <v>45292</v>
      </c>
      <c r="B26" s="11">
        <f t="shared" si="0"/>
        <v>2024</v>
      </c>
      <c r="C26" s="11">
        <f t="shared" si="1"/>
        <v>1</v>
      </c>
      <c r="D26" s="11">
        <v>119547</v>
      </c>
      <c r="E26" s="11" t="s">
        <v>59</v>
      </c>
    </row>
    <row r="27" spans="1:5">
      <c r="A27" s="12">
        <v>45323</v>
      </c>
      <c r="B27" s="11">
        <f t="shared" si="0"/>
        <v>2024</v>
      </c>
      <c r="C27" s="11">
        <f t="shared" si="1"/>
        <v>2</v>
      </c>
      <c r="D27" s="11">
        <v>115250</v>
      </c>
      <c r="E27" s="11" t="s">
        <v>59</v>
      </c>
    </row>
    <row r="28" spans="1:5">
      <c r="A28" s="24" t="s">
        <v>31</v>
      </c>
      <c r="B28" s="11">
        <f t="shared" si="0"/>
        <v>2024</v>
      </c>
      <c r="C28" s="11">
        <f t="shared" si="1"/>
        <v>3</v>
      </c>
      <c r="D28" s="13">
        <v>125120</v>
      </c>
      <c r="E28" s="11" t="s">
        <v>59</v>
      </c>
    </row>
    <row r="29" spans="1:5">
      <c r="A29" s="24" t="s">
        <v>60</v>
      </c>
      <c r="B29" s="11">
        <f t="shared" si="0"/>
        <v>2024</v>
      </c>
      <c r="C29" s="11">
        <f t="shared" si="1"/>
        <v>4</v>
      </c>
      <c r="D29" s="13">
        <v>101590</v>
      </c>
      <c r="E29" s="11" t="s">
        <v>59</v>
      </c>
    </row>
    <row r="30" spans="1:5">
      <c r="A30" s="12"/>
      <c r="D30" s="13"/>
    </row>
    <row r="31" spans="1:5">
      <c r="A31" s="12"/>
      <c r="D31" s="13"/>
    </row>
    <row r="32" spans="1:5">
      <c r="A32" s="12"/>
      <c r="D32" s="13"/>
    </row>
    <row r="33" spans="1:4">
      <c r="A33" s="12"/>
      <c r="D33" s="13"/>
    </row>
    <row r="34" spans="1:4">
      <c r="A34" s="12"/>
      <c r="D34" s="13"/>
    </row>
    <row r="35" spans="1:4">
      <c r="A35" s="12"/>
      <c r="D35" s="13"/>
    </row>
    <row r="36" spans="1:4">
      <c r="A36" s="12"/>
      <c r="D36" s="13"/>
    </row>
    <row r="37" spans="1:4">
      <c r="A37" s="12"/>
      <c r="D37" s="13"/>
    </row>
    <row r="38" spans="1:4">
      <c r="A38" s="12"/>
      <c r="D38" s="13"/>
    </row>
    <row r="39" spans="1:4">
      <c r="A39" s="12"/>
      <c r="D39" s="13"/>
    </row>
    <row r="40" spans="1:4">
      <c r="A40" s="12"/>
      <c r="D40" s="13"/>
    </row>
    <row r="41" spans="1:4">
      <c r="A41" s="12"/>
      <c r="D41" s="13"/>
    </row>
    <row r="42" spans="1:4">
      <c r="A42" s="12"/>
      <c r="D42" s="13"/>
    </row>
    <row r="43" spans="1:4">
      <c r="A43" s="12"/>
      <c r="D43" s="13"/>
    </row>
    <row r="44" spans="1:4">
      <c r="A44" s="12"/>
      <c r="D44" s="13"/>
    </row>
    <row r="45" spans="1:4">
      <c r="A45" s="12"/>
      <c r="D45" s="13"/>
    </row>
    <row r="46" spans="1:4">
      <c r="A46" s="12"/>
      <c r="D46" s="13"/>
    </row>
    <row r="47" spans="1:4">
      <c r="A47" s="12"/>
      <c r="D47" s="13"/>
    </row>
    <row r="48" spans="1:4">
      <c r="A48" s="12"/>
      <c r="D48" s="13"/>
    </row>
    <row r="49" spans="1:4">
      <c r="A49" s="12"/>
      <c r="D49" s="13"/>
    </row>
    <row r="50" spans="1:4">
      <c r="A50" s="12"/>
      <c r="D50" s="13"/>
    </row>
    <row r="51" spans="1:4">
      <c r="A51" s="12"/>
      <c r="D51" s="13"/>
    </row>
    <row r="52" spans="1:4">
      <c r="A52" s="12"/>
      <c r="D52" s="13"/>
    </row>
    <row r="53" spans="1:4">
      <c r="A53" s="12"/>
      <c r="D53" s="13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9"/>
  <sheetViews>
    <sheetView workbookViewId="0"/>
  </sheetViews>
  <sheetFormatPr defaultColWidth="12.5703125" defaultRowHeight="15.75" customHeight="1"/>
  <sheetData>
    <row r="1" spans="1:5">
      <c r="A1" s="11" t="s">
        <v>57</v>
      </c>
      <c r="B1" s="11" t="s">
        <v>1</v>
      </c>
      <c r="C1" s="11" t="s">
        <v>2</v>
      </c>
      <c r="D1" s="11" t="s">
        <v>4</v>
      </c>
    </row>
    <row r="2" spans="1:5">
      <c r="A2" s="12">
        <v>44562</v>
      </c>
      <c r="B2" s="11">
        <v>2022</v>
      </c>
      <c r="C2" s="11">
        <v>1</v>
      </c>
      <c r="D2" s="13">
        <v>6924</v>
      </c>
      <c r="E2" s="11" t="s">
        <v>61</v>
      </c>
    </row>
    <row r="3" spans="1:5">
      <c r="A3" s="12">
        <v>44593</v>
      </c>
      <c r="B3" s="11">
        <v>2022</v>
      </c>
      <c r="C3" s="11">
        <v>2</v>
      </c>
      <c r="D3" s="13">
        <v>7268</v>
      </c>
      <c r="E3" s="11" t="s">
        <v>61</v>
      </c>
    </row>
    <row r="4" spans="1:5">
      <c r="A4" s="12">
        <v>44621</v>
      </c>
      <c r="B4" s="11">
        <v>2022</v>
      </c>
      <c r="C4" s="11">
        <v>3</v>
      </c>
      <c r="D4" s="13">
        <v>6821</v>
      </c>
      <c r="E4" s="11" t="s">
        <v>61</v>
      </c>
    </row>
    <row r="5" spans="1:5">
      <c r="A5" s="12">
        <v>44652</v>
      </c>
      <c r="B5" s="11">
        <v>2022</v>
      </c>
      <c r="C5" s="11">
        <v>4</v>
      </c>
      <c r="D5" s="13">
        <v>7126</v>
      </c>
      <c r="E5" s="11" t="s">
        <v>61</v>
      </c>
    </row>
    <row r="6" spans="1:5">
      <c r="A6" s="12">
        <v>44682</v>
      </c>
      <c r="B6" s="11">
        <v>2022</v>
      </c>
      <c r="C6" s="11">
        <v>5</v>
      </c>
      <c r="D6" s="13">
        <v>6999</v>
      </c>
      <c r="E6" s="11" t="s">
        <v>61</v>
      </c>
    </row>
    <row r="7" spans="1:5">
      <c r="A7" s="12">
        <v>44713</v>
      </c>
      <c r="B7" s="11">
        <v>2022</v>
      </c>
      <c r="C7" s="11">
        <v>6</v>
      </c>
      <c r="D7" s="13">
        <v>7160</v>
      </c>
      <c r="E7" s="11" t="s">
        <v>61</v>
      </c>
    </row>
    <row r="8" spans="1:5">
      <c r="A8" s="12">
        <v>44743</v>
      </c>
      <c r="B8" s="11">
        <v>2022</v>
      </c>
      <c r="C8" s="11">
        <v>7</v>
      </c>
      <c r="D8" s="13">
        <v>5500</v>
      </c>
      <c r="E8" s="11" t="s">
        <v>61</v>
      </c>
    </row>
    <row r="9" spans="1:5">
      <c r="A9" s="12">
        <v>44774</v>
      </c>
      <c r="B9" s="11">
        <v>2022</v>
      </c>
      <c r="C9" s="11">
        <v>8</v>
      </c>
      <c r="D9" s="13">
        <v>6729</v>
      </c>
      <c r="E9" s="11" t="s">
        <v>61</v>
      </c>
    </row>
    <row r="10" spans="1:5">
      <c r="A10" s="12">
        <v>44805</v>
      </c>
      <c r="B10" s="11">
        <v>2022</v>
      </c>
      <c r="C10" s="11">
        <v>9</v>
      </c>
      <c r="D10" s="13">
        <v>4447</v>
      </c>
      <c r="E10" s="11" t="s">
        <v>61</v>
      </c>
    </row>
    <row r="11" spans="1:5">
      <c r="A11" s="12">
        <v>44835</v>
      </c>
      <c r="B11" s="11">
        <v>2022</v>
      </c>
      <c r="C11" s="11">
        <v>10</v>
      </c>
      <c r="D11" s="13">
        <v>3775</v>
      </c>
      <c r="E11" s="11" t="s">
        <v>61</v>
      </c>
    </row>
    <row r="12" spans="1:5">
      <c r="A12" s="12">
        <v>44866</v>
      </c>
      <c r="B12" s="11">
        <v>2022</v>
      </c>
      <c r="C12" s="11">
        <v>11</v>
      </c>
      <c r="D12" s="13">
        <v>4991</v>
      </c>
      <c r="E12" s="11" t="s">
        <v>61</v>
      </c>
    </row>
    <row r="13" spans="1:5">
      <c r="A13" s="12">
        <v>44896</v>
      </c>
      <c r="B13" s="11">
        <v>2022</v>
      </c>
      <c r="C13" s="11">
        <v>12</v>
      </c>
      <c r="D13" s="13">
        <v>4954</v>
      </c>
      <c r="E13" s="11" t="s">
        <v>61</v>
      </c>
    </row>
    <row r="14" spans="1:5">
      <c r="A14" s="12">
        <v>44927</v>
      </c>
      <c r="B14" s="11">
        <v>2023</v>
      </c>
      <c r="C14" s="11">
        <v>1</v>
      </c>
      <c r="D14" s="13">
        <v>4717</v>
      </c>
      <c r="E14" s="11" t="s">
        <v>61</v>
      </c>
    </row>
    <row r="15" spans="1:5">
      <c r="A15" s="12">
        <v>44958</v>
      </c>
      <c r="B15" s="11">
        <v>2023</v>
      </c>
      <c r="C15" s="11">
        <v>2</v>
      </c>
      <c r="D15" s="13">
        <v>4271</v>
      </c>
      <c r="E15" s="11" t="s">
        <v>61</v>
      </c>
    </row>
    <row r="16" spans="1:5">
      <c r="A16" s="12">
        <v>44986</v>
      </c>
      <c r="B16" s="11">
        <v>2023</v>
      </c>
      <c r="C16" s="11">
        <v>3</v>
      </c>
      <c r="D16" s="13">
        <v>7489.75</v>
      </c>
      <c r="E16" s="11" t="s">
        <v>61</v>
      </c>
    </row>
    <row r="17" spans="1:5">
      <c r="A17" s="12">
        <v>45017</v>
      </c>
      <c r="B17" s="11">
        <v>2023</v>
      </c>
      <c r="C17" s="11">
        <v>4</v>
      </c>
      <c r="D17" s="13">
        <v>4516</v>
      </c>
      <c r="E17" s="11" t="s">
        <v>61</v>
      </c>
    </row>
    <row r="18" spans="1:5">
      <c r="A18" s="12">
        <v>45047</v>
      </c>
      <c r="B18" s="11">
        <v>2023</v>
      </c>
      <c r="C18" s="11">
        <v>5</v>
      </c>
      <c r="D18" s="13">
        <v>3642</v>
      </c>
      <c r="E18" s="11" t="s">
        <v>61</v>
      </c>
    </row>
    <row r="19" spans="1:5">
      <c r="A19" s="12">
        <v>45078</v>
      </c>
      <c r="B19" s="11">
        <v>2023</v>
      </c>
      <c r="C19" s="11">
        <v>6</v>
      </c>
      <c r="D19" s="13">
        <v>5484</v>
      </c>
      <c r="E19" s="11" t="s">
        <v>61</v>
      </c>
    </row>
    <row r="20" spans="1:5">
      <c r="A20" s="12">
        <v>45108</v>
      </c>
      <c r="B20" s="11">
        <v>2023</v>
      </c>
      <c r="C20" s="11">
        <v>7</v>
      </c>
      <c r="D20" s="13">
        <v>2464</v>
      </c>
      <c r="E20" s="11" t="s">
        <v>61</v>
      </c>
    </row>
    <row r="21" spans="1:5">
      <c r="A21" s="12">
        <v>45139</v>
      </c>
      <c r="B21" s="11">
        <v>2023</v>
      </c>
      <c r="C21" s="11">
        <v>8</v>
      </c>
      <c r="D21" s="13">
        <v>7731</v>
      </c>
      <c r="E21" s="11" t="s">
        <v>61</v>
      </c>
    </row>
    <row r="22" spans="1:5">
      <c r="A22" s="12">
        <v>45170</v>
      </c>
      <c r="B22" s="11">
        <v>2023</v>
      </c>
      <c r="C22" s="11">
        <v>9</v>
      </c>
      <c r="D22" s="13">
        <v>7654.75</v>
      </c>
      <c r="E22" s="11" t="s">
        <v>61</v>
      </c>
    </row>
    <row r="23" spans="1:5">
      <c r="A23" s="12">
        <v>45200</v>
      </c>
      <c r="B23" s="11">
        <v>2023</v>
      </c>
      <c r="C23" s="11">
        <v>10</v>
      </c>
      <c r="D23" s="13">
        <v>7281</v>
      </c>
      <c r="E23" s="11" t="s">
        <v>61</v>
      </c>
    </row>
    <row r="24" spans="1:5">
      <c r="A24" s="12">
        <v>45231</v>
      </c>
      <c r="B24" s="11">
        <v>2023</v>
      </c>
      <c r="C24" s="11">
        <v>11</v>
      </c>
      <c r="D24" s="13">
        <v>8572.75</v>
      </c>
      <c r="E24" s="11" t="s">
        <v>61</v>
      </c>
    </row>
    <row r="25" spans="1:5">
      <c r="A25" s="12">
        <v>45261</v>
      </c>
      <c r="B25" s="11">
        <v>2023</v>
      </c>
      <c r="C25" s="11">
        <v>12</v>
      </c>
      <c r="D25" s="13">
        <v>9890</v>
      </c>
      <c r="E25" s="11" t="s">
        <v>61</v>
      </c>
    </row>
    <row r="26" spans="1:5">
      <c r="A26" s="12">
        <v>45292</v>
      </c>
      <c r="B26" s="11">
        <v>2024</v>
      </c>
      <c r="C26" s="11">
        <v>1</v>
      </c>
      <c r="D26" s="13">
        <v>10116</v>
      </c>
      <c r="E26" s="11" t="s">
        <v>61</v>
      </c>
    </row>
    <row r="27" spans="1:5">
      <c r="A27" s="12">
        <v>45323</v>
      </c>
      <c r="B27" s="11">
        <v>2024</v>
      </c>
      <c r="C27" s="11">
        <v>2</v>
      </c>
      <c r="D27" s="13">
        <v>8028</v>
      </c>
      <c r="E27" s="11" t="s">
        <v>61</v>
      </c>
    </row>
    <row r="28" spans="1:5">
      <c r="A28" s="24" t="s">
        <v>31</v>
      </c>
      <c r="B28" s="11">
        <v>2024</v>
      </c>
      <c r="C28" s="11">
        <v>2</v>
      </c>
      <c r="D28" s="11">
        <v>8647</v>
      </c>
      <c r="E28" s="11" t="s">
        <v>61</v>
      </c>
    </row>
    <row r="29" spans="1:5">
      <c r="A29" s="24" t="s">
        <v>60</v>
      </c>
      <c r="B29" s="11">
        <v>2024</v>
      </c>
      <c r="C29" s="11">
        <v>2</v>
      </c>
      <c r="D29" s="11">
        <v>3697</v>
      </c>
      <c r="E29" s="11" t="s">
        <v>61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C98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7" max="7" width="15.5703125" customWidth="1"/>
    <col min="16" max="16" width="19.42578125" customWidth="1"/>
  </cols>
  <sheetData>
    <row r="1" spans="1:29">
      <c r="A1" s="25" t="s">
        <v>57</v>
      </c>
      <c r="B1" s="25" t="s">
        <v>1</v>
      </c>
      <c r="C1" s="25" t="s">
        <v>2</v>
      </c>
      <c r="D1" s="25" t="s">
        <v>3</v>
      </c>
      <c r="E1" s="25" t="s">
        <v>62</v>
      </c>
      <c r="F1" s="25" t="s">
        <v>63</v>
      </c>
      <c r="G1" s="26" t="s">
        <v>64</v>
      </c>
      <c r="H1" s="25" t="s">
        <v>65</v>
      </c>
      <c r="I1" s="25" t="s">
        <v>66</v>
      </c>
      <c r="J1" s="25" t="s">
        <v>67</v>
      </c>
      <c r="K1" s="25" t="s">
        <v>68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>
      <c r="A2" s="9">
        <v>44927</v>
      </c>
      <c r="B2" s="1">
        <f t="shared" ref="B2:B421" si="0">YEAR(A2)</f>
        <v>2023</v>
      </c>
      <c r="C2" s="1">
        <f t="shared" ref="C2:C16" si="1">MONTH(A2)</f>
        <v>1</v>
      </c>
      <c r="D2" s="25" t="s">
        <v>8</v>
      </c>
      <c r="E2" s="6">
        <v>14609</v>
      </c>
      <c r="F2" s="6">
        <v>9643</v>
      </c>
      <c r="G2" s="28">
        <v>16341982320</v>
      </c>
      <c r="H2" s="29">
        <v>28.8</v>
      </c>
      <c r="I2" s="1">
        <v>48.32</v>
      </c>
      <c r="J2" s="1">
        <v>0</v>
      </c>
      <c r="K2" s="6">
        <v>14609</v>
      </c>
      <c r="L2" s="6">
        <v>9643</v>
      </c>
      <c r="M2" s="1" t="s">
        <v>74</v>
      </c>
      <c r="N2" s="1">
        <v>29</v>
      </c>
      <c r="O2" s="1">
        <v>48</v>
      </c>
      <c r="P2" s="1">
        <v>0</v>
      </c>
    </row>
    <row r="3" spans="1:29">
      <c r="A3" s="9">
        <v>44928</v>
      </c>
      <c r="B3" s="1">
        <f t="shared" si="0"/>
        <v>2023</v>
      </c>
      <c r="C3" s="1">
        <f t="shared" si="1"/>
        <v>1</v>
      </c>
      <c r="D3" s="25" t="s">
        <v>22</v>
      </c>
      <c r="E3" s="6">
        <v>14466</v>
      </c>
      <c r="F3" s="6">
        <v>9926</v>
      </c>
      <c r="G3" s="28">
        <v>16655410181</v>
      </c>
      <c r="H3" s="1">
        <v>36.4</v>
      </c>
      <c r="I3" s="1">
        <v>83.92</v>
      </c>
      <c r="J3" s="1">
        <v>8</v>
      </c>
      <c r="K3" s="6">
        <v>14592</v>
      </c>
      <c r="L3" s="6">
        <v>9622</v>
      </c>
      <c r="M3" s="30">
        <v>16571826414</v>
      </c>
      <c r="N3" s="1">
        <v>29</v>
      </c>
      <c r="O3" s="1">
        <v>59</v>
      </c>
      <c r="P3" s="1">
        <v>8</v>
      </c>
    </row>
    <row r="4" spans="1:29">
      <c r="A4" s="9">
        <v>44929</v>
      </c>
      <c r="B4" s="1">
        <f t="shared" si="0"/>
        <v>2023</v>
      </c>
      <c r="C4" s="1">
        <f t="shared" si="1"/>
        <v>1</v>
      </c>
      <c r="D4" s="25" t="s">
        <v>75</v>
      </c>
      <c r="E4" s="6">
        <v>11401</v>
      </c>
      <c r="F4" s="6">
        <v>7403</v>
      </c>
      <c r="G4" s="28">
        <v>12972661683</v>
      </c>
      <c r="H4" s="1">
        <v>31.5</v>
      </c>
      <c r="I4" s="1">
        <v>54.21</v>
      </c>
      <c r="J4" s="1">
        <v>2</v>
      </c>
      <c r="K4" s="6">
        <v>14466</v>
      </c>
      <c r="L4" s="6">
        <v>9926</v>
      </c>
      <c r="M4" s="1" t="s">
        <v>76</v>
      </c>
      <c r="N4" s="1">
        <v>36</v>
      </c>
      <c r="O4" s="1">
        <v>84</v>
      </c>
      <c r="P4" s="1">
        <v>2</v>
      </c>
    </row>
    <row r="5" spans="1:29">
      <c r="A5" s="9">
        <v>44930</v>
      </c>
      <c r="B5" s="1">
        <f t="shared" si="0"/>
        <v>2023</v>
      </c>
      <c r="C5" s="1">
        <f t="shared" si="1"/>
        <v>1</v>
      </c>
      <c r="D5" s="25" t="s">
        <v>10</v>
      </c>
      <c r="E5" s="6">
        <v>11061</v>
      </c>
      <c r="F5" s="6">
        <v>7657</v>
      </c>
      <c r="G5" s="28">
        <v>13168083042</v>
      </c>
      <c r="H5" s="1">
        <v>29</v>
      </c>
      <c r="I5" s="1">
        <v>52.13</v>
      </c>
      <c r="J5" s="1">
        <v>4</v>
      </c>
      <c r="K5" s="6">
        <v>11061</v>
      </c>
      <c r="L5" s="6">
        <v>7657</v>
      </c>
      <c r="M5" s="1" t="s">
        <v>77</v>
      </c>
      <c r="N5" s="1">
        <v>29</v>
      </c>
      <c r="O5" s="1">
        <v>52</v>
      </c>
      <c r="P5" s="1">
        <v>4</v>
      </c>
    </row>
    <row r="6" spans="1:29">
      <c r="A6" s="9">
        <v>44931</v>
      </c>
      <c r="B6" s="1">
        <f t="shared" si="0"/>
        <v>2023</v>
      </c>
      <c r="C6" s="1">
        <f t="shared" si="1"/>
        <v>1</v>
      </c>
      <c r="D6" s="25" t="s">
        <v>9</v>
      </c>
      <c r="E6" s="6">
        <v>9145</v>
      </c>
      <c r="F6" s="6">
        <v>5700</v>
      </c>
      <c r="G6" s="28">
        <v>10435664983</v>
      </c>
      <c r="H6" s="1">
        <v>28.8</v>
      </c>
      <c r="I6" s="1">
        <v>74.83</v>
      </c>
      <c r="J6" s="1">
        <v>3</v>
      </c>
      <c r="K6" s="6">
        <v>9145</v>
      </c>
      <c r="L6" s="6">
        <v>5700</v>
      </c>
      <c r="M6" s="1" t="s">
        <v>78</v>
      </c>
      <c r="N6" s="1">
        <v>29</v>
      </c>
      <c r="O6" s="1">
        <v>75</v>
      </c>
      <c r="P6" s="1">
        <v>3</v>
      </c>
    </row>
    <row r="7" spans="1:29">
      <c r="A7" s="9">
        <v>44932</v>
      </c>
      <c r="B7" s="1">
        <f t="shared" si="0"/>
        <v>2023</v>
      </c>
      <c r="C7" s="1">
        <f t="shared" si="1"/>
        <v>1</v>
      </c>
      <c r="D7" s="25" t="s">
        <v>79</v>
      </c>
      <c r="E7" s="6">
        <v>8393</v>
      </c>
      <c r="F7" s="6">
        <v>5678</v>
      </c>
      <c r="G7" s="28">
        <v>9725904427</v>
      </c>
      <c r="H7" s="1">
        <v>32.700000000000003</v>
      </c>
      <c r="I7" s="1">
        <v>68.11</v>
      </c>
      <c r="J7" s="1">
        <v>4</v>
      </c>
      <c r="K7" s="6">
        <v>8393</v>
      </c>
      <c r="L7" s="6">
        <v>5678</v>
      </c>
      <c r="M7" s="1" t="s">
        <v>80</v>
      </c>
      <c r="N7" s="1">
        <v>33</v>
      </c>
      <c r="O7" s="1">
        <v>68</v>
      </c>
      <c r="P7" s="1">
        <v>4</v>
      </c>
    </row>
    <row r="8" spans="1:29">
      <c r="A8" s="9">
        <v>44933</v>
      </c>
      <c r="B8" s="1">
        <f t="shared" si="0"/>
        <v>2023</v>
      </c>
      <c r="C8" s="1">
        <f t="shared" si="1"/>
        <v>1</v>
      </c>
      <c r="D8" s="25" t="s">
        <v>12</v>
      </c>
      <c r="E8" s="6">
        <v>7155</v>
      </c>
      <c r="F8" s="6">
        <v>4721</v>
      </c>
      <c r="G8" s="28">
        <v>8407390538</v>
      </c>
      <c r="H8" s="1">
        <v>26.5</v>
      </c>
      <c r="I8" s="1">
        <v>42.46</v>
      </c>
      <c r="J8" s="1">
        <v>4</v>
      </c>
      <c r="K8" s="6">
        <v>7155</v>
      </c>
      <c r="L8" s="6">
        <v>4721</v>
      </c>
      <c r="M8" s="1" t="s">
        <v>81</v>
      </c>
      <c r="N8" s="1">
        <v>26</v>
      </c>
      <c r="O8" s="1">
        <v>42</v>
      </c>
      <c r="P8" s="1">
        <v>4</v>
      </c>
    </row>
    <row r="9" spans="1:29">
      <c r="A9" s="9">
        <v>44934</v>
      </c>
      <c r="B9" s="1">
        <f t="shared" si="0"/>
        <v>2023</v>
      </c>
      <c r="C9" s="1">
        <f t="shared" si="1"/>
        <v>1</v>
      </c>
      <c r="D9" s="25" t="s">
        <v>23</v>
      </c>
      <c r="E9" s="6">
        <v>5757</v>
      </c>
      <c r="F9" s="6">
        <v>3893</v>
      </c>
      <c r="G9" s="28">
        <v>6714230932</v>
      </c>
      <c r="H9" s="1">
        <v>31</v>
      </c>
      <c r="I9" s="1">
        <v>57.22</v>
      </c>
      <c r="J9" s="1">
        <v>2</v>
      </c>
      <c r="K9" s="6">
        <v>5757</v>
      </c>
      <c r="L9" s="6">
        <v>3893</v>
      </c>
      <c r="M9" s="1" t="s">
        <v>82</v>
      </c>
      <c r="N9" s="1">
        <v>31</v>
      </c>
      <c r="O9" s="1">
        <v>57</v>
      </c>
      <c r="P9" s="1">
        <v>2</v>
      </c>
    </row>
    <row r="10" spans="1:29">
      <c r="A10" s="9">
        <v>44935</v>
      </c>
      <c r="B10" s="1">
        <f t="shared" si="0"/>
        <v>2023</v>
      </c>
      <c r="C10" s="1">
        <f t="shared" si="1"/>
        <v>1</v>
      </c>
      <c r="D10" s="25" t="s">
        <v>15</v>
      </c>
      <c r="E10" s="6">
        <v>3889</v>
      </c>
      <c r="F10" s="6">
        <v>2691</v>
      </c>
      <c r="G10" s="28">
        <v>4541270822</v>
      </c>
      <c r="H10" s="1">
        <v>23.9</v>
      </c>
      <c r="I10" s="1">
        <v>42.06</v>
      </c>
      <c r="J10" s="1">
        <v>2</v>
      </c>
      <c r="K10" s="6">
        <v>3889</v>
      </c>
      <c r="L10" s="6">
        <v>2691</v>
      </c>
      <c r="M10" s="1" t="s">
        <v>83</v>
      </c>
      <c r="N10" s="1">
        <v>24</v>
      </c>
      <c r="O10" s="1">
        <v>42</v>
      </c>
      <c r="P10" s="1">
        <v>2</v>
      </c>
    </row>
    <row r="11" spans="1:29">
      <c r="A11" s="9">
        <v>44936</v>
      </c>
      <c r="B11" s="1">
        <f t="shared" si="0"/>
        <v>2023</v>
      </c>
      <c r="C11" s="1">
        <f t="shared" si="1"/>
        <v>1</v>
      </c>
      <c r="D11" s="25" t="s">
        <v>84</v>
      </c>
      <c r="E11" s="6">
        <v>3208</v>
      </c>
      <c r="F11" s="6">
        <v>2210</v>
      </c>
      <c r="G11" s="28">
        <v>3936766752</v>
      </c>
      <c r="H11" s="1">
        <v>24</v>
      </c>
      <c r="I11" s="1">
        <v>30.29</v>
      </c>
      <c r="J11" s="1">
        <v>3</v>
      </c>
      <c r="K11" s="6">
        <v>3208</v>
      </c>
      <c r="L11" s="6">
        <v>2210</v>
      </c>
      <c r="M11" s="1" t="s">
        <v>85</v>
      </c>
      <c r="N11" s="1">
        <v>24</v>
      </c>
      <c r="O11" s="1">
        <v>30</v>
      </c>
      <c r="P11" s="1">
        <v>3</v>
      </c>
    </row>
    <row r="12" spans="1:29">
      <c r="A12" s="9">
        <v>44937</v>
      </c>
      <c r="B12" s="1">
        <f t="shared" si="0"/>
        <v>2023</v>
      </c>
      <c r="C12" s="1">
        <f t="shared" si="1"/>
        <v>1</v>
      </c>
      <c r="D12" s="25" t="s">
        <v>7</v>
      </c>
      <c r="E12" s="6">
        <v>3191</v>
      </c>
      <c r="F12" s="6">
        <v>2219</v>
      </c>
      <c r="G12" s="28">
        <v>3599164731</v>
      </c>
      <c r="H12" s="1">
        <v>26.9</v>
      </c>
      <c r="I12" s="1">
        <v>63.15</v>
      </c>
      <c r="J12" s="1">
        <v>2</v>
      </c>
      <c r="K12" s="6">
        <v>2132</v>
      </c>
      <c r="L12" s="6">
        <v>1400</v>
      </c>
      <c r="M12" s="1" t="s">
        <v>86</v>
      </c>
      <c r="N12" s="1">
        <v>27</v>
      </c>
      <c r="O12" s="1">
        <v>45</v>
      </c>
      <c r="P12" s="1">
        <v>2</v>
      </c>
    </row>
    <row r="13" spans="1:29">
      <c r="A13" s="9">
        <v>44938</v>
      </c>
      <c r="B13" s="1">
        <f t="shared" si="0"/>
        <v>2023</v>
      </c>
      <c r="C13" s="1">
        <f t="shared" si="1"/>
        <v>1</v>
      </c>
      <c r="D13" s="25" t="s">
        <v>19</v>
      </c>
      <c r="E13" s="6">
        <v>2132</v>
      </c>
      <c r="F13" s="6">
        <v>1400</v>
      </c>
      <c r="G13" s="28">
        <v>2349174700</v>
      </c>
      <c r="H13" s="1">
        <v>27.3</v>
      </c>
      <c r="I13" s="1">
        <v>45.25</v>
      </c>
      <c r="J13" s="1">
        <v>2</v>
      </c>
      <c r="K13" s="6">
        <v>1305</v>
      </c>
      <c r="L13" s="6">
        <v>909</v>
      </c>
      <c r="M13" s="1" t="s">
        <v>87</v>
      </c>
      <c r="N13" s="1">
        <v>33</v>
      </c>
      <c r="O13" s="1">
        <v>50</v>
      </c>
      <c r="P13" s="1">
        <v>2</v>
      </c>
    </row>
    <row r="14" spans="1:29">
      <c r="A14" s="9">
        <v>44939</v>
      </c>
      <c r="B14" s="1">
        <f t="shared" si="0"/>
        <v>2023</v>
      </c>
      <c r="C14" s="1">
        <f t="shared" si="1"/>
        <v>1</v>
      </c>
      <c r="D14" s="25" t="s">
        <v>88</v>
      </c>
      <c r="E14" s="6">
        <v>1305</v>
      </c>
      <c r="F14" s="6">
        <v>909</v>
      </c>
      <c r="G14" s="28">
        <v>1552933479</v>
      </c>
      <c r="H14" s="1">
        <v>33</v>
      </c>
      <c r="I14" s="1">
        <v>49.57</v>
      </c>
      <c r="J14" s="1">
        <v>0</v>
      </c>
      <c r="K14" s="6">
        <v>1210</v>
      </c>
      <c r="L14" s="6">
        <v>802</v>
      </c>
      <c r="M14" s="1" t="s">
        <v>89</v>
      </c>
      <c r="N14" s="1">
        <v>34</v>
      </c>
      <c r="O14" s="1">
        <v>61</v>
      </c>
      <c r="P14" s="1">
        <v>0</v>
      </c>
    </row>
    <row r="15" spans="1:29">
      <c r="A15" s="9">
        <v>44940</v>
      </c>
      <c r="B15" s="1">
        <f t="shared" si="0"/>
        <v>2023</v>
      </c>
      <c r="C15" s="1">
        <f t="shared" si="1"/>
        <v>1</v>
      </c>
      <c r="D15" s="25" t="s">
        <v>20</v>
      </c>
      <c r="E15" s="1">
        <v>1210</v>
      </c>
      <c r="F15" s="6">
        <v>802</v>
      </c>
      <c r="G15" s="28">
        <v>1326466739</v>
      </c>
      <c r="H15" s="1">
        <v>34.200000000000003</v>
      </c>
      <c r="I15" s="1">
        <v>60.8</v>
      </c>
      <c r="J15" s="1">
        <v>3</v>
      </c>
      <c r="K15" s="1">
        <v>975</v>
      </c>
      <c r="L15" s="6">
        <v>690</v>
      </c>
      <c r="M15" s="1" t="s">
        <v>90</v>
      </c>
      <c r="N15" s="1">
        <v>35</v>
      </c>
      <c r="O15" s="1">
        <v>73</v>
      </c>
      <c r="P15" s="1">
        <v>3</v>
      </c>
    </row>
    <row r="16" spans="1:29">
      <c r="A16" s="9">
        <v>44941</v>
      </c>
      <c r="B16" s="1">
        <f t="shared" si="0"/>
        <v>2023</v>
      </c>
      <c r="C16" s="1">
        <f t="shared" si="1"/>
        <v>1</v>
      </c>
      <c r="D16" s="25" t="s">
        <v>91</v>
      </c>
      <c r="E16" s="1">
        <v>975</v>
      </c>
      <c r="F16" s="6">
        <v>690</v>
      </c>
      <c r="G16" s="28">
        <v>1125059378</v>
      </c>
      <c r="H16" s="1">
        <v>34.6</v>
      </c>
      <c r="I16" s="1">
        <v>72.739999999999995</v>
      </c>
      <c r="J16" s="1">
        <v>2</v>
      </c>
      <c r="K16" s="1">
        <v>911</v>
      </c>
      <c r="L16" s="6">
        <v>643</v>
      </c>
      <c r="M16" s="1" t="s">
        <v>92</v>
      </c>
      <c r="N16" s="1">
        <v>25</v>
      </c>
      <c r="O16" s="1">
        <v>49</v>
      </c>
      <c r="P16" s="1">
        <v>2</v>
      </c>
    </row>
    <row r="17" spans="1:16">
      <c r="A17" s="9">
        <v>44941</v>
      </c>
      <c r="B17" s="1">
        <f t="shared" si="0"/>
        <v>2023</v>
      </c>
      <c r="C17" s="1">
        <v>1</v>
      </c>
      <c r="D17" s="25" t="s">
        <v>11</v>
      </c>
      <c r="E17" s="6">
        <v>911</v>
      </c>
      <c r="F17" s="6">
        <v>643</v>
      </c>
      <c r="G17" s="28">
        <v>1087991525</v>
      </c>
      <c r="H17" s="1">
        <v>25.1</v>
      </c>
      <c r="I17" s="1">
        <v>48.71</v>
      </c>
      <c r="J17" s="1"/>
      <c r="K17" s="6"/>
      <c r="L17" s="6"/>
      <c r="M17" s="30"/>
      <c r="N17" s="1"/>
      <c r="O17" s="1"/>
      <c r="P17" s="1"/>
    </row>
    <row r="18" spans="1:16">
      <c r="A18" s="9">
        <v>44958</v>
      </c>
      <c r="B18" s="1">
        <f t="shared" si="0"/>
        <v>2023</v>
      </c>
      <c r="C18" s="1">
        <f t="shared" ref="C18:C362" si="2">MONTH(A18)</f>
        <v>2</v>
      </c>
      <c r="D18" s="25" t="s">
        <v>9</v>
      </c>
      <c r="E18" s="6">
        <v>13960</v>
      </c>
      <c r="F18" s="6">
        <v>8933</v>
      </c>
      <c r="G18" s="28">
        <v>15836582394</v>
      </c>
      <c r="H18" s="1">
        <v>32</v>
      </c>
      <c r="I18" s="1">
        <v>67.569999999999993</v>
      </c>
      <c r="J18" s="1">
        <v>3</v>
      </c>
      <c r="K18" s="6">
        <v>27386</v>
      </c>
      <c r="L18" s="6">
        <v>18296</v>
      </c>
      <c r="M18" s="30">
        <v>31112551732</v>
      </c>
      <c r="N18" s="1">
        <v>35</v>
      </c>
      <c r="O18" s="1">
        <v>83</v>
      </c>
      <c r="P18" s="1">
        <v>3</v>
      </c>
    </row>
    <row r="19" spans="1:16">
      <c r="A19" s="9">
        <v>44959</v>
      </c>
      <c r="B19" s="1">
        <f t="shared" si="0"/>
        <v>2023</v>
      </c>
      <c r="C19" s="1">
        <f t="shared" si="2"/>
        <v>2</v>
      </c>
      <c r="D19" s="25" t="s">
        <v>22</v>
      </c>
      <c r="E19" s="6">
        <v>12920</v>
      </c>
      <c r="F19" s="6">
        <v>8370</v>
      </c>
      <c r="G19" s="28">
        <v>14457141551</v>
      </c>
      <c r="H19" s="1">
        <v>33.700000000000003</v>
      </c>
      <c r="I19" s="1">
        <v>81.39</v>
      </c>
      <c r="J19" s="1">
        <v>7</v>
      </c>
      <c r="K19" s="6">
        <v>27012</v>
      </c>
      <c r="L19" s="6">
        <v>17854</v>
      </c>
      <c r="M19" s="30">
        <v>30458217308</v>
      </c>
      <c r="N19" s="1">
        <v>31</v>
      </c>
      <c r="O19" s="1">
        <v>60</v>
      </c>
      <c r="P19" s="1">
        <v>7</v>
      </c>
    </row>
    <row r="20" spans="1:16">
      <c r="A20" s="9">
        <v>44960</v>
      </c>
      <c r="B20" s="1">
        <f t="shared" si="0"/>
        <v>2023</v>
      </c>
      <c r="C20" s="1">
        <f t="shared" si="2"/>
        <v>2</v>
      </c>
      <c r="D20" s="25" t="s">
        <v>8</v>
      </c>
      <c r="E20" s="6">
        <v>12126</v>
      </c>
      <c r="F20" s="6">
        <v>8386</v>
      </c>
      <c r="G20" s="28">
        <v>13294331286</v>
      </c>
      <c r="H20" s="1">
        <v>32.799999999999997</v>
      </c>
      <c r="I20" s="1">
        <v>56.29</v>
      </c>
      <c r="J20" s="1">
        <v>10</v>
      </c>
      <c r="K20" s="6">
        <v>26735</v>
      </c>
      <c r="L20" s="6">
        <v>18029</v>
      </c>
      <c r="M20" s="30">
        <v>29636313605</v>
      </c>
      <c r="N20" s="1">
        <v>31</v>
      </c>
      <c r="O20" s="1">
        <v>52</v>
      </c>
      <c r="P20" s="1">
        <v>10</v>
      </c>
    </row>
    <row r="21" spans="1:16">
      <c r="A21" s="9">
        <v>44961</v>
      </c>
      <c r="B21" s="1">
        <f t="shared" si="0"/>
        <v>2023</v>
      </c>
      <c r="C21" s="1">
        <f t="shared" si="2"/>
        <v>2</v>
      </c>
      <c r="D21" s="25" t="s">
        <v>79</v>
      </c>
      <c r="E21" s="6">
        <v>10441</v>
      </c>
      <c r="F21" s="6">
        <v>6975</v>
      </c>
      <c r="G21" s="28">
        <v>11775696904</v>
      </c>
      <c r="H21" s="1">
        <v>31</v>
      </c>
      <c r="I21" s="1">
        <v>64.34</v>
      </c>
      <c r="J21" s="1">
        <v>2</v>
      </c>
      <c r="K21" s="6">
        <v>23105</v>
      </c>
      <c r="L21" s="6">
        <v>14633</v>
      </c>
      <c r="M21" s="30">
        <v>26272247377</v>
      </c>
      <c r="N21" s="1">
        <v>30</v>
      </c>
      <c r="O21" s="1">
        <v>71</v>
      </c>
      <c r="P21" s="1">
        <v>2</v>
      </c>
    </row>
    <row r="22" spans="1:16">
      <c r="A22" s="9">
        <v>44962</v>
      </c>
      <c r="B22" s="1">
        <f t="shared" si="0"/>
        <v>2023</v>
      </c>
      <c r="C22" s="1">
        <f t="shared" si="2"/>
        <v>2</v>
      </c>
      <c r="D22" s="25" t="s">
        <v>75</v>
      </c>
      <c r="E22" s="6">
        <v>10031</v>
      </c>
      <c r="F22" s="6">
        <v>6554</v>
      </c>
      <c r="G22" s="28">
        <v>11236123104</v>
      </c>
      <c r="H22" s="1">
        <v>28.8</v>
      </c>
      <c r="I22" s="1">
        <v>45.8</v>
      </c>
      <c r="J22" s="1">
        <v>4</v>
      </c>
      <c r="K22" s="6">
        <v>19461</v>
      </c>
      <c r="L22" s="6">
        <v>13607</v>
      </c>
      <c r="M22" s="30">
        <v>23177294547</v>
      </c>
      <c r="N22" s="1">
        <v>29</v>
      </c>
      <c r="O22" s="1">
        <v>49</v>
      </c>
      <c r="P22" s="1">
        <v>4</v>
      </c>
    </row>
    <row r="23" spans="1:16">
      <c r="A23" s="9">
        <v>44963</v>
      </c>
      <c r="B23" s="1">
        <f t="shared" si="0"/>
        <v>2023</v>
      </c>
      <c r="C23" s="1">
        <f t="shared" si="2"/>
        <v>2</v>
      </c>
      <c r="D23" s="25" t="s">
        <v>10</v>
      </c>
      <c r="E23" s="6">
        <v>8400</v>
      </c>
      <c r="F23" s="6">
        <v>5950</v>
      </c>
      <c r="G23" s="28">
        <v>10009211505</v>
      </c>
      <c r="H23" s="1">
        <v>29.1</v>
      </c>
      <c r="I23" s="1">
        <v>45.78</v>
      </c>
      <c r="J23" s="1">
        <v>4</v>
      </c>
      <c r="K23" s="6">
        <v>18834</v>
      </c>
      <c r="L23" s="6">
        <v>12653</v>
      </c>
      <c r="M23" s="30">
        <v>21501601331</v>
      </c>
      <c r="N23" s="1">
        <v>32</v>
      </c>
      <c r="O23" s="1">
        <v>66</v>
      </c>
      <c r="P23" s="1">
        <v>4</v>
      </c>
    </row>
    <row r="24" spans="1:16">
      <c r="A24" s="9">
        <v>44964</v>
      </c>
      <c r="B24" s="1">
        <f t="shared" si="0"/>
        <v>2023</v>
      </c>
      <c r="C24" s="1">
        <f t="shared" si="2"/>
        <v>2</v>
      </c>
      <c r="D24" s="25" t="s">
        <v>12</v>
      </c>
      <c r="E24" s="6">
        <v>7406</v>
      </c>
      <c r="F24" s="6">
        <v>4639</v>
      </c>
      <c r="G24" s="28">
        <v>8221317255</v>
      </c>
      <c r="H24" s="1">
        <v>24.4</v>
      </c>
      <c r="I24" s="1">
        <v>39.450000000000003</v>
      </c>
      <c r="J24" s="1">
        <v>3</v>
      </c>
      <c r="K24" s="6">
        <v>14561</v>
      </c>
      <c r="L24" s="6">
        <v>9360</v>
      </c>
      <c r="M24" s="30">
        <v>16628707793</v>
      </c>
      <c r="N24" s="1">
        <v>25</v>
      </c>
      <c r="O24" s="1">
        <v>41</v>
      </c>
      <c r="P24" s="1">
        <v>3</v>
      </c>
    </row>
    <row r="25" spans="1:16">
      <c r="A25" s="9">
        <v>44965</v>
      </c>
      <c r="B25" s="1">
        <f t="shared" si="0"/>
        <v>2023</v>
      </c>
      <c r="C25" s="1">
        <f t="shared" si="2"/>
        <v>2</v>
      </c>
      <c r="D25" s="25" t="s">
        <v>15</v>
      </c>
      <c r="E25" s="6">
        <v>6379</v>
      </c>
      <c r="F25" s="6">
        <v>4462</v>
      </c>
      <c r="G25" s="28">
        <v>7159027892</v>
      </c>
      <c r="H25" s="1">
        <v>23</v>
      </c>
      <c r="I25" s="1">
        <v>44.07</v>
      </c>
      <c r="J25" s="1">
        <v>2</v>
      </c>
      <c r="K25" s="6">
        <v>10268</v>
      </c>
      <c r="L25" s="6">
        <v>7153</v>
      </c>
      <c r="M25" s="30">
        <v>11700298714</v>
      </c>
      <c r="N25" s="1">
        <v>23</v>
      </c>
      <c r="O25" s="1">
        <v>43</v>
      </c>
      <c r="P25" s="1">
        <v>2</v>
      </c>
    </row>
    <row r="26" spans="1:16">
      <c r="A26" s="9">
        <v>44966</v>
      </c>
      <c r="B26" s="1">
        <f t="shared" si="0"/>
        <v>2023</v>
      </c>
      <c r="C26" s="1">
        <f t="shared" si="2"/>
        <v>2</v>
      </c>
      <c r="D26" s="25" t="s">
        <v>91</v>
      </c>
      <c r="E26" s="6">
        <v>2465</v>
      </c>
      <c r="F26" s="6">
        <v>1627</v>
      </c>
      <c r="G26" s="28">
        <v>2745250265</v>
      </c>
      <c r="H26" s="1">
        <v>27.3</v>
      </c>
      <c r="I26" s="1">
        <v>51.77</v>
      </c>
      <c r="J26" s="1">
        <v>2</v>
      </c>
      <c r="K26" s="6">
        <v>7476</v>
      </c>
      <c r="L26" s="6">
        <v>5187</v>
      </c>
      <c r="M26" s="30">
        <v>8721350865</v>
      </c>
      <c r="N26" s="1">
        <v>31</v>
      </c>
      <c r="O26" s="1">
        <v>48</v>
      </c>
      <c r="P26" s="1">
        <v>2</v>
      </c>
    </row>
    <row r="27" spans="1:16">
      <c r="A27" s="9">
        <v>44967</v>
      </c>
      <c r="B27" s="1">
        <f t="shared" si="0"/>
        <v>2023</v>
      </c>
      <c r="C27" s="1">
        <f t="shared" si="2"/>
        <v>2</v>
      </c>
      <c r="D27" s="25" t="s">
        <v>88</v>
      </c>
      <c r="E27" s="6">
        <v>2410</v>
      </c>
      <c r="F27" s="6">
        <v>1778</v>
      </c>
      <c r="G27" s="28">
        <v>2897676897</v>
      </c>
      <c r="H27" s="1">
        <v>23.6</v>
      </c>
      <c r="I27" s="1">
        <v>38.54</v>
      </c>
      <c r="J27" s="1">
        <v>3</v>
      </c>
      <c r="K27" s="6">
        <v>5540</v>
      </c>
      <c r="L27" s="6">
        <v>3866</v>
      </c>
      <c r="M27" s="30">
        <v>6761959104</v>
      </c>
      <c r="N27" s="1">
        <v>24</v>
      </c>
      <c r="O27" s="1">
        <v>27</v>
      </c>
      <c r="P27" s="1">
        <v>3</v>
      </c>
    </row>
    <row r="28" spans="1:16">
      <c r="A28" s="9">
        <v>44968</v>
      </c>
      <c r="B28" s="1">
        <f t="shared" si="0"/>
        <v>2023</v>
      </c>
      <c r="C28" s="1">
        <f t="shared" si="2"/>
        <v>2</v>
      </c>
      <c r="D28" s="25" t="s">
        <v>7</v>
      </c>
      <c r="E28" s="6">
        <v>2389</v>
      </c>
      <c r="F28" s="6">
        <v>1678</v>
      </c>
      <c r="G28" s="28">
        <v>2650267790</v>
      </c>
      <c r="H28" s="1">
        <v>36.1</v>
      </c>
      <c r="I28" s="1">
        <v>77.540000000000006</v>
      </c>
      <c r="J28" s="1">
        <v>2</v>
      </c>
      <c r="K28" s="6">
        <v>3715</v>
      </c>
      <c r="L28" s="6">
        <v>2687</v>
      </c>
      <c r="M28" s="30">
        <v>4450610376</v>
      </c>
      <c r="N28" s="1">
        <v>28</v>
      </c>
      <c r="O28" s="1">
        <v>44</v>
      </c>
      <c r="P28" s="1">
        <v>2</v>
      </c>
    </row>
    <row r="29" spans="1:16">
      <c r="A29" s="9">
        <v>44969</v>
      </c>
      <c r="B29" s="1">
        <f t="shared" si="0"/>
        <v>2023</v>
      </c>
      <c r="C29" s="1">
        <f t="shared" si="2"/>
        <v>2</v>
      </c>
      <c r="D29" s="25" t="s">
        <v>84</v>
      </c>
      <c r="E29" s="6">
        <v>2332</v>
      </c>
      <c r="F29" s="6">
        <v>1656</v>
      </c>
      <c r="G29" s="28">
        <v>2825192352</v>
      </c>
      <c r="H29" s="1">
        <v>23.1</v>
      </c>
      <c r="I29" s="1">
        <v>24.6</v>
      </c>
      <c r="J29" s="1">
        <v>2</v>
      </c>
      <c r="K29" s="6">
        <v>3440</v>
      </c>
      <c r="L29" s="6">
        <v>2317</v>
      </c>
      <c r="M29" s="30">
        <v>3870309643</v>
      </c>
      <c r="N29" s="1">
        <v>31</v>
      </c>
      <c r="O29" s="1">
        <v>62</v>
      </c>
      <c r="P29" s="1">
        <v>2</v>
      </c>
    </row>
    <row r="30" spans="1:16">
      <c r="A30" s="9">
        <v>44970</v>
      </c>
      <c r="B30" s="1">
        <f t="shared" si="0"/>
        <v>2023</v>
      </c>
      <c r="C30" s="1">
        <f t="shared" si="2"/>
        <v>2</v>
      </c>
      <c r="D30" s="25" t="s">
        <v>23</v>
      </c>
      <c r="E30" s="6">
        <v>1719</v>
      </c>
      <c r="F30" s="6">
        <v>1294</v>
      </c>
      <c r="G30" s="28">
        <v>2007119933</v>
      </c>
      <c r="H30" s="1">
        <v>30.1</v>
      </c>
      <c r="I30" s="1">
        <v>39.33</v>
      </c>
      <c r="J30" s="1">
        <v>2</v>
      </c>
      <c r="K30" s="6">
        <v>3379</v>
      </c>
      <c r="L30" s="6">
        <v>2213</v>
      </c>
      <c r="M30" s="30">
        <v>3674340866</v>
      </c>
      <c r="N30" s="1">
        <v>28</v>
      </c>
      <c r="O30" s="1">
        <v>51</v>
      </c>
      <c r="P30" s="1">
        <v>2</v>
      </c>
    </row>
    <row r="31" spans="1:16">
      <c r="A31" s="9">
        <v>44971</v>
      </c>
      <c r="B31" s="1">
        <f t="shared" si="0"/>
        <v>2023</v>
      </c>
      <c r="C31" s="1">
        <f t="shared" si="2"/>
        <v>2</v>
      </c>
      <c r="D31" s="25" t="s">
        <v>19</v>
      </c>
      <c r="E31" s="6">
        <v>1247</v>
      </c>
      <c r="F31" s="6">
        <v>813</v>
      </c>
      <c r="G31" s="28">
        <v>1325166166</v>
      </c>
      <c r="H31" s="1">
        <v>28.9</v>
      </c>
      <c r="I31" s="1">
        <v>55.87</v>
      </c>
      <c r="J31" s="1">
        <v>2</v>
      </c>
      <c r="K31" s="6">
        <v>2442</v>
      </c>
      <c r="L31" s="6">
        <v>1682</v>
      </c>
      <c r="M31" s="30">
        <v>2696678550</v>
      </c>
      <c r="N31" s="1">
        <v>36</v>
      </c>
      <c r="O31" s="1">
        <v>61</v>
      </c>
      <c r="P31" s="1">
        <v>2</v>
      </c>
    </row>
    <row r="32" spans="1:16">
      <c r="A32" s="9">
        <v>44972</v>
      </c>
      <c r="B32" s="1">
        <f t="shared" si="0"/>
        <v>2023</v>
      </c>
      <c r="C32" s="1">
        <f t="shared" si="2"/>
        <v>2</v>
      </c>
      <c r="D32" s="25" t="s">
        <v>20</v>
      </c>
      <c r="E32" s="6">
        <v>1232</v>
      </c>
      <c r="F32" s="6">
        <v>880</v>
      </c>
      <c r="G32" s="28">
        <v>1370211811</v>
      </c>
      <c r="H32" s="1">
        <v>38.6</v>
      </c>
      <c r="I32" s="1">
        <v>61.9</v>
      </c>
      <c r="J32" s="1">
        <v>1</v>
      </c>
      <c r="K32" s="6">
        <v>1880</v>
      </c>
      <c r="L32" s="6">
        <v>1268</v>
      </c>
      <c r="M32" s="30">
        <v>2233873084</v>
      </c>
      <c r="N32" s="1">
        <v>24</v>
      </c>
      <c r="O32" s="1">
        <v>39</v>
      </c>
      <c r="P32" s="1">
        <v>1</v>
      </c>
    </row>
    <row r="33" spans="1:16">
      <c r="A33" s="9">
        <v>44973</v>
      </c>
      <c r="B33" s="1">
        <f t="shared" si="0"/>
        <v>2023</v>
      </c>
      <c r="C33" s="1">
        <f t="shared" si="2"/>
        <v>2</v>
      </c>
      <c r="D33" s="25" t="s">
        <v>11</v>
      </c>
      <c r="E33" s="1">
        <v>969</v>
      </c>
      <c r="F33" s="6">
        <v>625</v>
      </c>
      <c r="G33" s="28">
        <v>1145881559</v>
      </c>
      <c r="H33" s="1">
        <v>22.8</v>
      </c>
      <c r="I33" s="1">
        <v>30.15</v>
      </c>
      <c r="J33" s="1">
        <v>2</v>
      </c>
      <c r="K33" s="1">
        <v>375</v>
      </c>
      <c r="L33" s="6">
        <v>234</v>
      </c>
      <c r="M33" s="30">
        <v>507911226</v>
      </c>
      <c r="N33" s="1">
        <v>19</v>
      </c>
      <c r="O33" s="1">
        <v>10</v>
      </c>
      <c r="P33" s="1">
        <v>2</v>
      </c>
    </row>
    <row r="34" spans="1:16">
      <c r="A34" s="9">
        <v>44986</v>
      </c>
      <c r="B34" s="1">
        <f t="shared" si="0"/>
        <v>2023</v>
      </c>
      <c r="C34" s="1">
        <f t="shared" si="2"/>
        <v>3</v>
      </c>
      <c r="D34" s="25" t="s">
        <v>8</v>
      </c>
      <c r="E34" s="6">
        <v>17470</v>
      </c>
      <c r="F34" s="6">
        <v>11339</v>
      </c>
      <c r="G34" s="28">
        <v>19012500455</v>
      </c>
      <c r="H34" s="1">
        <v>29.2</v>
      </c>
      <c r="I34" s="1">
        <v>52.87</v>
      </c>
      <c r="J34" s="1">
        <v>10</v>
      </c>
      <c r="K34" s="6">
        <v>46805</v>
      </c>
      <c r="L34" s="6">
        <v>31037</v>
      </c>
      <c r="M34" s="30">
        <v>53117404547</v>
      </c>
      <c r="N34" s="1">
        <v>29</v>
      </c>
      <c r="O34" s="1">
        <v>58</v>
      </c>
      <c r="P34" s="1">
        <v>10</v>
      </c>
    </row>
    <row r="35" spans="1:16">
      <c r="A35" s="9">
        <v>44987</v>
      </c>
      <c r="B35" s="1">
        <f t="shared" si="0"/>
        <v>2023</v>
      </c>
      <c r="C35" s="1">
        <f t="shared" si="2"/>
        <v>3</v>
      </c>
      <c r="D35" s="25" t="s">
        <v>75</v>
      </c>
      <c r="E35" s="6">
        <v>16398</v>
      </c>
      <c r="F35" s="6">
        <v>10695</v>
      </c>
      <c r="G35" s="28">
        <v>18888831629</v>
      </c>
      <c r="H35" s="1">
        <v>27.3</v>
      </c>
      <c r="I35" s="1">
        <v>57.06</v>
      </c>
      <c r="J35" s="1">
        <v>8</v>
      </c>
      <c r="K35" s="6">
        <v>44205</v>
      </c>
      <c r="L35" s="6">
        <v>29368</v>
      </c>
      <c r="M35" s="30">
        <v>48648814060</v>
      </c>
      <c r="N35" s="1">
        <v>30</v>
      </c>
      <c r="O35" s="1">
        <v>52</v>
      </c>
      <c r="P35" s="1">
        <v>8</v>
      </c>
    </row>
    <row r="36" spans="1:16">
      <c r="A36" s="9">
        <v>44988</v>
      </c>
      <c r="B36" s="1">
        <f t="shared" si="0"/>
        <v>2023</v>
      </c>
      <c r="C36" s="1">
        <f t="shared" si="2"/>
        <v>3</v>
      </c>
      <c r="D36" s="25" t="s">
        <v>9</v>
      </c>
      <c r="E36" s="6">
        <v>13743</v>
      </c>
      <c r="F36" s="6">
        <v>8526</v>
      </c>
      <c r="G36" s="28">
        <v>15462667861</v>
      </c>
      <c r="H36" s="1">
        <v>30.6</v>
      </c>
      <c r="I36" s="1">
        <v>85.17</v>
      </c>
      <c r="J36" s="1">
        <v>3</v>
      </c>
      <c r="K36" s="6">
        <v>40923</v>
      </c>
      <c r="L36" s="6">
        <v>23608</v>
      </c>
      <c r="M36" s="30">
        <v>46348126297</v>
      </c>
      <c r="N36" s="1">
        <v>35</v>
      </c>
      <c r="O36" s="1">
        <v>88</v>
      </c>
      <c r="P36" s="1">
        <v>3</v>
      </c>
    </row>
    <row r="37" spans="1:16">
      <c r="A37" s="9">
        <v>44989</v>
      </c>
      <c r="B37" s="1">
        <f t="shared" si="0"/>
        <v>2023</v>
      </c>
      <c r="C37" s="1">
        <f t="shared" si="2"/>
        <v>3</v>
      </c>
      <c r="D37" s="25" t="s">
        <v>22</v>
      </c>
      <c r="E37" s="6">
        <v>13537</v>
      </c>
      <c r="F37" s="6">
        <v>5312</v>
      </c>
      <c r="G37" s="28">
        <v>15235574565</v>
      </c>
      <c r="H37" s="1">
        <v>35.700000000000003</v>
      </c>
      <c r="I37" s="1">
        <v>99.67</v>
      </c>
      <c r="J37" s="1">
        <v>3</v>
      </c>
      <c r="K37" s="6">
        <v>36848</v>
      </c>
      <c r="L37" s="6">
        <v>23159</v>
      </c>
      <c r="M37" s="30">
        <v>41734915238</v>
      </c>
      <c r="N37" s="1">
        <v>30</v>
      </c>
      <c r="O37" s="1">
        <v>76</v>
      </c>
      <c r="P37" s="1">
        <v>3</v>
      </c>
    </row>
    <row r="38" spans="1:16">
      <c r="A38" s="9">
        <v>44990</v>
      </c>
      <c r="B38" s="1">
        <f t="shared" si="0"/>
        <v>2023</v>
      </c>
      <c r="C38" s="1">
        <f t="shared" si="2"/>
        <v>3</v>
      </c>
      <c r="D38" s="25" t="s">
        <v>79</v>
      </c>
      <c r="E38" s="6">
        <v>13525</v>
      </c>
      <c r="F38" s="6">
        <v>9155</v>
      </c>
      <c r="G38" s="28">
        <v>15652539542</v>
      </c>
      <c r="H38" s="1">
        <v>36.799999999999997</v>
      </c>
      <c r="I38" s="1">
        <v>79.459999999999994</v>
      </c>
      <c r="J38" s="1">
        <v>4</v>
      </c>
      <c r="K38" s="6">
        <v>32359</v>
      </c>
      <c r="L38" s="6">
        <v>21808</v>
      </c>
      <c r="M38" s="30">
        <v>37154140874</v>
      </c>
      <c r="N38" s="1">
        <v>34</v>
      </c>
      <c r="O38" s="1">
        <v>71</v>
      </c>
      <c r="P38" s="1">
        <v>4</v>
      </c>
    </row>
    <row r="39" spans="1:16">
      <c r="A39" s="9">
        <v>44991</v>
      </c>
      <c r="B39" s="1">
        <f t="shared" si="0"/>
        <v>2023</v>
      </c>
      <c r="C39" s="1">
        <f t="shared" si="2"/>
        <v>3</v>
      </c>
      <c r="D39" s="25" t="s">
        <v>12</v>
      </c>
      <c r="E39" s="6">
        <v>10291</v>
      </c>
      <c r="F39" s="6">
        <v>6370</v>
      </c>
      <c r="G39" s="28">
        <v>11088720904</v>
      </c>
      <c r="H39" s="1">
        <v>28.6</v>
      </c>
      <c r="I39" s="1">
        <v>51.73</v>
      </c>
      <c r="J39" s="1">
        <v>4</v>
      </c>
      <c r="K39" s="6">
        <v>29628</v>
      </c>
      <c r="L39" s="6">
        <v>20989</v>
      </c>
      <c r="M39" s="30">
        <v>35301196549</v>
      </c>
      <c r="N39" s="1">
        <v>29</v>
      </c>
      <c r="O39" s="1">
        <v>51</v>
      </c>
      <c r="P39" s="1">
        <v>4</v>
      </c>
    </row>
    <row r="40" spans="1:16">
      <c r="A40" s="9">
        <v>44992</v>
      </c>
      <c r="B40" s="1">
        <f t="shared" si="0"/>
        <v>2023</v>
      </c>
      <c r="C40" s="1">
        <f t="shared" si="2"/>
        <v>3</v>
      </c>
      <c r="D40" s="25" t="s">
        <v>10</v>
      </c>
      <c r="E40" s="6">
        <v>10167</v>
      </c>
      <c r="F40" s="6">
        <v>7382</v>
      </c>
      <c r="G40" s="28">
        <v>12123902002</v>
      </c>
      <c r="H40" s="1">
        <v>29.6</v>
      </c>
      <c r="I40" s="1">
        <v>55.89</v>
      </c>
      <c r="J40" s="1">
        <v>7</v>
      </c>
      <c r="K40" s="6">
        <v>24852</v>
      </c>
      <c r="L40" s="6">
        <v>15730</v>
      </c>
      <c r="M40" s="30">
        <v>27717428697</v>
      </c>
      <c r="N40" s="1">
        <v>26</v>
      </c>
      <c r="O40" s="1">
        <v>45</v>
      </c>
      <c r="P40" s="1">
        <v>7</v>
      </c>
    </row>
    <row r="41" spans="1:16">
      <c r="A41" s="9">
        <v>44993</v>
      </c>
      <c r="B41" s="1">
        <f t="shared" si="0"/>
        <v>2023</v>
      </c>
      <c r="C41" s="1">
        <f t="shared" si="2"/>
        <v>3</v>
      </c>
      <c r="D41" s="25" t="s">
        <v>7</v>
      </c>
      <c r="E41" s="6">
        <v>3395</v>
      </c>
      <c r="F41" s="6">
        <v>2488</v>
      </c>
      <c r="G41" s="28">
        <v>3770355609</v>
      </c>
      <c r="H41" s="1">
        <v>23.9</v>
      </c>
      <c r="I41" s="1">
        <v>49.68</v>
      </c>
      <c r="J41" s="1">
        <v>2</v>
      </c>
      <c r="K41" s="6">
        <v>12780</v>
      </c>
      <c r="L41" s="6">
        <v>8939</v>
      </c>
      <c r="M41" s="30">
        <v>14580944558</v>
      </c>
      <c r="N41" s="1">
        <v>23</v>
      </c>
      <c r="O41" s="1">
        <v>44</v>
      </c>
      <c r="P41" s="1">
        <v>2</v>
      </c>
    </row>
    <row r="42" spans="1:16">
      <c r="A42" s="9">
        <v>44994</v>
      </c>
      <c r="B42" s="1">
        <f t="shared" si="0"/>
        <v>2023</v>
      </c>
      <c r="C42" s="1">
        <f t="shared" si="2"/>
        <v>3</v>
      </c>
      <c r="D42" s="25" t="s">
        <v>84</v>
      </c>
      <c r="E42" s="6">
        <v>2925</v>
      </c>
      <c r="F42" s="6">
        <v>2051</v>
      </c>
      <c r="G42" s="28">
        <v>3899219847</v>
      </c>
      <c r="H42" s="1">
        <v>20.100000000000001</v>
      </c>
      <c r="I42" s="1">
        <v>29.07</v>
      </c>
      <c r="J42" s="1">
        <v>3</v>
      </c>
      <c r="K42" s="6">
        <v>8645</v>
      </c>
      <c r="L42" s="6">
        <v>5917</v>
      </c>
      <c r="M42" s="30">
        <v>10661178950</v>
      </c>
      <c r="N42" s="1">
        <v>22</v>
      </c>
      <c r="O42" s="1">
        <v>28</v>
      </c>
      <c r="P42" s="1">
        <v>3</v>
      </c>
    </row>
    <row r="43" spans="1:16">
      <c r="A43" s="9">
        <v>44995</v>
      </c>
      <c r="B43" s="1">
        <f t="shared" si="0"/>
        <v>2023</v>
      </c>
      <c r="C43" s="1">
        <f t="shared" si="2"/>
        <v>3</v>
      </c>
      <c r="D43" s="25" t="s">
        <v>20</v>
      </c>
      <c r="E43" s="6">
        <v>2622</v>
      </c>
      <c r="F43" s="6">
        <v>1835</v>
      </c>
      <c r="G43" s="28">
        <v>2907857323</v>
      </c>
      <c r="H43" s="1">
        <v>27.9</v>
      </c>
      <c r="I43" s="1">
        <v>48.6</v>
      </c>
      <c r="J43" s="1">
        <v>1</v>
      </c>
      <c r="K43" s="6">
        <v>8382</v>
      </c>
      <c r="L43" s="6">
        <v>5847</v>
      </c>
      <c r="M43" s="30">
        <v>9771781402</v>
      </c>
      <c r="N43" s="1">
        <v>30</v>
      </c>
      <c r="O43" s="1">
        <v>44</v>
      </c>
      <c r="P43" s="1">
        <v>1</v>
      </c>
    </row>
    <row r="44" spans="1:16">
      <c r="A44" s="9">
        <v>44996</v>
      </c>
      <c r="B44" s="1">
        <f t="shared" si="0"/>
        <v>2023</v>
      </c>
      <c r="C44" s="1">
        <f t="shared" si="2"/>
        <v>3</v>
      </c>
      <c r="D44" s="25" t="s">
        <v>88</v>
      </c>
      <c r="E44" s="6">
        <v>2589</v>
      </c>
      <c r="F44" s="6">
        <v>1819</v>
      </c>
      <c r="G44" s="28">
        <v>3146256255</v>
      </c>
      <c r="H44" s="1">
        <v>23.6</v>
      </c>
      <c r="I44" s="1">
        <v>33.619999999999997</v>
      </c>
      <c r="J44" s="1">
        <v>2</v>
      </c>
      <c r="K44" s="6">
        <v>6304</v>
      </c>
      <c r="L44" s="6">
        <v>4506</v>
      </c>
      <c r="M44" s="30">
        <v>7596866631</v>
      </c>
      <c r="N44" s="1">
        <v>27</v>
      </c>
      <c r="O44" s="1">
        <v>41</v>
      </c>
      <c r="P44" s="1">
        <v>2</v>
      </c>
    </row>
    <row r="45" spans="1:16">
      <c r="A45" s="9">
        <v>44997</v>
      </c>
      <c r="B45" s="1">
        <f t="shared" si="0"/>
        <v>2023</v>
      </c>
      <c r="C45" s="1">
        <f t="shared" si="2"/>
        <v>3</v>
      </c>
      <c r="D45" s="25" t="s">
        <v>15</v>
      </c>
      <c r="E45" s="6">
        <v>2512</v>
      </c>
      <c r="F45" s="6">
        <v>1786</v>
      </c>
      <c r="G45" s="28">
        <v>2880645844</v>
      </c>
      <c r="H45" s="1">
        <v>22</v>
      </c>
      <c r="I45" s="1">
        <v>45.95</v>
      </c>
      <c r="J45" s="1">
        <v>2</v>
      </c>
      <c r="K45" s="6">
        <v>5744</v>
      </c>
      <c r="L45" s="6">
        <v>3869</v>
      </c>
      <c r="M45" s="30">
        <v>6306388875</v>
      </c>
      <c r="N45" s="1">
        <v>27</v>
      </c>
      <c r="O45" s="1">
        <v>51</v>
      </c>
      <c r="P45" s="1">
        <v>2</v>
      </c>
    </row>
    <row r="46" spans="1:16">
      <c r="A46" s="9">
        <v>44998</v>
      </c>
      <c r="B46" s="1">
        <f t="shared" si="0"/>
        <v>2023</v>
      </c>
      <c r="C46" s="1">
        <f t="shared" si="2"/>
        <v>3</v>
      </c>
      <c r="D46" s="25" t="s">
        <v>19</v>
      </c>
      <c r="E46" s="6">
        <v>2365</v>
      </c>
      <c r="F46" s="6">
        <v>1656</v>
      </c>
      <c r="G46" s="28">
        <v>2632048009</v>
      </c>
      <c r="H46" s="1">
        <v>26.2</v>
      </c>
      <c r="I46" s="1">
        <v>50.9</v>
      </c>
      <c r="J46" s="1">
        <v>2</v>
      </c>
      <c r="K46" s="6">
        <v>5064</v>
      </c>
      <c r="L46" s="6">
        <v>3517</v>
      </c>
      <c r="M46" s="30">
        <v>5604535873</v>
      </c>
      <c r="N46" s="1">
        <v>34</v>
      </c>
      <c r="O46" s="1">
        <v>57</v>
      </c>
      <c r="P46" s="1">
        <v>2</v>
      </c>
    </row>
    <row r="47" spans="1:16">
      <c r="A47" s="9">
        <v>44999</v>
      </c>
      <c r="B47" s="1">
        <f t="shared" si="0"/>
        <v>2023</v>
      </c>
      <c r="C47" s="1">
        <f t="shared" si="2"/>
        <v>3</v>
      </c>
      <c r="D47" s="25" t="s">
        <v>11</v>
      </c>
      <c r="E47" s="6">
        <v>1490</v>
      </c>
      <c r="F47" s="6">
        <v>1071</v>
      </c>
      <c r="G47" s="28">
        <v>1695266006</v>
      </c>
      <c r="H47" s="1">
        <v>34.4</v>
      </c>
      <c r="I47" s="1">
        <v>65.81</v>
      </c>
      <c r="J47" s="1">
        <v>2</v>
      </c>
      <c r="K47" s="6">
        <v>4897</v>
      </c>
      <c r="L47" s="6">
        <v>3282</v>
      </c>
      <c r="M47" s="30">
        <v>5487903281</v>
      </c>
      <c r="N47" s="1">
        <v>29</v>
      </c>
      <c r="O47" s="1">
        <v>58</v>
      </c>
      <c r="P47" s="1">
        <v>2</v>
      </c>
    </row>
    <row r="48" spans="1:16">
      <c r="A48" s="9">
        <v>45000</v>
      </c>
      <c r="B48" s="1">
        <f t="shared" si="0"/>
        <v>2023</v>
      </c>
      <c r="C48" s="1">
        <f t="shared" si="2"/>
        <v>3</v>
      </c>
      <c r="D48" s="25" t="s">
        <v>91</v>
      </c>
      <c r="E48" s="6">
        <v>1457</v>
      </c>
      <c r="F48" s="6">
        <v>965</v>
      </c>
      <c r="G48" s="28">
        <v>1617593638</v>
      </c>
      <c r="H48" s="1">
        <v>25.6</v>
      </c>
      <c r="I48" s="1">
        <v>49.04</v>
      </c>
      <c r="J48" s="1">
        <v>2</v>
      </c>
      <c r="K48" s="6">
        <v>3370</v>
      </c>
      <c r="L48" s="6">
        <v>2339</v>
      </c>
      <c r="M48" s="30">
        <v>3929139090</v>
      </c>
      <c r="N48" s="1">
        <v>27</v>
      </c>
      <c r="O48" s="1">
        <v>48</v>
      </c>
      <c r="P48" s="1">
        <v>2</v>
      </c>
    </row>
    <row r="49" spans="1:16">
      <c r="A49" s="9">
        <v>45001</v>
      </c>
      <c r="B49" s="1">
        <f t="shared" si="0"/>
        <v>2023</v>
      </c>
      <c r="C49" s="1">
        <f t="shared" si="2"/>
        <v>3</v>
      </c>
      <c r="D49" s="25" t="s">
        <v>24</v>
      </c>
      <c r="E49" s="6">
        <v>1086</v>
      </c>
      <c r="F49" s="6">
        <v>680</v>
      </c>
      <c r="G49" s="28">
        <v>1306075082</v>
      </c>
      <c r="H49" s="1">
        <v>23.2</v>
      </c>
      <c r="I49" s="1">
        <v>16.36</v>
      </c>
      <c r="J49" s="1">
        <v>2</v>
      </c>
      <c r="K49" s="6">
        <v>1461</v>
      </c>
      <c r="L49" s="6">
        <v>914</v>
      </c>
      <c r="M49" s="30">
        <v>1813986307</v>
      </c>
      <c r="N49" s="1">
        <v>21</v>
      </c>
      <c r="O49" s="1">
        <v>13</v>
      </c>
      <c r="P49" s="1">
        <v>2</v>
      </c>
    </row>
    <row r="50" spans="1:16">
      <c r="A50" s="9">
        <v>45002</v>
      </c>
      <c r="B50" s="1">
        <f t="shared" si="0"/>
        <v>2023</v>
      </c>
      <c r="C50" s="1">
        <f t="shared" si="2"/>
        <v>3</v>
      </c>
      <c r="D50" s="25" t="s">
        <v>23</v>
      </c>
      <c r="E50" s="1">
        <v>906</v>
      </c>
      <c r="F50" s="6">
        <v>660</v>
      </c>
      <c r="G50" s="28">
        <v>1050430537</v>
      </c>
      <c r="H50" s="1">
        <v>28.6</v>
      </c>
      <c r="I50" s="1">
        <v>34.21</v>
      </c>
      <c r="J50" s="1">
        <v>2</v>
      </c>
      <c r="K50" s="1">
        <v>327</v>
      </c>
      <c r="L50" s="6">
        <v>270</v>
      </c>
      <c r="M50" s="30">
        <v>319486880</v>
      </c>
      <c r="N50" s="1">
        <v>25</v>
      </c>
      <c r="O50" s="1">
        <v>32</v>
      </c>
      <c r="P50" s="1">
        <v>2</v>
      </c>
    </row>
    <row r="51" spans="1:16">
      <c r="A51" s="9">
        <v>45003</v>
      </c>
      <c r="B51" s="1">
        <f t="shared" si="0"/>
        <v>2023</v>
      </c>
      <c r="C51" s="1">
        <f t="shared" si="2"/>
        <v>3</v>
      </c>
      <c r="D51" s="25" t="s">
        <v>93</v>
      </c>
      <c r="E51" s="1">
        <v>327</v>
      </c>
      <c r="F51" s="6">
        <v>270</v>
      </c>
      <c r="G51" s="28">
        <v>319486879.89999998</v>
      </c>
      <c r="H51" s="1">
        <v>25.2</v>
      </c>
      <c r="I51" s="1">
        <v>31.63</v>
      </c>
      <c r="J51" s="1">
        <v>0</v>
      </c>
      <c r="K51" s="1">
        <v>218</v>
      </c>
      <c r="L51" s="6">
        <v>185</v>
      </c>
      <c r="M51" s="30">
        <v>252359197</v>
      </c>
      <c r="N51" s="1">
        <v>18</v>
      </c>
      <c r="O51" s="1">
        <v>19</v>
      </c>
      <c r="P51" s="1">
        <v>0</v>
      </c>
    </row>
    <row r="52" spans="1:16">
      <c r="A52" s="9">
        <v>45017</v>
      </c>
      <c r="B52" s="1">
        <f t="shared" si="0"/>
        <v>2023</v>
      </c>
      <c r="C52" s="1">
        <f t="shared" si="2"/>
        <v>4</v>
      </c>
      <c r="D52" s="25" t="s">
        <v>75</v>
      </c>
      <c r="E52" s="6">
        <v>17947</v>
      </c>
      <c r="F52" s="6">
        <v>11563</v>
      </c>
      <c r="G52" s="28">
        <v>19436230431</v>
      </c>
      <c r="H52" s="1">
        <v>33</v>
      </c>
      <c r="I52" s="1">
        <v>62.18</v>
      </c>
      <c r="J52" s="1">
        <v>8</v>
      </c>
      <c r="K52" s="6">
        <v>69994</v>
      </c>
      <c r="L52" s="6">
        <v>45841</v>
      </c>
      <c r="M52" s="30">
        <v>78252610072</v>
      </c>
      <c r="N52" s="1">
        <v>30</v>
      </c>
      <c r="O52" s="1">
        <v>58</v>
      </c>
      <c r="P52" s="1">
        <v>8</v>
      </c>
    </row>
    <row r="53" spans="1:16">
      <c r="A53" s="9">
        <v>45018</v>
      </c>
      <c r="B53" s="1">
        <f t="shared" si="0"/>
        <v>2023</v>
      </c>
      <c r="C53" s="1">
        <f t="shared" si="2"/>
        <v>4</v>
      </c>
      <c r="D53" s="25" t="s">
        <v>9</v>
      </c>
      <c r="E53" s="6">
        <v>17456</v>
      </c>
      <c r="F53" s="6">
        <v>11046</v>
      </c>
      <c r="G53" s="28">
        <v>19298366025</v>
      </c>
      <c r="H53" s="1">
        <v>32.5</v>
      </c>
      <c r="I53" s="1">
        <v>75.34</v>
      </c>
      <c r="J53" s="1">
        <v>8</v>
      </c>
      <c r="K53" s="6">
        <v>56515</v>
      </c>
      <c r="L53" s="6">
        <v>37396</v>
      </c>
      <c r="M53" s="30">
        <v>61989092833</v>
      </c>
      <c r="N53" s="1">
        <v>30</v>
      </c>
      <c r="O53" s="1">
        <v>51</v>
      </c>
      <c r="P53" s="1">
        <v>8</v>
      </c>
    </row>
    <row r="54" spans="1:16">
      <c r="A54" s="9">
        <v>45019</v>
      </c>
      <c r="B54" s="1">
        <f t="shared" si="0"/>
        <v>2023</v>
      </c>
      <c r="C54" s="1">
        <f t="shared" si="2"/>
        <v>4</v>
      </c>
      <c r="D54" s="25" t="s">
        <v>22</v>
      </c>
      <c r="E54" s="6">
        <v>12378</v>
      </c>
      <c r="F54" s="6">
        <v>7859</v>
      </c>
      <c r="G54" s="28">
        <v>13423747328</v>
      </c>
      <c r="H54" s="1">
        <v>34.1</v>
      </c>
      <c r="I54" s="1">
        <v>75.44</v>
      </c>
      <c r="J54" s="1">
        <v>2</v>
      </c>
      <c r="K54" s="6">
        <v>54304</v>
      </c>
      <c r="L54" s="6">
        <v>34205</v>
      </c>
      <c r="M54" s="30">
        <v>61033281263</v>
      </c>
      <c r="N54" s="1">
        <v>31</v>
      </c>
      <c r="O54" s="1">
        <v>76</v>
      </c>
      <c r="P54" s="1">
        <v>2</v>
      </c>
    </row>
    <row r="55" spans="1:16">
      <c r="A55" s="9">
        <v>45020</v>
      </c>
      <c r="B55" s="1">
        <f t="shared" si="0"/>
        <v>2023</v>
      </c>
      <c r="C55" s="1">
        <f t="shared" si="2"/>
        <v>4</v>
      </c>
      <c r="D55" s="25" t="s">
        <v>8</v>
      </c>
      <c r="E55" s="6">
        <v>12310</v>
      </c>
      <c r="F55" s="6">
        <v>8028</v>
      </c>
      <c r="G55" s="28">
        <v>13340278773</v>
      </c>
      <c r="H55" s="1">
        <v>28.2</v>
      </c>
      <c r="I55" s="1">
        <v>47.6</v>
      </c>
      <c r="J55" s="1">
        <v>2</v>
      </c>
      <c r="K55" s="6">
        <v>53301</v>
      </c>
      <c r="L55" s="6">
        <v>31467</v>
      </c>
      <c r="M55" s="30">
        <v>59771873625</v>
      </c>
      <c r="N55" s="1">
        <v>35</v>
      </c>
      <c r="O55" s="1">
        <v>85</v>
      </c>
      <c r="P55" s="1">
        <v>2</v>
      </c>
    </row>
    <row r="56" spans="1:16">
      <c r="A56" s="9">
        <v>45021</v>
      </c>
      <c r="B56" s="1">
        <f t="shared" si="0"/>
        <v>2023</v>
      </c>
      <c r="C56" s="1">
        <f t="shared" si="2"/>
        <v>4</v>
      </c>
      <c r="D56" s="25" t="s">
        <v>10</v>
      </c>
      <c r="E56" s="6">
        <v>10377</v>
      </c>
      <c r="F56" s="6">
        <v>7352</v>
      </c>
      <c r="G56" s="28">
        <v>12047124105</v>
      </c>
      <c r="H56" s="1">
        <v>31</v>
      </c>
      <c r="I56" s="1">
        <v>50.78</v>
      </c>
      <c r="J56" s="1">
        <v>4</v>
      </c>
      <c r="K56" s="6">
        <v>41886</v>
      </c>
      <c r="L56" s="6">
        <v>28412</v>
      </c>
      <c r="M56" s="30">
        <v>48156267360</v>
      </c>
      <c r="N56" s="1">
        <v>33</v>
      </c>
      <c r="O56" s="1">
        <v>71</v>
      </c>
      <c r="P56" s="1">
        <v>4</v>
      </c>
    </row>
    <row r="57" spans="1:16">
      <c r="A57" s="9">
        <v>45022</v>
      </c>
      <c r="B57" s="1">
        <f t="shared" si="0"/>
        <v>2023</v>
      </c>
      <c r="C57" s="1">
        <f t="shared" si="2"/>
        <v>4</v>
      </c>
      <c r="D57" s="25" t="s">
        <v>79</v>
      </c>
      <c r="E57" s="6">
        <v>9527</v>
      </c>
      <c r="F57" s="6">
        <v>6604</v>
      </c>
      <c r="G57" s="28">
        <v>11002126486</v>
      </c>
      <c r="H57" s="1">
        <v>33.4</v>
      </c>
      <c r="I57" s="1">
        <v>73.41</v>
      </c>
      <c r="J57" s="1">
        <v>4</v>
      </c>
      <c r="K57" s="6">
        <v>40005</v>
      </c>
      <c r="L57" s="6">
        <v>28341</v>
      </c>
      <c r="M57" s="30">
        <v>47348320654</v>
      </c>
      <c r="N57" s="1">
        <v>30</v>
      </c>
      <c r="O57" s="1">
        <v>51</v>
      </c>
      <c r="P57" s="1">
        <v>4</v>
      </c>
    </row>
    <row r="58" spans="1:16">
      <c r="A58" s="9">
        <v>45023</v>
      </c>
      <c r="B58" s="1">
        <f t="shared" si="0"/>
        <v>2023</v>
      </c>
      <c r="C58" s="1">
        <f t="shared" si="2"/>
        <v>4</v>
      </c>
      <c r="D58" s="25" t="s">
        <v>12</v>
      </c>
      <c r="E58" s="6">
        <v>6306</v>
      </c>
      <c r="F58" s="6">
        <v>4111</v>
      </c>
      <c r="G58" s="28">
        <v>7352983240</v>
      </c>
      <c r="H58" s="1">
        <v>24.5</v>
      </c>
      <c r="I58" s="1">
        <v>45.5</v>
      </c>
      <c r="J58" s="1">
        <v>4</v>
      </c>
      <c r="K58" s="6">
        <v>31158</v>
      </c>
      <c r="L58" s="6">
        <v>19841</v>
      </c>
      <c r="M58" s="30">
        <v>35070411937</v>
      </c>
      <c r="N58" s="1">
        <v>26</v>
      </c>
      <c r="O58" s="1">
        <v>45</v>
      </c>
      <c r="P58" s="1">
        <v>4</v>
      </c>
    </row>
    <row r="59" spans="1:16">
      <c r="A59" s="9">
        <v>45024</v>
      </c>
      <c r="B59" s="1">
        <f t="shared" si="0"/>
        <v>2023</v>
      </c>
      <c r="C59" s="1">
        <f t="shared" si="2"/>
        <v>4</v>
      </c>
      <c r="D59" s="25" t="s">
        <v>7</v>
      </c>
      <c r="E59" s="6">
        <v>5242</v>
      </c>
      <c r="F59" s="6">
        <v>3241</v>
      </c>
      <c r="G59" s="28">
        <v>5698975095</v>
      </c>
      <c r="H59" s="1">
        <v>29.4</v>
      </c>
      <c r="I59" s="1">
        <v>58.09</v>
      </c>
      <c r="J59" s="1">
        <v>0</v>
      </c>
      <c r="K59" s="6">
        <v>12780</v>
      </c>
      <c r="L59" s="6">
        <v>8939</v>
      </c>
      <c r="M59" s="30">
        <v>14580944558</v>
      </c>
      <c r="N59" s="1">
        <v>23</v>
      </c>
      <c r="O59" s="1">
        <v>44</v>
      </c>
      <c r="P59" s="1">
        <v>0</v>
      </c>
    </row>
    <row r="60" spans="1:16">
      <c r="A60" s="9">
        <v>45025</v>
      </c>
      <c r="B60" s="1">
        <f t="shared" si="0"/>
        <v>2023</v>
      </c>
      <c r="C60" s="1">
        <f t="shared" si="2"/>
        <v>4</v>
      </c>
      <c r="D60" s="25" t="s">
        <v>84</v>
      </c>
      <c r="E60" s="6">
        <v>2872</v>
      </c>
      <c r="F60" s="6">
        <v>2091</v>
      </c>
      <c r="G60" s="28">
        <v>3468615851</v>
      </c>
      <c r="H60" s="1">
        <v>20.3</v>
      </c>
      <c r="I60" s="1">
        <v>27.73</v>
      </c>
      <c r="J60" s="1">
        <v>3</v>
      </c>
      <c r="K60" s="6">
        <v>11337</v>
      </c>
      <c r="L60" s="6">
        <v>8008</v>
      </c>
      <c r="M60" s="30">
        <v>14129794801</v>
      </c>
      <c r="N60" s="1">
        <v>22</v>
      </c>
      <c r="O60" s="1">
        <v>28</v>
      </c>
      <c r="P60" s="1">
        <v>3</v>
      </c>
    </row>
    <row r="61" spans="1:16">
      <c r="A61" s="9">
        <v>45026</v>
      </c>
      <c r="B61" s="1">
        <f t="shared" si="0"/>
        <v>2023</v>
      </c>
      <c r="C61" s="1">
        <f t="shared" si="2"/>
        <v>4</v>
      </c>
      <c r="D61" s="25" t="s">
        <v>91</v>
      </c>
      <c r="E61" s="6">
        <v>1995</v>
      </c>
      <c r="F61" s="6">
        <v>1427</v>
      </c>
      <c r="G61" s="28">
        <v>2193242770</v>
      </c>
      <c r="H61" s="1">
        <v>24.4</v>
      </c>
      <c r="I61" s="1">
        <v>51.63</v>
      </c>
      <c r="J61" s="1">
        <v>0</v>
      </c>
      <c r="K61" s="6">
        <v>8382</v>
      </c>
      <c r="L61" s="6">
        <v>5847</v>
      </c>
      <c r="M61" s="30">
        <v>9771781402</v>
      </c>
      <c r="N61" s="1">
        <v>30</v>
      </c>
      <c r="O61" s="1">
        <v>44</v>
      </c>
      <c r="P61" s="1">
        <v>0</v>
      </c>
    </row>
    <row r="62" spans="1:16">
      <c r="A62" s="9">
        <v>45027</v>
      </c>
      <c r="B62" s="1">
        <f t="shared" si="0"/>
        <v>2023</v>
      </c>
      <c r="C62" s="1">
        <f t="shared" si="2"/>
        <v>4</v>
      </c>
      <c r="D62" s="25" t="s">
        <v>11</v>
      </c>
      <c r="E62" s="6">
        <v>1799</v>
      </c>
      <c r="F62" s="6">
        <v>1204</v>
      </c>
      <c r="G62" s="28">
        <v>2096677564</v>
      </c>
      <c r="H62" s="1">
        <v>26.3</v>
      </c>
      <c r="I62" s="1">
        <v>47.65</v>
      </c>
      <c r="J62" s="1">
        <v>2</v>
      </c>
      <c r="K62" s="6">
        <v>7844</v>
      </c>
      <c r="L62" s="6">
        <v>5603</v>
      </c>
      <c r="M62" s="30">
        <v>9408346220</v>
      </c>
      <c r="N62" s="1">
        <v>27</v>
      </c>
      <c r="O62" s="1">
        <v>41</v>
      </c>
      <c r="P62" s="1">
        <v>2</v>
      </c>
    </row>
    <row r="63" spans="1:16">
      <c r="A63" s="9">
        <v>45028</v>
      </c>
      <c r="B63" s="1">
        <f t="shared" si="0"/>
        <v>2023</v>
      </c>
      <c r="C63" s="1">
        <f t="shared" si="2"/>
        <v>4</v>
      </c>
      <c r="D63" s="25" t="s">
        <v>88</v>
      </c>
      <c r="E63" s="6">
        <v>1540</v>
      </c>
      <c r="F63" s="6">
        <v>1097</v>
      </c>
      <c r="G63" s="28">
        <v>1811479589</v>
      </c>
      <c r="H63" s="1">
        <v>29.4</v>
      </c>
      <c r="I63" s="1">
        <v>42.48</v>
      </c>
      <c r="J63" s="1">
        <v>2</v>
      </c>
      <c r="K63" s="6">
        <v>6894</v>
      </c>
      <c r="L63" s="6">
        <v>4640</v>
      </c>
      <c r="M63" s="30">
        <v>7524735649</v>
      </c>
      <c r="N63" s="1">
        <v>25</v>
      </c>
      <c r="O63" s="1">
        <v>47</v>
      </c>
      <c r="P63" s="1">
        <v>2</v>
      </c>
    </row>
    <row r="64" spans="1:16">
      <c r="A64" s="9">
        <v>45029</v>
      </c>
      <c r="B64" s="1">
        <f t="shared" si="0"/>
        <v>2023</v>
      </c>
      <c r="C64" s="1">
        <f t="shared" si="2"/>
        <v>4</v>
      </c>
      <c r="D64" s="25" t="s">
        <v>20</v>
      </c>
      <c r="E64" s="6">
        <v>1267</v>
      </c>
      <c r="F64" s="6">
        <v>899</v>
      </c>
      <c r="G64" s="28">
        <v>1404349560</v>
      </c>
      <c r="H64" s="1">
        <v>30.4</v>
      </c>
      <c r="I64" s="1">
        <v>49.47</v>
      </c>
      <c r="J64" s="1">
        <v>2</v>
      </c>
      <c r="K64" s="6">
        <v>6892</v>
      </c>
      <c r="L64" s="6">
        <v>4709</v>
      </c>
      <c r="M64" s="30">
        <v>7681146051</v>
      </c>
      <c r="N64" s="1">
        <v>28</v>
      </c>
      <c r="O64" s="1">
        <v>56</v>
      </c>
      <c r="P64" s="1">
        <v>2</v>
      </c>
    </row>
    <row r="65" spans="1:16">
      <c r="A65" s="9">
        <v>45030</v>
      </c>
      <c r="B65" s="1">
        <f t="shared" si="0"/>
        <v>2023</v>
      </c>
      <c r="C65" s="1">
        <f t="shared" si="2"/>
        <v>4</v>
      </c>
      <c r="D65" s="25" t="s">
        <v>19</v>
      </c>
      <c r="E65" s="6">
        <v>1150</v>
      </c>
      <c r="F65" s="6">
        <v>771</v>
      </c>
      <c r="G65" s="28">
        <v>1218346774</v>
      </c>
      <c r="H65" s="1">
        <v>19.2</v>
      </c>
      <c r="I65" s="1">
        <v>35.67</v>
      </c>
      <c r="J65" s="1">
        <v>2</v>
      </c>
      <c r="K65" s="6">
        <v>6331</v>
      </c>
      <c r="L65" s="6">
        <v>4416</v>
      </c>
      <c r="M65" s="30">
        <v>7008885433</v>
      </c>
      <c r="N65" s="1">
        <v>33</v>
      </c>
      <c r="O65" s="1">
        <v>55</v>
      </c>
      <c r="P65" s="1">
        <v>2</v>
      </c>
    </row>
    <row r="66" spans="1:16">
      <c r="A66" s="9">
        <v>45031</v>
      </c>
      <c r="B66" s="1">
        <f t="shared" si="0"/>
        <v>2023</v>
      </c>
      <c r="C66" s="1">
        <f t="shared" si="2"/>
        <v>4</v>
      </c>
      <c r="D66" s="25" t="s">
        <v>24</v>
      </c>
      <c r="E66" s="6">
        <v>364</v>
      </c>
      <c r="F66" s="6">
        <v>225</v>
      </c>
      <c r="G66" s="28">
        <v>410331037</v>
      </c>
      <c r="H66" s="1">
        <v>22.1</v>
      </c>
      <c r="I66" s="1">
        <v>14.31</v>
      </c>
      <c r="J66" s="1">
        <v>2</v>
      </c>
      <c r="K66" s="6">
        <v>5169</v>
      </c>
      <c r="L66" s="6">
        <v>3543</v>
      </c>
      <c r="M66" s="30">
        <v>6025816654</v>
      </c>
      <c r="N66" s="1">
        <v>27</v>
      </c>
      <c r="O66" s="1">
        <v>48</v>
      </c>
      <c r="P66" s="1">
        <v>2</v>
      </c>
    </row>
    <row r="67" spans="1:16">
      <c r="A67" s="9">
        <v>45047</v>
      </c>
      <c r="B67" s="1">
        <f t="shared" si="0"/>
        <v>2023</v>
      </c>
      <c r="C67" s="1">
        <f t="shared" si="2"/>
        <v>5</v>
      </c>
      <c r="D67" s="25" t="s">
        <v>75</v>
      </c>
      <c r="E67" s="6">
        <v>23249</v>
      </c>
      <c r="F67" s="6">
        <v>15265</v>
      </c>
      <c r="G67" s="28">
        <v>25143106207</v>
      </c>
      <c r="H67" s="1">
        <v>33.4</v>
      </c>
      <c r="I67" s="1">
        <v>75.290000000000006</v>
      </c>
      <c r="J67" s="1">
        <v>12</v>
      </c>
      <c r="K67" s="6">
        <v>98826</v>
      </c>
      <c r="L67" s="6">
        <v>64699</v>
      </c>
      <c r="M67" s="30">
        <v>109304095193</v>
      </c>
      <c r="N67" s="1">
        <v>31</v>
      </c>
      <c r="O67" s="1">
        <v>62</v>
      </c>
      <c r="P67" s="1">
        <v>12</v>
      </c>
    </row>
    <row r="68" spans="1:16">
      <c r="A68" s="9">
        <v>45048</v>
      </c>
      <c r="B68" s="1">
        <f t="shared" si="0"/>
        <v>2023</v>
      </c>
      <c r="C68" s="1">
        <f t="shared" si="2"/>
        <v>5</v>
      </c>
      <c r="D68" s="25" t="s">
        <v>8</v>
      </c>
      <c r="E68" s="6">
        <v>17544</v>
      </c>
      <c r="F68" s="6">
        <v>11713</v>
      </c>
      <c r="G68" s="28">
        <v>18548851539</v>
      </c>
      <c r="H68" s="1">
        <v>31.8</v>
      </c>
      <c r="I68" s="1">
        <v>63.87</v>
      </c>
      <c r="J68" s="1">
        <v>9</v>
      </c>
      <c r="K68" s="6">
        <v>74059</v>
      </c>
      <c r="L68" s="6">
        <v>49109</v>
      </c>
      <c r="M68" s="30">
        <v>80537944372</v>
      </c>
      <c r="N68" s="1">
        <v>30</v>
      </c>
      <c r="O68" s="1">
        <v>54</v>
      </c>
      <c r="P68" s="1">
        <v>9</v>
      </c>
    </row>
    <row r="69" spans="1:16">
      <c r="A69" s="9">
        <v>45049</v>
      </c>
      <c r="B69" s="1">
        <f t="shared" si="0"/>
        <v>2023</v>
      </c>
      <c r="C69" s="1">
        <f t="shared" si="2"/>
        <v>5</v>
      </c>
      <c r="D69" s="25" t="s">
        <v>22</v>
      </c>
      <c r="E69" s="6">
        <v>15527</v>
      </c>
      <c r="F69" s="6">
        <v>10091</v>
      </c>
      <c r="G69" s="28">
        <v>16870173301</v>
      </c>
      <c r="H69" s="1">
        <v>28</v>
      </c>
      <c r="I69" s="1">
        <v>69.66</v>
      </c>
      <c r="J69" s="1">
        <v>3</v>
      </c>
      <c r="K69" s="6">
        <v>68828</v>
      </c>
      <c r="L69" s="6">
        <v>41558</v>
      </c>
      <c r="M69" s="30">
        <v>76642046926</v>
      </c>
      <c r="N69" s="1">
        <v>34</v>
      </c>
      <c r="O69" s="1">
        <v>82</v>
      </c>
      <c r="P69" s="1">
        <v>3</v>
      </c>
    </row>
    <row r="70" spans="1:16">
      <c r="A70" s="9">
        <v>45050</v>
      </c>
      <c r="B70" s="1">
        <f t="shared" si="0"/>
        <v>2023</v>
      </c>
      <c r="C70" s="1">
        <f t="shared" si="2"/>
        <v>5</v>
      </c>
      <c r="D70" s="25" t="s">
        <v>10</v>
      </c>
      <c r="E70" s="6">
        <v>15083</v>
      </c>
      <c r="F70" s="6">
        <v>10221</v>
      </c>
      <c r="G70" s="28">
        <v>16872470105</v>
      </c>
      <c r="H70" s="1">
        <v>30.5</v>
      </c>
      <c r="I70" s="1">
        <v>64.3</v>
      </c>
      <c r="J70" s="1">
        <v>2</v>
      </c>
      <c r="K70" s="6">
        <v>68296</v>
      </c>
      <c r="L70" s="6">
        <v>42800</v>
      </c>
      <c r="M70" s="30">
        <v>76329303824</v>
      </c>
      <c r="N70" s="1">
        <v>31</v>
      </c>
      <c r="O70" s="1">
        <v>76</v>
      </c>
      <c r="P70" s="1">
        <v>2</v>
      </c>
    </row>
    <row r="71" spans="1:16">
      <c r="A71" s="9">
        <v>45051</v>
      </c>
      <c r="B71" s="1">
        <f t="shared" si="0"/>
        <v>2023</v>
      </c>
      <c r="C71" s="1">
        <f t="shared" si="2"/>
        <v>5</v>
      </c>
      <c r="D71" s="25" t="s">
        <v>9</v>
      </c>
      <c r="E71" s="6">
        <v>13992</v>
      </c>
      <c r="F71" s="6">
        <v>8595</v>
      </c>
      <c r="G71" s="28">
        <v>15296022560</v>
      </c>
      <c r="H71" s="1">
        <v>32.299999999999997</v>
      </c>
      <c r="I71" s="1">
        <v>77.819999999999993</v>
      </c>
      <c r="J71" s="1">
        <v>5</v>
      </c>
      <c r="K71" s="6">
        <v>55088</v>
      </c>
      <c r="L71" s="6">
        <v>38562</v>
      </c>
      <c r="M71" s="30">
        <v>64220790759</v>
      </c>
      <c r="N71" s="1">
        <v>30</v>
      </c>
      <c r="O71" s="1">
        <v>54</v>
      </c>
      <c r="P71" s="1">
        <v>5</v>
      </c>
    </row>
    <row r="72" spans="1:16">
      <c r="A72" s="9">
        <v>45052</v>
      </c>
      <c r="B72" s="1">
        <f t="shared" si="0"/>
        <v>2023</v>
      </c>
      <c r="C72" s="1">
        <f t="shared" si="2"/>
        <v>5</v>
      </c>
      <c r="D72" s="25" t="s">
        <v>79</v>
      </c>
      <c r="E72" s="6">
        <v>11186</v>
      </c>
      <c r="F72" s="6">
        <v>7518</v>
      </c>
      <c r="G72" s="28">
        <v>12618502825</v>
      </c>
      <c r="H72" s="1">
        <v>25.9</v>
      </c>
      <c r="I72" s="1">
        <v>64.930000000000007</v>
      </c>
      <c r="J72" s="1">
        <v>4</v>
      </c>
      <c r="K72" s="6">
        <v>53072</v>
      </c>
      <c r="L72" s="6">
        <v>35930</v>
      </c>
      <c r="M72" s="30">
        <v>60774770185</v>
      </c>
      <c r="N72" s="1">
        <v>32</v>
      </c>
      <c r="O72" s="1">
        <v>70</v>
      </c>
      <c r="P72" s="1">
        <v>4</v>
      </c>
    </row>
    <row r="73" spans="1:16">
      <c r="A73" s="9">
        <v>45053</v>
      </c>
      <c r="B73" s="1">
        <f t="shared" si="0"/>
        <v>2023</v>
      </c>
      <c r="C73" s="1">
        <f t="shared" si="2"/>
        <v>5</v>
      </c>
      <c r="D73" s="25" t="s">
        <v>12</v>
      </c>
      <c r="E73" s="6">
        <v>6663</v>
      </c>
      <c r="F73" s="6">
        <v>4525</v>
      </c>
      <c r="G73" s="28">
        <v>7782746218</v>
      </c>
      <c r="H73" s="1">
        <v>31.5</v>
      </c>
      <c r="I73" s="1">
        <v>61.22</v>
      </c>
      <c r="J73" s="1">
        <v>4</v>
      </c>
      <c r="K73" s="6">
        <v>37821</v>
      </c>
      <c r="L73" s="6">
        <v>24366</v>
      </c>
      <c r="M73" s="30">
        <v>42853158155</v>
      </c>
      <c r="N73" s="1">
        <v>27</v>
      </c>
      <c r="O73" s="1">
        <v>48</v>
      </c>
      <c r="P73" s="1">
        <v>4</v>
      </c>
    </row>
    <row r="74" spans="1:16">
      <c r="A74" s="9">
        <v>45054</v>
      </c>
      <c r="B74" s="1">
        <f t="shared" si="0"/>
        <v>2023</v>
      </c>
      <c r="C74" s="1">
        <f t="shared" si="2"/>
        <v>5</v>
      </c>
      <c r="D74" s="25" t="s">
        <v>7</v>
      </c>
      <c r="E74" s="6">
        <v>5583</v>
      </c>
      <c r="F74" s="6">
        <v>3593</v>
      </c>
      <c r="G74" s="28">
        <v>5908378914</v>
      </c>
      <c r="H74" s="1">
        <v>34.9</v>
      </c>
      <c r="I74" s="1">
        <v>76.09</v>
      </c>
      <c r="J74" s="1">
        <v>3</v>
      </c>
      <c r="K74" s="6">
        <v>13974</v>
      </c>
      <c r="L74" s="6">
        <v>9906</v>
      </c>
      <c r="M74" s="30">
        <v>17305046325</v>
      </c>
      <c r="N74" s="1">
        <v>22</v>
      </c>
      <c r="O74" s="1">
        <v>29</v>
      </c>
      <c r="P74" s="1">
        <v>3</v>
      </c>
    </row>
    <row r="75" spans="1:16">
      <c r="A75" s="9">
        <v>45055</v>
      </c>
      <c r="B75" s="1">
        <f t="shared" si="0"/>
        <v>2023</v>
      </c>
      <c r="C75" s="1">
        <f t="shared" si="2"/>
        <v>5</v>
      </c>
      <c r="D75" s="25" t="s">
        <v>84</v>
      </c>
      <c r="E75" s="6">
        <v>2637</v>
      </c>
      <c r="F75" s="6">
        <v>1898</v>
      </c>
      <c r="G75" s="28">
        <v>3175251523</v>
      </c>
      <c r="H75" s="1">
        <v>22.5</v>
      </c>
      <c r="I75" s="1">
        <v>34.6</v>
      </c>
      <c r="J75" s="1">
        <v>0</v>
      </c>
      <c r="K75" s="6">
        <v>12780</v>
      </c>
      <c r="L75" s="6">
        <v>8939</v>
      </c>
      <c r="M75" s="30">
        <v>14580944558</v>
      </c>
      <c r="N75" s="1">
        <v>23</v>
      </c>
      <c r="O75" s="1">
        <v>44</v>
      </c>
      <c r="P75" s="1">
        <v>0</v>
      </c>
    </row>
    <row r="76" spans="1:16">
      <c r="A76" s="9">
        <v>45056</v>
      </c>
      <c r="B76" s="1">
        <f t="shared" si="0"/>
        <v>2023</v>
      </c>
      <c r="C76" s="1">
        <f t="shared" si="2"/>
        <v>5</v>
      </c>
      <c r="D76" s="25" t="s">
        <v>19</v>
      </c>
      <c r="E76" s="6">
        <v>2525</v>
      </c>
      <c r="F76" s="6">
        <v>1751</v>
      </c>
      <c r="G76" s="28">
        <v>2727190139</v>
      </c>
      <c r="H76" s="1">
        <v>25.3</v>
      </c>
      <c r="I76" s="1">
        <v>62.61</v>
      </c>
      <c r="J76" s="1">
        <v>2</v>
      </c>
      <c r="K76" s="6">
        <v>10196</v>
      </c>
      <c r="L76" s="6">
        <v>7183</v>
      </c>
      <c r="M76" s="30">
        <v>12099249665</v>
      </c>
      <c r="N76" s="1">
        <v>26</v>
      </c>
      <c r="O76" s="1">
        <v>41</v>
      </c>
      <c r="P76" s="1">
        <v>2</v>
      </c>
    </row>
    <row r="77" spans="1:16">
      <c r="A77" s="9">
        <v>45057</v>
      </c>
      <c r="B77" s="1">
        <f t="shared" si="0"/>
        <v>2023</v>
      </c>
      <c r="C77" s="1">
        <f t="shared" si="2"/>
        <v>5</v>
      </c>
      <c r="D77" s="25" t="s">
        <v>20</v>
      </c>
      <c r="E77" s="6">
        <v>2496</v>
      </c>
      <c r="F77" s="6">
        <v>1860</v>
      </c>
      <c r="G77" s="28">
        <v>2754394664</v>
      </c>
      <c r="H77" s="1">
        <v>43.3</v>
      </c>
      <c r="I77" s="1">
        <v>75.5</v>
      </c>
      <c r="J77" s="1">
        <v>2</v>
      </c>
      <c r="K77" s="6">
        <v>9419</v>
      </c>
      <c r="L77" s="6">
        <v>6391</v>
      </c>
      <c r="M77" s="30">
        <v>10251925789</v>
      </c>
      <c r="N77" s="1">
        <v>25</v>
      </c>
      <c r="O77" s="1">
        <v>50</v>
      </c>
      <c r="P77" s="1">
        <v>2</v>
      </c>
    </row>
    <row r="78" spans="1:16">
      <c r="A78" s="9">
        <v>45058</v>
      </c>
      <c r="B78" s="1">
        <f t="shared" si="0"/>
        <v>2023</v>
      </c>
      <c r="C78" s="1">
        <f t="shared" si="2"/>
        <v>5</v>
      </c>
      <c r="D78" s="25" t="s">
        <v>88</v>
      </c>
      <c r="E78" s="6">
        <v>2352</v>
      </c>
      <c r="F78" s="6">
        <v>1580</v>
      </c>
      <c r="G78" s="28">
        <v>2690903445</v>
      </c>
      <c r="H78" s="1">
        <v>17.899999999999999</v>
      </c>
      <c r="I78" s="1">
        <v>42.5</v>
      </c>
      <c r="J78" s="1">
        <v>2</v>
      </c>
      <c r="K78" s="6">
        <v>8827</v>
      </c>
      <c r="L78" s="6">
        <v>6276</v>
      </c>
      <c r="M78" s="30">
        <v>9763280097</v>
      </c>
      <c r="N78" s="1">
        <v>35</v>
      </c>
      <c r="O78" s="1">
        <v>59</v>
      </c>
      <c r="P78" s="1">
        <v>2</v>
      </c>
    </row>
    <row r="79" spans="1:16">
      <c r="A79" s="9">
        <v>45059</v>
      </c>
      <c r="B79" s="1">
        <f t="shared" si="0"/>
        <v>2023</v>
      </c>
      <c r="C79" s="1">
        <f t="shared" si="2"/>
        <v>5</v>
      </c>
      <c r="D79" s="25" t="s">
        <v>91</v>
      </c>
      <c r="E79" s="6">
        <v>1318</v>
      </c>
      <c r="F79" s="6">
        <v>909</v>
      </c>
      <c r="G79" s="28">
        <v>1442418094</v>
      </c>
      <c r="H79" s="1">
        <v>25.6</v>
      </c>
      <c r="I79" s="1">
        <v>64.930000000000007</v>
      </c>
      <c r="J79" s="1">
        <v>0</v>
      </c>
      <c r="K79" s="6">
        <v>8382</v>
      </c>
      <c r="L79" s="6">
        <v>5847</v>
      </c>
      <c r="M79" s="30">
        <v>9771781402</v>
      </c>
      <c r="N79" s="1">
        <v>30</v>
      </c>
      <c r="O79" s="1">
        <v>44</v>
      </c>
      <c r="P79" s="1">
        <v>0</v>
      </c>
    </row>
    <row r="80" spans="1:16">
      <c r="A80" s="9">
        <v>45060</v>
      </c>
      <c r="B80" s="1">
        <f t="shared" si="0"/>
        <v>2023</v>
      </c>
      <c r="C80" s="1">
        <f t="shared" si="2"/>
        <v>5</v>
      </c>
      <c r="D80" s="25" t="s">
        <v>11</v>
      </c>
      <c r="E80" s="6">
        <v>865</v>
      </c>
      <c r="F80" s="6">
        <v>597</v>
      </c>
      <c r="G80" s="28">
        <v>1000844582</v>
      </c>
      <c r="H80" s="1">
        <v>26.2</v>
      </c>
      <c r="I80" s="1">
        <v>52.22</v>
      </c>
      <c r="J80" s="1">
        <v>3</v>
      </c>
      <c r="K80" s="6">
        <v>8210</v>
      </c>
      <c r="L80" s="6">
        <v>5618</v>
      </c>
      <c r="M80" s="30">
        <v>9123564145</v>
      </c>
      <c r="N80" s="1">
        <v>28</v>
      </c>
      <c r="O80" s="1">
        <v>58</v>
      </c>
      <c r="P80" s="1">
        <v>3</v>
      </c>
    </row>
    <row r="81" spans="1:16">
      <c r="A81" s="9">
        <v>45061</v>
      </c>
      <c r="B81" s="1">
        <f t="shared" si="0"/>
        <v>2023</v>
      </c>
      <c r="C81" s="1">
        <f t="shared" si="2"/>
        <v>5</v>
      </c>
      <c r="D81" s="25" t="s">
        <v>28</v>
      </c>
      <c r="E81" s="6">
        <v>364</v>
      </c>
      <c r="F81" s="6">
        <v>206</v>
      </c>
      <c r="G81" s="28">
        <v>310186666.80000001</v>
      </c>
      <c r="H81" s="1">
        <v>27.9</v>
      </c>
      <c r="I81" s="1">
        <v>22.7</v>
      </c>
      <c r="J81" s="1">
        <v>2</v>
      </c>
      <c r="K81" s="6">
        <v>6034</v>
      </c>
      <c r="L81" s="6">
        <v>4140</v>
      </c>
      <c r="M81" s="30">
        <v>7026661236</v>
      </c>
      <c r="N81" s="1">
        <v>27</v>
      </c>
      <c r="O81" s="1">
        <v>49</v>
      </c>
      <c r="P81" s="1">
        <v>2</v>
      </c>
    </row>
    <row r="82" spans="1:16">
      <c r="A82" s="9">
        <v>45062</v>
      </c>
      <c r="B82" s="1">
        <f t="shared" si="0"/>
        <v>2023</v>
      </c>
      <c r="C82" s="1">
        <f t="shared" si="2"/>
        <v>5</v>
      </c>
      <c r="D82" s="25" t="s">
        <v>24</v>
      </c>
      <c r="E82" s="6">
        <v>286</v>
      </c>
      <c r="F82" s="6">
        <v>198</v>
      </c>
      <c r="G82" s="28">
        <v>332590120.80000001</v>
      </c>
      <c r="H82" s="1">
        <v>19.3</v>
      </c>
      <c r="I82" s="1">
        <v>19.2</v>
      </c>
      <c r="J82" s="1">
        <v>3</v>
      </c>
      <c r="K82" s="6">
        <v>2111</v>
      </c>
      <c r="L82" s="6">
        <v>1337</v>
      </c>
      <c r="M82" s="30">
        <v>2556907465</v>
      </c>
      <c r="N82" s="1">
        <v>21</v>
      </c>
      <c r="O82" s="1">
        <v>15</v>
      </c>
      <c r="P82" s="1">
        <v>3</v>
      </c>
    </row>
    <row r="83" spans="1:16">
      <c r="A83" s="9">
        <v>45063</v>
      </c>
      <c r="B83" s="1">
        <f t="shared" si="0"/>
        <v>2023</v>
      </c>
      <c r="C83" s="1">
        <f t="shared" si="2"/>
        <v>5</v>
      </c>
      <c r="D83" s="25" t="s">
        <v>93</v>
      </c>
      <c r="E83" s="1">
        <v>64</v>
      </c>
      <c r="F83" s="6">
        <v>33</v>
      </c>
      <c r="G83" s="28">
        <v>53517200.93</v>
      </c>
      <c r="H83" s="1">
        <v>12.5</v>
      </c>
      <c r="I83" s="1">
        <v>6.81</v>
      </c>
      <c r="J83" s="1">
        <v>0</v>
      </c>
      <c r="K83" s="1">
        <v>391</v>
      </c>
      <c r="L83" s="6">
        <v>303</v>
      </c>
      <c r="M83" s="30">
        <v>373004081</v>
      </c>
      <c r="N83" s="1">
        <v>19</v>
      </c>
      <c r="O83" s="1">
        <v>19</v>
      </c>
      <c r="P83" s="1">
        <v>0</v>
      </c>
    </row>
    <row r="84" spans="1:16">
      <c r="A84" s="9">
        <v>45078</v>
      </c>
      <c r="B84" s="1">
        <f t="shared" si="0"/>
        <v>2023</v>
      </c>
      <c r="C84" s="1">
        <f t="shared" si="2"/>
        <v>6</v>
      </c>
      <c r="D84" s="25" t="s">
        <v>75</v>
      </c>
      <c r="E84" s="6">
        <v>17793</v>
      </c>
      <c r="F84" s="6">
        <v>11184</v>
      </c>
      <c r="G84" s="28">
        <v>19267863102</v>
      </c>
      <c r="H84" s="1">
        <v>27.4</v>
      </c>
      <c r="I84" s="1">
        <v>69.19</v>
      </c>
      <c r="J84" s="1">
        <v>10</v>
      </c>
      <c r="K84" s="6">
        <v>118925</v>
      </c>
      <c r="L84" s="6">
        <v>77396</v>
      </c>
      <c r="M84" s="30">
        <v>130870153303</v>
      </c>
      <c r="N84" s="1">
        <v>30</v>
      </c>
      <c r="O84" s="1">
        <v>62</v>
      </c>
      <c r="P84" s="1">
        <v>10</v>
      </c>
    </row>
    <row r="85" spans="1:16">
      <c r="A85" s="9">
        <v>45079</v>
      </c>
      <c r="B85" s="1">
        <f t="shared" si="0"/>
        <v>2023</v>
      </c>
      <c r="C85" s="1">
        <f t="shared" si="2"/>
        <v>6</v>
      </c>
      <c r="D85" s="25" t="s">
        <v>9</v>
      </c>
      <c r="E85" s="6">
        <v>17102</v>
      </c>
      <c r="F85" s="6">
        <v>10607</v>
      </c>
      <c r="G85" s="28">
        <v>18403999716</v>
      </c>
      <c r="H85" s="1">
        <v>32.299999999999997</v>
      </c>
      <c r="I85" s="1">
        <v>87.38</v>
      </c>
      <c r="J85" s="1">
        <v>9</v>
      </c>
      <c r="K85" s="6">
        <v>90177</v>
      </c>
      <c r="L85" s="6">
        <v>59715</v>
      </c>
      <c r="M85" s="30">
        <v>97361205953</v>
      </c>
      <c r="N85" s="1">
        <v>30</v>
      </c>
      <c r="O85" s="1">
        <v>54</v>
      </c>
      <c r="P85" s="1">
        <v>9</v>
      </c>
    </row>
    <row r="86" spans="1:16">
      <c r="A86" s="9">
        <v>45080</v>
      </c>
      <c r="B86" s="1">
        <f t="shared" si="0"/>
        <v>2023</v>
      </c>
      <c r="C86" s="1">
        <f t="shared" si="2"/>
        <v>6</v>
      </c>
      <c r="D86" s="25" t="s">
        <v>8</v>
      </c>
      <c r="E86" s="1">
        <v>16118</v>
      </c>
      <c r="F86" s="6">
        <v>10606</v>
      </c>
      <c r="G86" s="28">
        <v>16902625014</v>
      </c>
      <c r="H86" s="1">
        <v>26.8</v>
      </c>
      <c r="I86" s="1">
        <v>57.8</v>
      </c>
      <c r="J86" s="1">
        <v>3</v>
      </c>
      <c r="K86" s="1">
        <v>82.015000000000001</v>
      </c>
      <c r="L86" s="6">
        <v>49930</v>
      </c>
      <c r="M86" s="30">
        <v>90896028153</v>
      </c>
      <c r="N86" s="1">
        <v>33</v>
      </c>
      <c r="O86" s="1">
        <v>82</v>
      </c>
      <c r="P86" s="1">
        <v>3</v>
      </c>
    </row>
    <row r="87" spans="1:16">
      <c r="A87" s="9">
        <v>45081</v>
      </c>
      <c r="B87" s="1">
        <f t="shared" si="0"/>
        <v>2023</v>
      </c>
      <c r="C87" s="1">
        <f t="shared" si="2"/>
        <v>6</v>
      </c>
      <c r="D87" s="25" t="s">
        <v>22</v>
      </c>
      <c r="E87" s="6">
        <v>13187</v>
      </c>
      <c r="F87" s="6">
        <v>8372</v>
      </c>
      <c r="G87" s="28">
        <v>14253981227</v>
      </c>
      <c r="H87" s="1">
        <v>29.9</v>
      </c>
      <c r="I87" s="1">
        <v>82.23</v>
      </c>
      <c r="J87" s="1">
        <v>3</v>
      </c>
      <c r="K87" s="6">
        <v>85398</v>
      </c>
      <c r="L87" s="6">
        <v>53407</v>
      </c>
      <c r="M87" s="30">
        <v>94733303540</v>
      </c>
      <c r="N87" s="1">
        <v>31</v>
      </c>
      <c r="O87" s="1">
        <v>78</v>
      </c>
      <c r="P87" s="1">
        <v>3</v>
      </c>
    </row>
    <row r="88" spans="1:16">
      <c r="A88" s="9">
        <v>45082</v>
      </c>
      <c r="B88" s="1">
        <f t="shared" si="0"/>
        <v>2023</v>
      </c>
      <c r="C88" s="1">
        <f t="shared" si="2"/>
        <v>6</v>
      </c>
      <c r="D88" s="25" t="s">
        <v>79</v>
      </c>
      <c r="E88" s="6">
        <v>11902</v>
      </c>
      <c r="F88" s="6">
        <v>8103</v>
      </c>
      <c r="G88" s="28">
        <v>13570103248</v>
      </c>
      <c r="H88" s="1">
        <v>26.5</v>
      </c>
      <c r="I88" s="1">
        <v>71.27</v>
      </c>
      <c r="J88" s="1">
        <v>8</v>
      </c>
      <c r="K88" s="6">
        <v>65856</v>
      </c>
      <c r="L88" s="6">
        <v>46111</v>
      </c>
      <c r="M88" s="30">
        <v>76060723982</v>
      </c>
      <c r="N88" s="1">
        <v>30</v>
      </c>
      <c r="O88" s="1">
        <v>59</v>
      </c>
      <c r="P88" s="1">
        <v>8</v>
      </c>
    </row>
    <row r="89" spans="1:16">
      <c r="A89" s="9">
        <v>45083</v>
      </c>
      <c r="B89" s="1">
        <f t="shared" si="0"/>
        <v>2023</v>
      </c>
      <c r="C89" s="1">
        <f t="shared" si="2"/>
        <v>6</v>
      </c>
      <c r="D89" s="25" t="s">
        <v>10</v>
      </c>
      <c r="E89" s="6">
        <v>10768</v>
      </c>
      <c r="F89" s="6">
        <v>7549</v>
      </c>
      <c r="G89" s="28">
        <v>11839933223</v>
      </c>
      <c r="H89" s="1">
        <v>31.8</v>
      </c>
      <c r="I89" s="1">
        <v>84.13</v>
      </c>
      <c r="J89" s="1">
        <v>5</v>
      </c>
      <c r="K89" s="6">
        <v>64974</v>
      </c>
      <c r="L89" s="6">
        <v>44033</v>
      </c>
      <c r="M89" s="30">
        <v>74344873433</v>
      </c>
      <c r="N89" s="1">
        <v>31</v>
      </c>
      <c r="O89" s="1">
        <v>70</v>
      </c>
      <c r="P89" s="1">
        <v>5</v>
      </c>
    </row>
    <row r="90" spans="1:16">
      <c r="A90" s="9">
        <v>45084</v>
      </c>
      <c r="B90" s="1">
        <f t="shared" si="0"/>
        <v>2023</v>
      </c>
      <c r="C90" s="1">
        <f t="shared" si="2"/>
        <v>6</v>
      </c>
      <c r="D90" s="25" t="s">
        <v>12</v>
      </c>
      <c r="E90" s="6">
        <v>4850</v>
      </c>
      <c r="F90" s="6">
        <v>3255</v>
      </c>
      <c r="G90" s="28">
        <v>5634556847</v>
      </c>
      <c r="H90" s="1">
        <v>27.3</v>
      </c>
      <c r="I90" s="1">
        <v>60.79</v>
      </c>
      <c r="J90" s="1">
        <v>7</v>
      </c>
      <c r="K90" s="6">
        <v>42671</v>
      </c>
      <c r="L90" s="6">
        <v>27621</v>
      </c>
      <c r="M90" s="30">
        <v>48333629815</v>
      </c>
      <c r="N90" s="1">
        <v>27</v>
      </c>
      <c r="O90" s="1">
        <v>50</v>
      </c>
      <c r="P90" s="1">
        <v>7</v>
      </c>
    </row>
    <row r="91" spans="1:16">
      <c r="A91" s="9">
        <v>45085</v>
      </c>
      <c r="B91" s="1">
        <f t="shared" si="0"/>
        <v>2023</v>
      </c>
      <c r="C91" s="1">
        <f t="shared" si="2"/>
        <v>6</v>
      </c>
      <c r="D91" s="25" t="s">
        <v>88</v>
      </c>
      <c r="E91" s="6">
        <v>3826</v>
      </c>
      <c r="F91" s="6">
        <v>2649</v>
      </c>
      <c r="G91" s="28">
        <v>4407528812</v>
      </c>
      <c r="H91" s="1">
        <v>20.2</v>
      </c>
      <c r="I91" s="1">
        <v>45.17</v>
      </c>
      <c r="J91" s="1">
        <v>2</v>
      </c>
      <c r="K91" s="6">
        <v>16646</v>
      </c>
      <c r="L91" s="6">
        <v>11651</v>
      </c>
      <c r="M91" s="30">
        <v>20387229147</v>
      </c>
      <c r="N91" s="1">
        <v>23</v>
      </c>
      <c r="O91" s="1">
        <v>31</v>
      </c>
      <c r="P91" s="1">
        <v>2</v>
      </c>
    </row>
    <row r="92" spans="1:16">
      <c r="A92" s="9">
        <v>45086</v>
      </c>
      <c r="B92" s="1">
        <f t="shared" si="0"/>
        <v>2023</v>
      </c>
      <c r="C92" s="1">
        <f t="shared" si="2"/>
        <v>6</v>
      </c>
      <c r="D92" s="25" t="s">
        <v>84</v>
      </c>
      <c r="E92" s="6">
        <v>2672</v>
      </c>
      <c r="F92" s="6">
        <v>1745</v>
      </c>
      <c r="G92" s="28">
        <v>3082182822</v>
      </c>
      <c r="H92" s="1">
        <v>27.7</v>
      </c>
      <c r="I92" s="1">
        <v>41.85</v>
      </c>
      <c r="J92" s="1">
        <v>0</v>
      </c>
      <c r="K92" s="6">
        <v>12780</v>
      </c>
      <c r="L92" s="6">
        <v>8939</v>
      </c>
      <c r="M92" s="30">
        <v>14580944558</v>
      </c>
      <c r="N92" s="1">
        <v>23</v>
      </c>
      <c r="O92" s="1">
        <v>44</v>
      </c>
      <c r="P92" s="1">
        <v>0</v>
      </c>
    </row>
    <row r="93" spans="1:16">
      <c r="A93" s="9">
        <v>45087</v>
      </c>
      <c r="B93" s="1">
        <f t="shared" si="0"/>
        <v>2023</v>
      </c>
      <c r="C93" s="1">
        <f t="shared" si="2"/>
        <v>6</v>
      </c>
      <c r="D93" s="25" t="s">
        <v>91</v>
      </c>
      <c r="E93" s="6">
        <v>2513</v>
      </c>
      <c r="F93" s="6">
        <v>1734</v>
      </c>
      <c r="G93" s="28">
        <v>2782051095</v>
      </c>
      <c r="H93" s="1">
        <v>21.2</v>
      </c>
      <c r="I93" s="1">
        <v>48.24</v>
      </c>
      <c r="J93" s="1">
        <v>2</v>
      </c>
      <c r="K93" s="6">
        <v>14022</v>
      </c>
      <c r="L93" s="6">
        <v>9832</v>
      </c>
      <c r="M93" s="30">
        <v>16506778477</v>
      </c>
      <c r="N93" s="1">
        <v>25</v>
      </c>
      <c r="O93" s="1">
        <v>42</v>
      </c>
      <c r="P93" s="1">
        <v>2</v>
      </c>
    </row>
    <row r="94" spans="1:16">
      <c r="A94" s="9">
        <v>45088</v>
      </c>
      <c r="B94" s="1">
        <f t="shared" si="0"/>
        <v>2023</v>
      </c>
      <c r="C94" s="1">
        <f t="shared" si="2"/>
        <v>6</v>
      </c>
      <c r="D94" s="25" t="s">
        <v>11</v>
      </c>
      <c r="E94" s="6">
        <v>2477</v>
      </c>
      <c r="F94" s="6">
        <v>1705</v>
      </c>
      <c r="G94" s="28">
        <v>2875268489</v>
      </c>
      <c r="H94" s="1">
        <v>36.5</v>
      </c>
      <c r="I94" s="1">
        <v>67.760000000000005</v>
      </c>
      <c r="J94" s="1">
        <v>2</v>
      </c>
      <c r="K94" s="6">
        <v>10615</v>
      </c>
      <c r="L94" s="6">
        <v>7168</v>
      </c>
      <c r="M94" s="1" t="s">
        <v>94</v>
      </c>
      <c r="N94" s="1">
        <v>25</v>
      </c>
      <c r="O94" s="1">
        <v>51</v>
      </c>
      <c r="P94" s="1">
        <v>2</v>
      </c>
    </row>
    <row r="95" spans="1:16">
      <c r="A95" s="9">
        <v>45089</v>
      </c>
      <c r="B95" s="1">
        <f t="shared" si="0"/>
        <v>2023</v>
      </c>
      <c r="C95" s="1">
        <f t="shared" si="2"/>
        <v>6</v>
      </c>
      <c r="D95" s="25" t="s">
        <v>7</v>
      </c>
      <c r="E95" s="6">
        <v>2306</v>
      </c>
      <c r="F95" s="6">
        <v>1513</v>
      </c>
      <c r="G95" s="28">
        <v>2475320743</v>
      </c>
      <c r="H95" s="1">
        <v>21.9</v>
      </c>
      <c r="I95" s="1">
        <v>51.23</v>
      </c>
      <c r="J95" s="1">
        <v>2</v>
      </c>
      <c r="K95" s="6">
        <v>10236</v>
      </c>
      <c r="L95" s="6">
        <v>7249</v>
      </c>
      <c r="M95" s="1" t="s">
        <v>95</v>
      </c>
      <c r="N95" s="1">
        <v>34</v>
      </c>
      <c r="O95" s="1">
        <v>59</v>
      </c>
      <c r="P95" s="1">
        <v>2</v>
      </c>
    </row>
    <row r="96" spans="1:16">
      <c r="A96" s="9">
        <v>45090</v>
      </c>
      <c r="B96" s="1">
        <f t="shared" si="0"/>
        <v>2023</v>
      </c>
      <c r="C96" s="1">
        <f t="shared" si="2"/>
        <v>6</v>
      </c>
      <c r="D96" s="25" t="s">
        <v>20</v>
      </c>
      <c r="E96" s="6">
        <v>1409</v>
      </c>
      <c r="F96" s="6">
        <v>973</v>
      </c>
      <c r="G96" s="28">
        <v>1521471111</v>
      </c>
      <c r="H96" s="1">
        <v>28.3</v>
      </c>
      <c r="I96" s="1">
        <v>60.64</v>
      </c>
      <c r="J96" s="1">
        <v>0</v>
      </c>
      <c r="K96" s="6">
        <v>8382</v>
      </c>
      <c r="L96" s="6">
        <v>5847</v>
      </c>
      <c r="M96" s="1" t="s">
        <v>96</v>
      </c>
      <c r="N96" s="1">
        <v>30</v>
      </c>
      <c r="O96" s="1">
        <v>44</v>
      </c>
      <c r="P96" s="1">
        <v>0</v>
      </c>
    </row>
    <row r="97" spans="1:16">
      <c r="A97" s="9">
        <v>45091</v>
      </c>
      <c r="B97" s="1">
        <f t="shared" si="0"/>
        <v>2023</v>
      </c>
      <c r="C97" s="1">
        <f t="shared" si="2"/>
        <v>6</v>
      </c>
      <c r="D97" s="25" t="s">
        <v>19</v>
      </c>
      <c r="E97" s="6">
        <v>1176</v>
      </c>
      <c r="F97" s="6">
        <v>767</v>
      </c>
      <c r="G97" s="28">
        <v>1254782978</v>
      </c>
      <c r="H97" s="1">
        <v>24.5</v>
      </c>
      <c r="I97" s="1">
        <v>53.27</v>
      </c>
      <c r="J97" s="1">
        <v>2</v>
      </c>
      <c r="K97" s="6">
        <v>10723</v>
      </c>
      <c r="L97" s="6">
        <v>7352</v>
      </c>
      <c r="M97" s="1" t="s">
        <v>97</v>
      </c>
      <c r="N97" s="1">
        <v>26</v>
      </c>
      <c r="O97" s="1">
        <v>56</v>
      </c>
      <c r="P97" s="1">
        <v>2</v>
      </c>
    </row>
    <row r="98" spans="1:16">
      <c r="A98" s="9">
        <v>45092</v>
      </c>
      <c r="B98" s="1">
        <f t="shared" si="0"/>
        <v>2023</v>
      </c>
      <c r="C98" s="1">
        <f t="shared" si="2"/>
        <v>6</v>
      </c>
      <c r="D98" s="25" t="s">
        <v>93</v>
      </c>
      <c r="E98" s="6">
        <v>682</v>
      </c>
      <c r="F98" s="6">
        <v>505</v>
      </c>
      <c r="G98" s="28">
        <v>669139708.20000005</v>
      </c>
      <c r="H98" s="1">
        <v>20.9</v>
      </c>
      <c r="I98" s="1">
        <v>21.55</v>
      </c>
      <c r="J98" s="1">
        <v>2</v>
      </c>
      <c r="K98" s="6">
        <v>8511</v>
      </c>
      <c r="L98" s="6">
        <v>5845</v>
      </c>
      <c r="M98" s="1" t="s">
        <v>98</v>
      </c>
      <c r="N98" s="1">
        <v>29</v>
      </c>
      <c r="O98" s="1">
        <v>52</v>
      </c>
      <c r="P98" s="1">
        <v>2</v>
      </c>
    </row>
    <row r="99" spans="1:16">
      <c r="A99" s="9">
        <v>45093</v>
      </c>
      <c r="B99" s="1">
        <f t="shared" si="0"/>
        <v>2023</v>
      </c>
      <c r="C99" s="1">
        <f t="shared" si="2"/>
        <v>6</v>
      </c>
      <c r="D99" s="25" t="s">
        <v>24</v>
      </c>
      <c r="E99" s="6">
        <v>492</v>
      </c>
      <c r="F99" s="6">
        <v>309</v>
      </c>
      <c r="G99" s="28">
        <v>536995672</v>
      </c>
      <c r="H99" s="1">
        <v>20.2</v>
      </c>
      <c r="I99" s="1">
        <v>22.91</v>
      </c>
      <c r="J99" s="1">
        <v>2</v>
      </c>
      <c r="K99" s="6">
        <v>2603</v>
      </c>
      <c r="L99" s="6">
        <v>1646</v>
      </c>
      <c r="M99" s="1" t="s">
        <v>99</v>
      </c>
      <c r="N99" s="1">
        <v>21</v>
      </c>
      <c r="O99" s="1">
        <v>17</v>
      </c>
      <c r="P99" s="1">
        <v>2</v>
      </c>
    </row>
    <row r="100" spans="1:16">
      <c r="A100" s="9">
        <v>45094</v>
      </c>
      <c r="B100" s="1">
        <f t="shared" si="0"/>
        <v>2023</v>
      </c>
      <c r="C100" s="1">
        <f t="shared" si="2"/>
        <v>6</v>
      </c>
      <c r="D100" s="25" t="s">
        <v>28</v>
      </c>
      <c r="E100" s="6">
        <v>166</v>
      </c>
      <c r="F100" s="6">
        <v>117</v>
      </c>
      <c r="G100" s="28">
        <v>161172626.69999999</v>
      </c>
      <c r="H100" s="1">
        <v>36.799999999999997</v>
      </c>
      <c r="I100" s="1">
        <v>21.33</v>
      </c>
      <c r="J100" s="1">
        <v>0</v>
      </c>
      <c r="K100" s="6">
        <v>1073</v>
      </c>
      <c r="L100" s="6">
        <v>808</v>
      </c>
      <c r="M100" s="1" t="s">
        <v>100</v>
      </c>
      <c r="N100" s="1">
        <v>20</v>
      </c>
      <c r="O100" s="1">
        <v>20</v>
      </c>
      <c r="P100" s="1">
        <v>0</v>
      </c>
    </row>
    <row r="101" spans="1:16">
      <c r="A101" s="9">
        <v>45108</v>
      </c>
      <c r="B101" s="1">
        <f t="shared" si="0"/>
        <v>2023</v>
      </c>
      <c r="C101" s="1">
        <f t="shared" si="2"/>
        <v>7</v>
      </c>
      <c r="D101" s="25" t="s">
        <v>75</v>
      </c>
      <c r="E101" s="6">
        <v>32032</v>
      </c>
      <c r="F101" s="6">
        <v>20344</v>
      </c>
      <c r="G101" s="28">
        <v>34950935638</v>
      </c>
      <c r="H101" s="1">
        <v>31.7</v>
      </c>
      <c r="I101" s="1">
        <v>73.19</v>
      </c>
      <c r="J101" s="1">
        <v>10</v>
      </c>
      <c r="K101" s="6">
        <v>152227</v>
      </c>
      <c r="L101" s="6">
        <v>98621</v>
      </c>
      <c r="M101" s="30">
        <v>167306875089</v>
      </c>
      <c r="N101" s="1">
        <v>29</v>
      </c>
      <c r="O101" s="1">
        <v>61</v>
      </c>
      <c r="P101" s="1">
        <v>10</v>
      </c>
    </row>
    <row r="102" spans="1:16">
      <c r="A102" s="9">
        <v>45109</v>
      </c>
      <c r="B102" s="1">
        <f t="shared" si="0"/>
        <v>2023</v>
      </c>
      <c r="C102" s="1">
        <f t="shared" si="2"/>
        <v>7</v>
      </c>
      <c r="D102" s="25" t="s">
        <v>9</v>
      </c>
      <c r="E102" s="6">
        <v>19631</v>
      </c>
      <c r="F102" s="6">
        <v>12226</v>
      </c>
      <c r="G102" s="28">
        <v>21836793254</v>
      </c>
      <c r="H102" s="1">
        <v>30.5</v>
      </c>
      <c r="I102" s="1">
        <v>81.349999999999994</v>
      </c>
      <c r="J102" s="1">
        <v>9</v>
      </c>
      <c r="K102" s="6">
        <v>108472</v>
      </c>
      <c r="L102" s="6">
        <v>72004</v>
      </c>
      <c r="M102" s="30">
        <v>116641804089</v>
      </c>
      <c r="N102" s="1">
        <v>29</v>
      </c>
      <c r="O102" s="1">
        <v>54</v>
      </c>
      <c r="P102" s="1">
        <v>9</v>
      </c>
    </row>
    <row r="103" spans="1:16">
      <c r="A103" s="9">
        <v>45110</v>
      </c>
      <c r="B103" s="1">
        <f t="shared" si="0"/>
        <v>2023</v>
      </c>
      <c r="C103" s="1">
        <f t="shared" si="2"/>
        <v>7</v>
      </c>
      <c r="D103" s="25" t="s">
        <v>8</v>
      </c>
      <c r="E103" s="6">
        <v>18295</v>
      </c>
      <c r="F103" s="6">
        <v>12289</v>
      </c>
      <c r="G103" s="28">
        <v>19280598136</v>
      </c>
      <c r="H103" s="1">
        <v>28.6</v>
      </c>
      <c r="I103" s="1">
        <v>61.13</v>
      </c>
      <c r="J103" s="1">
        <v>3</v>
      </c>
      <c r="K103" s="6">
        <v>105029</v>
      </c>
      <c r="L103" s="6">
        <v>65633</v>
      </c>
      <c r="M103" s="30">
        <v>116570096794</v>
      </c>
      <c r="N103" s="1">
        <v>31</v>
      </c>
      <c r="O103" s="1">
        <v>73</v>
      </c>
      <c r="P103" s="1">
        <v>3</v>
      </c>
    </row>
    <row r="104" spans="1:16">
      <c r="A104" s="9">
        <v>45111</v>
      </c>
      <c r="B104" s="1">
        <f t="shared" si="0"/>
        <v>2023</v>
      </c>
      <c r="C104" s="1">
        <f t="shared" si="2"/>
        <v>7</v>
      </c>
      <c r="D104" s="25" t="s">
        <v>79</v>
      </c>
      <c r="E104" s="6">
        <v>13119</v>
      </c>
      <c r="F104" s="6">
        <v>9070</v>
      </c>
      <c r="G104" s="28">
        <v>15543782692</v>
      </c>
      <c r="H104" s="1">
        <v>22.9</v>
      </c>
      <c r="I104" s="1">
        <v>54.62</v>
      </c>
      <c r="J104" s="1">
        <v>3</v>
      </c>
      <c r="K104" s="6">
        <v>94659</v>
      </c>
      <c r="L104" s="6">
        <v>58155</v>
      </c>
      <c r="M104" s="30">
        <v>104801005933</v>
      </c>
      <c r="N104" s="1">
        <v>32</v>
      </c>
      <c r="O104" s="1">
        <v>79</v>
      </c>
      <c r="P104" s="1">
        <v>3</v>
      </c>
    </row>
    <row r="105" spans="1:16">
      <c r="A105" s="9">
        <v>45112</v>
      </c>
      <c r="B105" s="1">
        <f t="shared" si="0"/>
        <v>2023</v>
      </c>
      <c r="C105" s="1">
        <f t="shared" si="2"/>
        <v>7</v>
      </c>
      <c r="D105" s="25" t="s">
        <v>10</v>
      </c>
      <c r="E105" s="6">
        <v>12655</v>
      </c>
      <c r="F105" s="6">
        <v>8673</v>
      </c>
      <c r="G105" s="28">
        <v>14569010215</v>
      </c>
      <c r="H105" s="1">
        <v>27.4</v>
      </c>
      <c r="I105" s="1">
        <v>53.89</v>
      </c>
      <c r="J105" s="1">
        <v>5</v>
      </c>
      <c r="K105" s="6">
        <v>78511</v>
      </c>
      <c r="L105" s="6">
        <v>54784</v>
      </c>
      <c r="M105" s="30">
        <v>90629734196</v>
      </c>
      <c r="N105" s="1">
        <v>29</v>
      </c>
      <c r="O105" s="1">
        <v>58</v>
      </c>
      <c r="P105" s="1">
        <v>5</v>
      </c>
    </row>
    <row r="106" spans="1:16">
      <c r="A106" s="9">
        <v>45113</v>
      </c>
      <c r="B106" s="1">
        <f t="shared" si="0"/>
        <v>2023</v>
      </c>
      <c r="C106" s="1">
        <f t="shared" si="2"/>
        <v>7</v>
      </c>
      <c r="D106" s="25" t="s">
        <v>22</v>
      </c>
      <c r="E106" s="6">
        <v>12644</v>
      </c>
      <c r="F106" s="6">
        <v>8225</v>
      </c>
      <c r="G106" s="28">
        <v>13904977780</v>
      </c>
      <c r="H106" s="1">
        <v>30.3</v>
      </c>
      <c r="I106" s="1">
        <v>79.150000000000006</v>
      </c>
      <c r="J106" s="1">
        <v>4</v>
      </c>
      <c r="K106" s="6">
        <v>78093</v>
      </c>
      <c r="L106" s="6">
        <v>53103</v>
      </c>
      <c r="M106" s="30">
        <v>89888656125</v>
      </c>
      <c r="N106" s="1">
        <v>31</v>
      </c>
      <c r="O106" s="1">
        <v>69</v>
      </c>
      <c r="P106" s="1">
        <v>4</v>
      </c>
    </row>
    <row r="107" spans="1:16">
      <c r="A107" s="9">
        <v>45114</v>
      </c>
      <c r="B107" s="1">
        <f t="shared" si="0"/>
        <v>2023</v>
      </c>
      <c r="C107" s="1">
        <f t="shared" si="2"/>
        <v>7</v>
      </c>
      <c r="D107" s="25" t="s">
        <v>12</v>
      </c>
      <c r="E107" s="6">
        <v>8153</v>
      </c>
      <c r="F107" s="6">
        <v>5478</v>
      </c>
      <c r="G107" s="28">
        <v>9624091266</v>
      </c>
      <c r="H107" s="1">
        <v>31.6</v>
      </c>
      <c r="I107" s="1">
        <v>65.959999999999994</v>
      </c>
      <c r="J107" s="1">
        <v>5</v>
      </c>
      <c r="K107" s="6">
        <v>50824</v>
      </c>
      <c r="L107" s="6">
        <v>33099</v>
      </c>
      <c r="M107" s="30">
        <v>57957721080</v>
      </c>
      <c r="N107" s="1">
        <v>26</v>
      </c>
      <c r="O107" s="1">
        <v>49</v>
      </c>
      <c r="P107" s="1">
        <v>5</v>
      </c>
    </row>
    <row r="108" spans="1:16">
      <c r="A108" s="9">
        <v>45115</v>
      </c>
      <c r="B108" s="1">
        <f t="shared" si="0"/>
        <v>2023</v>
      </c>
      <c r="C108" s="1">
        <f t="shared" si="2"/>
        <v>7</v>
      </c>
      <c r="D108" s="25" t="s">
        <v>88</v>
      </c>
      <c r="E108" s="6">
        <v>3706</v>
      </c>
      <c r="F108" s="6">
        <v>2611</v>
      </c>
      <c r="G108" s="28">
        <v>4424089324</v>
      </c>
      <c r="H108" s="1">
        <v>18</v>
      </c>
      <c r="I108" s="1">
        <v>39.04</v>
      </c>
      <c r="J108" s="1">
        <v>2</v>
      </c>
      <c r="K108" s="6">
        <v>19749</v>
      </c>
      <c r="L108" s="6">
        <v>13854</v>
      </c>
      <c r="M108" s="30">
        <v>24246581470</v>
      </c>
      <c r="N108" s="1">
        <v>24</v>
      </c>
      <c r="O108" s="1">
        <v>34</v>
      </c>
      <c r="P108" s="1">
        <v>2</v>
      </c>
    </row>
    <row r="109" spans="1:16">
      <c r="A109" s="9">
        <v>45116</v>
      </c>
      <c r="B109" s="1">
        <f t="shared" si="0"/>
        <v>2023</v>
      </c>
      <c r="C109" s="1">
        <f t="shared" si="2"/>
        <v>7</v>
      </c>
      <c r="D109" s="25" t="s">
        <v>84</v>
      </c>
      <c r="E109" s="6">
        <v>3103</v>
      </c>
      <c r="F109" s="6">
        <v>2203</v>
      </c>
      <c r="G109" s="28">
        <v>3859352323</v>
      </c>
      <c r="H109" s="1">
        <v>21.9</v>
      </c>
      <c r="I109" s="1">
        <v>34.97</v>
      </c>
      <c r="J109" s="1">
        <v>2</v>
      </c>
      <c r="K109" s="6">
        <v>17728</v>
      </c>
      <c r="L109" s="6">
        <v>12443</v>
      </c>
      <c r="M109" s="30">
        <v>20930867801</v>
      </c>
      <c r="N109" s="1">
        <v>25</v>
      </c>
      <c r="O109" s="1">
        <v>45</v>
      </c>
      <c r="P109" s="1">
        <v>2</v>
      </c>
    </row>
    <row r="110" spans="1:16">
      <c r="A110" s="9">
        <v>45117</v>
      </c>
      <c r="B110" s="1">
        <f t="shared" si="0"/>
        <v>2023</v>
      </c>
      <c r="C110" s="1">
        <f t="shared" si="2"/>
        <v>7</v>
      </c>
      <c r="D110" s="25" t="s">
        <v>11</v>
      </c>
      <c r="E110" s="6">
        <v>1288</v>
      </c>
      <c r="F110" s="6">
        <v>830</v>
      </c>
      <c r="G110" s="28">
        <v>1465193430</v>
      </c>
      <c r="H110" s="1">
        <v>33.799999999999997</v>
      </c>
      <c r="I110" s="1">
        <v>62.06</v>
      </c>
      <c r="J110" s="1">
        <v>0</v>
      </c>
      <c r="K110" s="6">
        <v>12780</v>
      </c>
      <c r="L110" s="6">
        <v>8939</v>
      </c>
      <c r="M110" s="30">
        <v>14580944558</v>
      </c>
      <c r="N110" s="1">
        <v>23</v>
      </c>
      <c r="O110" s="1">
        <v>44</v>
      </c>
      <c r="P110" s="1">
        <v>0</v>
      </c>
    </row>
    <row r="111" spans="1:16">
      <c r="A111" s="9">
        <v>45118</v>
      </c>
      <c r="B111" s="1">
        <f t="shared" si="0"/>
        <v>2023</v>
      </c>
      <c r="C111" s="1">
        <f t="shared" si="2"/>
        <v>7</v>
      </c>
      <c r="D111" s="25" t="s">
        <v>7</v>
      </c>
      <c r="E111" s="6">
        <v>1270</v>
      </c>
      <c r="F111" s="6">
        <v>881</v>
      </c>
      <c r="G111" s="28">
        <v>1485786148</v>
      </c>
      <c r="H111" s="1">
        <v>33.200000000000003</v>
      </c>
      <c r="I111" s="1">
        <v>73.2</v>
      </c>
      <c r="J111" s="1">
        <v>2</v>
      </c>
      <c r="K111" s="6">
        <v>11971</v>
      </c>
      <c r="L111" s="6">
        <v>8197</v>
      </c>
      <c r="M111" s="30">
        <v>13201759660</v>
      </c>
      <c r="N111" s="1">
        <v>27</v>
      </c>
      <c r="O111" s="1">
        <v>57</v>
      </c>
      <c r="P111" s="1">
        <v>2</v>
      </c>
    </row>
    <row r="112" spans="1:16">
      <c r="A112" s="9">
        <v>45119</v>
      </c>
      <c r="B112" s="1">
        <f t="shared" si="0"/>
        <v>2023</v>
      </c>
      <c r="C112" s="1">
        <f t="shared" si="2"/>
        <v>7</v>
      </c>
      <c r="D112" s="25" t="s">
        <v>91</v>
      </c>
      <c r="E112" s="6">
        <v>1248</v>
      </c>
      <c r="F112" s="6">
        <v>845</v>
      </c>
      <c r="G112" s="28">
        <v>1381996116</v>
      </c>
      <c r="H112" s="1">
        <v>17.399999999999999</v>
      </c>
      <c r="I112" s="1">
        <v>39.71</v>
      </c>
      <c r="J112" s="1">
        <v>2</v>
      </c>
      <c r="K112" s="6">
        <v>11803</v>
      </c>
      <c r="L112" s="6">
        <v>7985</v>
      </c>
      <c r="M112" s="30">
        <v>12766925076</v>
      </c>
      <c r="N112" s="1">
        <v>26</v>
      </c>
      <c r="O112" s="1">
        <v>50</v>
      </c>
      <c r="P112" s="1">
        <v>2</v>
      </c>
    </row>
    <row r="113" spans="1:16">
      <c r="A113" s="9">
        <v>45120</v>
      </c>
      <c r="B113" s="1">
        <f t="shared" si="0"/>
        <v>2023</v>
      </c>
      <c r="C113" s="1">
        <f t="shared" si="2"/>
        <v>7</v>
      </c>
      <c r="D113" s="25" t="s">
        <v>19</v>
      </c>
      <c r="E113" s="6">
        <v>1188</v>
      </c>
      <c r="F113" s="6">
        <v>817</v>
      </c>
      <c r="G113" s="28">
        <v>1314147207</v>
      </c>
      <c r="H113" s="1">
        <v>32.9</v>
      </c>
      <c r="I113" s="1">
        <v>67.17</v>
      </c>
      <c r="J113" s="1">
        <v>2</v>
      </c>
      <c r="K113" s="6">
        <v>11319</v>
      </c>
      <c r="L113" s="6">
        <v>8020</v>
      </c>
      <c r="M113" s="30">
        <v>12471444569</v>
      </c>
      <c r="N113" s="1">
        <v>33</v>
      </c>
      <c r="O113" s="1">
        <v>58</v>
      </c>
      <c r="P113" s="1">
        <v>2</v>
      </c>
    </row>
    <row r="114" spans="1:16">
      <c r="A114" s="9">
        <v>45121</v>
      </c>
      <c r="B114" s="1">
        <f t="shared" si="0"/>
        <v>2023</v>
      </c>
      <c r="C114" s="1">
        <f t="shared" si="2"/>
        <v>7</v>
      </c>
      <c r="D114" s="25" t="s">
        <v>20</v>
      </c>
      <c r="E114" s="6">
        <v>1083</v>
      </c>
      <c r="F114" s="6">
        <v>771</v>
      </c>
      <c r="G114" s="28">
        <v>1223139608</v>
      </c>
      <c r="H114" s="1">
        <v>25.1</v>
      </c>
      <c r="I114" s="1">
        <v>56.33</v>
      </c>
      <c r="J114" s="1">
        <v>2</v>
      </c>
      <c r="K114" s="6">
        <v>9799</v>
      </c>
      <c r="L114" s="6">
        <v>6675</v>
      </c>
      <c r="M114" s="30">
        <v>11367123156</v>
      </c>
      <c r="N114" s="1">
        <v>29</v>
      </c>
      <c r="O114" s="1">
        <v>54</v>
      </c>
      <c r="P114" s="1">
        <v>2</v>
      </c>
    </row>
    <row r="115" spans="1:16">
      <c r="A115" s="9">
        <v>45122</v>
      </c>
      <c r="B115" s="1">
        <f t="shared" si="0"/>
        <v>2023</v>
      </c>
      <c r="C115" s="1">
        <f t="shared" si="2"/>
        <v>7</v>
      </c>
      <c r="D115" s="25" t="s">
        <v>28</v>
      </c>
      <c r="E115" s="6">
        <v>575</v>
      </c>
      <c r="F115" s="6">
        <v>383</v>
      </c>
      <c r="G115" s="28">
        <v>528167979.80000001</v>
      </c>
      <c r="H115" s="1">
        <v>20.399999999999999</v>
      </c>
      <c r="I115" s="1">
        <v>25.95</v>
      </c>
      <c r="J115" s="1">
        <v>0</v>
      </c>
      <c r="K115" s="6">
        <v>8382</v>
      </c>
      <c r="L115" s="6">
        <v>5847</v>
      </c>
      <c r="M115" s="30">
        <v>9771781402</v>
      </c>
      <c r="N115" s="1">
        <v>30</v>
      </c>
      <c r="O115" s="1">
        <v>44</v>
      </c>
      <c r="P115" s="1">
        <v>0</v>
      </c>
    </row>
    <row r="116" spans="1:16">
      <c r="A116" s="9">
        <v>45123</v>
      </c>
      <c r="B116" s="1">
        <f t="shared" si="0"/>
        <v>2023</v>
      </c>
      <c r="C116" s="1">
        <f t="shared" si="2"/>
        <v>7</v>
      </c>
      <c r="D116" s="25" t="s">
        <v>24</v>
      </c>
      <c r="E116" s="6">
        <v>253</v>
      </c>
      <c r="F116" s="6">
        <v>194</v>
      </c>
      <c r="G116" s="28">
        <v>309932136.5</v>
      </c>
      <c r="H116" s="1">
        <v>38.200000000000003</v>
      </c>
      <c r="I116" s="1">
        <v>11.25</v>
      </c>
      <c r="J116" s="1">
        <v>2</v>
      </c>
      <c r="K116" s="6">
        <v>2856</v>
      </c>
      <c r="L116" s="6">
        <v>1840</v>
      </c>
      <c r="M116" s="30">
        <v>3403835274</v>
      </c>
      <c r="N116" s="1">
        <v>22</v>
      </c>
      <c r="O116" s="1">
        <v>18</v>
      </c>
      <c r="P116" s="1">
        <v>2</v>
      </c>
    </row>
    <row r="117" spans="1:16">
      <c r="A117" s="9">
        <v>45124</v>
      </c>
      <c r="B117" s="1">
        <f t="shared" si="0"/>
        <v>2023</v>
      </c>
      <c r="C117" s="1">
        <f t="shared" si="2"/>
        <v>7</v>
      </c>
      <c r="D117" s="25" t="s">
        <v>93</v>
      </c>
      <c r="E117" s="6">
        <v>137</v>
      </c>
      <c r="F117" s="6">
        <v>83</v>
      </c>
      <c r="G117" s="28">
        <v>133864406.90000001</v>
      </c>
      <c r="H117" s="1">
        <v>21.5</v>
      </c>
      <c r="I117" s="1">
        <v>16.98</v>
      </c>
      <c r="J117" s="1">
        <v>4</v>
      </c>
      <c r="K117" s="6">
        <v>1210</v>
      </c>
      <c r="L117" s="6">
        <v>891</v>
      </c>
      <c r="M117" s="30">
        <v>1176008196</v>
      </c>
      <c r="N117" s="1">
        <v>21</v>
      </c>
      <c r="O117" s="1">
        <v>29</v>
      </c>
      <c r="P117" s="1">
        <v>4</v>
      </c>
    </row>
    <row r="118" spans="1:16">
      <c r="A118" s="9">
        <v>45139</v>
      </c>
      <c r="B118" s="1">
        <f t="shared" si="0"/>
        <v>2023</v>
      </c>
      <c r="C118" s="1">
        <f t="shared" si="2"/>
        <v>8</v>
      </c>
      <c r="D118" s="25" t="s">
        <v>75</v>
      </c>
      <c r="E118" s="6">
        <v>22137</v>
      </c>
      <c r="F118" s="6">
        <v>14294</v>
      </c>
      <c r="G118" s="28">
        <v>24913905374</v>
      </c>
      <c r="H118" s="1">
        <v>29.9</v>
      </c>
      <c r="I118" s="1">
        <v>77.31</v>
      </c>
      <c r="J118" s="1">
        <v>11</v>
      </c>
      <c r="K118" s="6">
        <v>176717</v>
      </c>
      <c r="L118" s="6">
        <v>114547</v>
      </c>
      <c r="M118" s="30">
        <v>194977908747</v>
      </c>
      <c r="N118" s="1">
        <v>30</v>
      </c>
      <c r="O118" s="1">
        <v>63</v>
      </c>
      <c r="P118" s="1">
        <v>11</v>
      </c>
    </row>
    <row r="119" spans="1:16">
      <c r="A119" s="9">
        <v>45140</v>
      </c>
      <c r="B119" s="1">
        <f t="shared" si="0"/>
        <v>2023</v>
      </c>
      <c r="C119" s="1">
        <f t="shared" si="2"/>
        <v>8</v>
      </c>
      <c r="D119" s="25" t="s">
        <v>8</v>
      </c>
      <c r="E119" s="6">
        <v>17155</v>
      </c>
      <c r="F119" s="6">
        <v>11363</v>
      </c>
      <c r="G119" s="28">
        <v>18799964442</v>
      </c>
      <c r="H119" s="1">
        <v>27.8</v>
      </c>
      <c r="I119" s="1">
        <v>56.81</v>
      </c>
      <c r="J119" s="1">
        <v>9</v>
      </c>
      <c r="K119" s="6">
        <v>125627</v>
      </c>
      <c r="L119" s="6">
        <v>83367</v>
      </c>
      <c r="M119" s="30">
        <v>135441768531</v>
      </c>
      <c r="N119" s="1">
        <v>29</v>
      </c>
      <c r="O119" s="1">
        <v>54</v>
      </c>
      <c r="P119" s="1">
        <v>9</v>
      </c>
    </row>
    <row r="120" spans="1:16">
      <c r="A120" s="9">
        <v>45141</v>
      </c>
      <c r="B120" s="1">
        <f t="shared" si="0"/>
        <v>2023</v>
      </c>
      <c r="C120" s="1">
        <f t="shared" si="2"/>
        <v>8</v>
      </c>
      <c r="D120" s="25" t="s">
        <v>10</v>
      </c>
      <c r="E120" s="6">
        <v>15089</v>
      </c>
      <c r="F120" s="6">
        <v>9933</v>
      </c>
      <c r="G120" s="28">
        <v>16570286666</v>
      </c>
      <c r="H120" s="1">
        <v>28</v>
      </c>
      <c r="I120" s="1">
        <v>61.06</v>
      </c>
      <c r="J120" s="1">
        <v>3</v>
      </c>
      <c r="K120" s="6">
        <v>119635</v>
      </c>
      <c r="L120" s="6">
        <v>74934</v>
      </c>
      <c r="M120" s="30">
        <v>133167077891</v>
      </c>
      <c r="N120" s="1">
        <v>31</v>
      </c>
      <c r="O120" s="1">
        <v>77</v>
      </c>
      <c r="P120" s="1">
        <v>3</v>
      </c>
    </row>
    <row r="121" spans="1:16">
      <c r="A121" s="9">
        <v>45142</v>
      </c>
      <c r="B121" s="1">
        <f t="shared" si="0"/>
        <v>2023</v>
      </c>
      <c r="C121" s="1">
        <f t="shared" si="2"/>
        <v>8</v>
      </c>
      <c r="D121" s="25" t="s">
        <v>9</v>
      </c>
      <c r="E121" s="6">
        <v>14606</v>
      </c>
      <c r="F121" s="6">
        <v>9301</v>
      </c>
      <c r="G121" s="28">
        <v>16596981097</v>
      </c>
      <c r="H121" s="1">
        <v>33.799999999999997</v>
      </c>
      <c r="I121" s="1">
        <v>103.54</v>
      </c>
      <c r="J121" s="1">
        <v>3</v>
      </c>
      <c r="K121" s="6">
        <v>107116</v>
      </c>
      <c r="L121" s="6">
        <v>66363</v>
      </c>
      <c r="M121" s="30">
        <v>118917956086</v>
      </c>
      <c r="N121" s="1">
        <v>32</v>
      </c>
      <c r="O121" s="1">
        <v>79</v>
      </c>
      <c r="P121" s="1">
        <v>3</v>
      </c>
    </row>
    <row r="122" spans="1:16">
      <c r="A122" s="9">
        <v>45143</v>
      </c>
      <c r="B122" s="1">
        <f t="shared" si="0"/>
        <v>2023</v>
      </c>
      <c r="C122" s="1">
        <f t="shared" si="2"/>
        <v>8</v>
      </c>
      <c r="D122" s="25" t="s">
        <v>22</v>
      </c>
      <c r="E122" s="6">
        <v>12457</v>
      </c>
      <c r="F122" s="6">
        <v>8208</v>
      </c>
      <c r="G122" s="28">
        <v>14116950153</v>
      </c>
      <c r="H122" s="1">
        <v>31.3</v>
      </c>
      <c r="I122" s="1">
        <v>78.28</v>
      </c>
      <c r="J122" s="1">
        <v>5</v>
      </c>
      <c r="K122" s="6">
        <v>93600</v>
      </c>
      <c r="L122" s="6">
        <v>64717</v>
      </c>
      <c r="M122" s="30">
        <v>107200020862</v>
      </c>
      <c r="N122" s="1">
        <v>29</v>
      </c>
      <c r="O122" s="1">
        <v>59</v>
      </c>
      <c r="P122" s="1">
        <v>5</v>
      </c>
    </row>
    <row r="123" spans="1:16">
      <c r="A123" s="9">
        <v>45144</v>
      </c>
      <c r="B123" s="1">
        <f t="shared" si="0"/>
        <v>2023</v>
      </c>
      <c r="C123" s="1">
        <f t="shared" si="2"/>
        <v>8</v>
      </c>
      <c r="D123" s="25" t="s">
        <v>79</v>
      </c>
      <c r="E123" s="6">
        <v>8207</v>
      </c>
      <c r="F123" s="6">
        <v>5761</v>
      </c>
      <c r="G123" s="28">
        <v>9710081842</v>
      </c>
      <c r="H123" s="1">
        <v>30.8</v>
      </c>
      <c r="I123" s="1">
        <v>75.62</v>
      </c>
      <c r="J123" s="1">
        <v>4</v>
      </c>
      <c r="K123" s="6">
        <v>86300</v>
      </c>
      <c r="L123" s="6">
        <v>58864</v>
      </c>
      <c r="M123" s="30">
        <v>99598737967</v>
      </c>
      <c r="N123" s="1">
        <v>31</v>
      </c>
      <c r="O123" s="1">
        <v>70</v>
      </c>
      <c r="P123" s="1">
        <v>4</v>
      </c>
    </row>
    <row r="124" spans="1:16">
      <c r="A124" s="9">
        <v>45145</v>
      </c>
      <c r="B124" s="1">
        <f t="shared" si="0"/>
        <v>2023</v>
      </c>
      <c r="C124" s="1">
        <f t="shared" si="2"/>
        <v>8</v>
      </c>
      <c r="D124" s="25" t="s">
        <v>12</v>
      </c>
      <c r="E124" s="6">
        <v>6588</v>
      </c>
      <c r="F124" s="6">
        <v>4460</v>
      </c>
      <c r="G124" s="28">
        <v>7785088541</v>
      </c>
      <c r="H124" s="1">
        <v>27.4</v>
      </c>
      <c r="I124" s="1">
        <v>60.93</v>
      </c>
      <c r="J124" s="1">
        <v>5</v>
      </c>
      <c r="K124" s="6">
        <v>57412</v>
      </c>
      <c r="L124" s="6">
        <v>37559</v>
      </c>
      <c r="M124" s="30">
        <v>65742809621</v>
      </c>
      <c r="N124" s="1">
        <v>26</v>
      </c>
      <c r="O124" s="1">
        <v>51</v>
      </c>
      <c r="P124" s="1">
        <v>5</v>
      </c>
    </row>
    <row r="125" spans="1:16">
      <c r="A125" s="9">
        <v>45146</v>
      </c>
      <c r="B125" s="1">
        <f t="shared" si="0"/>
        <v>2023</v>
      </c>
      <c r="C125" s="1">
        <f t="shared" si="2"/>
        <v>8</v>
      </c>
      <c r="D125" s="25" t="s">
        <v>88</v>
      </c>
      <c r="E125" s="6">
        <v>2805</v>
      </c>
      <c r="F125" s="6">
        <v>2002</v>
      </c>
      <c r="G125" s="28">
        <v>3339001031</v>
      </c>
      <c r="H125" s="1">
        <v>32.1</v>
      </c>
      <c r="I125" s="1">
        <v>69.260000000000005</v>
      </c>
      <c r="J125" s="1">
        <v>2</v>
      </c>
      <c r="K125" s="6">
        <v>22288</v>
      </c>
      <c r="L125" s="6">
        <v>15477</v>
      </c>
      <c r="M125" s="30">
        <v>27410860669</v>
      </c>
      <c r="N125" s="1">
        <v>24</v>
      </c>
      <c r="O125" s="1">
        <v>34</v>
      </c>
      <c r="P125" s="1">
        <v>2</v>
      </c>
    </row>
    <row r="126" spans="1:16">
      <c r="A126" s="9">
        <v>45147</v>
      </c>
      <c r="B126" s="1">
        <f t="shared" si="0"/>
        <v>2023</v>
      </c>
      <c r="C126" s="1">
        <f t="shared" si="2"/>
        <v>8</v>
      </c>
      <c r="D126" s="25" t="s">
        <v>20</v>
      </c>
      <c r="E126" s="6">
        <v>2610</v>
      </c>
      <c r="F126" s="6">
        <v>1844</v>
      </c>
      <c r="G126" s="28">
        <v>2972495302</v>
      </c>
      <c r="H126" s="1">
        <v>28</v>
      </c>
      <c r="I126" s="1">
        <v>58.13</v>
      </c>
      <c r="J126" s="1">
        <v>2</v>
      </c>
      <c r="K126" s="6">
        <v>20533</v>
      </c>
      <c r="L126" s="6">
        <v>14445</v>
      </c>
      <c r="M126" s="30">
        <v>24269868832</v>
      </c>
      <c r="N126" s="1">
        <v>26</v>
      </c>
      <c r="O126" s="1">
        <v>48</v>
      </c>
      <c r="P126" s="1">
        <v>2</v>
      </c>
    </row>
    <row r="127" spans="1:16">
      <c r="A127" s="9">
        <v>45148</v>
      </c>
      <c r="B127" s="1">
        <f t="shared" si="0"/>
        <v>2023</v>
      </c>
      <c r="C127" s="1">
        <f t="shared" si="2"/>
        <v>8</v>
      </c>
      <c r="D127" s="25" t="s">
        <v>84</v>
      </c>
      <c r="E127" s="6">
        <v>2539</v>
      </c>
      <c r="F127" s="6">
        <v>1623</v>
      </c>
      <c r="G127" s="28">
        <v>3164279199</v>
      </c>
      <c r="H127" s="1">
        <v>25.6</v>
      </c>
      <c r="I127" s="1">
        <v>35.14</v>
      </c>
      <c r="J127" s="1">
        <v>3</v>
      </c>
      <c r="K127" s="6">
        <v>14427</v>
      </c>
      <c r="L127" s="6">
        <v>9921</v>
      </c>
      <c r="M127" s="30">
        <v>16029699710</v>
      </c>
      <c r="N127" s="1">
        <v>26</v>
      </c>
      <c r="O127" s="1">
        <v>56</v>
      </c>
      <c r="P127" s="1">
        <v>3</v>
      </c>
    </row>
    <row r="128" spans="1:16">
      <c r="A128" s="9">
        <v>45149</v>
      </c>
      <c r="B128" s="1">
        <f t="shared" si="0"/>
        <v>2023</v>
      </c>
      <c r="C128" s="1">
        <f t="shared" si="2"/>
        <v>8</v>
      </c>
      <c r="D128" s="25" t="s">
        <v>11</v>
      </c>
      <c r="E128" s="6">
        <v>2538</v>
      </c>
      <c r="F128" s="6">
        <v>1584</v>
      </c>
      <c r="G128" s="28">
        <v>2865263127</v>
      </c>
      <c r="H128" s="1">
        <v>30</v>
      </c>
      <c r="I128" s="1">
        <v>53.47</v>
      </c>
      <c r="J128" s="1">
        <v>2</v>
      </c>
      <c r="K128" s="6">
        <v>14190</v>
      </c>
      <c r="L128" s="6">
        <v>9613</v>
      </c>
      <c r="M128" s="30">
        <v>15436729328</v>
      </c>
      <c r="N128" s="1">
        <v>25</v>
      </c>
      <c r="O128" s="1">
        <v>50</v>
      </c>
      <c r="P128" s="1">
        <v>2</v>
      </c>
    </row>
    <row r="129" spans="1:16">
      <c r="A129" s="9">
        <v>45150</v>
      </c>
      <c r="B129" s="1">
        <f t="shared" si="0"/>
        <v>2023</v>
      </c>
      <c r="C129" s="1">
        <f t="shared" si="2"/>
        <v>8</v>
      </c>
      <c r="D129" s="25" t="s">
        <v>91</v>
      </c>
      <c r="E129" s="6">
        <v>2456</v>
      </c>
      <c r="F129" s="6">
        <v>1724</v>
      </c>
      <c r="G129" s="28">
        <v>2827940049</v>
      </c>
      <c r="H129" s="1">
        <v>21.5</v>
      </c>
      <c r="I129" s="1">
        <v>49.89</v>
      </c>
      <c r="J129" s="1">
        <v>2</v>
      </c>
      <c r="K129" s="6">
        <v>13929</v>
      </c>
      <c r="L129" s="6">
        <v>9864</v>
      </c>
      <c r="M129" s="30">
        <v>15443939871</v>
      </c>
      <c r="N129" s="1">
        <v>32</v>
      </c>
      <c r="O129" s="1">
        <v>58</v>
      </c>
      <c r="P129" s="1">
        <v>2</v>
      </c>
    </row>
    <row r="130" spans="1:16">
      <c r="A130" s="9">
        <v>45151</v>
      </c>
      <c r="B130" s="1">
        <f t="shared" si="0"/>
        <v>2023</v>
      </c>
      <c r="C130" s="1">
        <f t="shared" si="2"/>
        <v>8</v>
      </c>
      <c r="D130" s="25" t="s">
        <v>19</v>
      </c>
      <c r="E130" s="6">
        <v>2387</v>
      </c>
      <c r="F130" s="6">
        <v>1628</v>
      </c>
      <c r="G130" s="28">
        <v>2669804252</v>
      </c>
      <c r="H130" s="1">
        <v>24.7</v>
      </c>
      <c r="I130" s="1">
        <v>51.21</v>
      </c>
      <c r="J130" s="1">
        <v>0</v>
      </c>
      <c r="K130" s="6">
        <v>12780</v>
      </c>
      <c r="L130" s="6">
        <v>8939</v>
      </c>
      <c r="M130" s="30">
        <v>14580944558</v>
      </c>
      <c r="N130" s="1">
        <v>23</v>
      </c>
      <c r="O130" s="1">
        <v>44</v>
      </c>
      <c r="P130" s="1">
        <v>0</v>
      </c>
    </row>
    <row r="131" spans="1:16">
      <c r="A131" s="9">
        <v>45152</v>
      </c>
      <c r="B131" s="1">
        <f t="shared" si="0"/>
        <v>2023</v>
      </c>
      <c r="C131" s="1">
        <f t="shared" si="2"/>
        <v>8</v>
      </c>
      <c r="D131" s="25" t="s">
        <v>7</v>
      </c>
      <c r="E131" s="6">
        <v>2284</v>
      </c>
      <c r="F131" s="6">
        <v>1581</v>
      </c>
      <c r="G131" s="28">
        <v>2677201065</v>
      </c>
      <c r="H131" s="1">
        <v>38.200000000000003</v>
      </c>
      <c r="I131" s="1">
        <v>76.319999999999993</v>
      </c>
      <c r="J131" s="1">
        <v>2</v>
      </c>
      <c r="K131" s="6">
        <v>12337</v>
      </c>
      <c r="L131" s="6">
        <v>8259</v>
      </c>
      <c r="M131" s="30">
        <v>14232386283</v>
      </c>
      <c r="N131" s="1">
        <v>29</v>
      </c>
      <c r="O131" s="1">
        <v>54</v>
      </c>
      <c r="P131" s="1">
        <v>2</v>
      </c>
    </row>
    <row r="132" spans="1:16">
      <c r="A132" s="9">
        <v>45153</v>
      </c>
      <c r="B132" s="1">
        <f t="shared" si="0"/>
        <v>2023</v>
      </c>
      <c r="C132" s="1">
        <f t="shared" si="2"/>
        <v>8</v>
      </c>
      <c r="D132" s="25" t="s">
        <v>24</v>
      </c>
      <c r="E132" s="6">
        <v>800</v>
      </c>
      <c r="F132" s="6">
        <v>488</v>
      </c>
      <c r="G132" s="28">
        <v>907074617.70000005</v>
      </c>
      <c r="H132" s="1">
        <v>25.5</v>
      </c>
      <c r="I132" s="1">
        <v>23.3</v>
      </c>
      <c r="J132" s="1">
        <v>0</v>
      </c>
      <c r="K132" s="6">
        <v>8382</v>
      </c>
      <c r="L132" s="6">
        <v>5847</v>
      </c>
      <c r="M132" s="30">
        <v>9771781402</v>
      </c>
      <c r="N132" s="1">
        <v>30</v>
      </c>
      <c r="O132" s="1">
        <v>44</v>
      </c>
      <c r="P132" s="1">
        <v>0</v>
      </c>
    </row>
    <row r="133" spans="1:16">
      <c r="A133" s="9">
        <v>45154</v>
      </c>
      <c r="B133" s="1">
        <f t="shared" si="0"/>
        <v>2023</v>
      </c>
      <c r="C133" s="1">
        <f t="shared" si="2"/>
        <v>8</v>
      </c>
      <c r="D133" s="25" t="s">
        <v>93</v>
      </c>
      <c r="E133" s="6">
        <v>299</v>
      </c>
      <c r="F133" s="6">
        <v>243</v>
      </c>
      <c r="G133" s="28">
        <v>321991534.10000002</v>
      </c>
      <c r="H133" s="1">
        <v>28</v>
      </c>
      <c r="I133" s="1">
        <v>18.190000000000001</v>
      </c>
      <c r="J133" s="1">
        <v>2</v>
      </c>
      <c r="K133" s="6">
        <v>3656</v>
      </c>
      <c r="L133" s="6">
        <v>2328</v>
      </c>
      <c r="M133" s="30">
        <v>4310909891</v>
      </c>
      <c r="N133" s="1">
        <v>22</v>
      </c>
      <c r="O133" s="1">
        <v>19</v>
      </c>
      <c r="P133" s="1">
        <v>2</v>
      </c>
    </row>
    <row r="134" spans="1:16">
      <c r="A134" s="9">
        <v>45155</v>
      </c>
      <c r="B134" s="1">
        <f t="shared" si="0"/>
        <v>2023</v>
      </c>
      <c r="C134" s="1">
        <f t="shared" si="2"/>
        <v>8</v>
      </c>
      <c r="D134" s="25" t="s">
        <v>28</v>
      </c>
      <c r="E134" s="6">
        <v>276</v>
      </c>
      <c r="F134" s="6">
        <v>249</v>
      </c>
      <c r="G134" s="28">
        <v>313372963.69999999</v>
      </c>
      <c r="H134" s="1">
        <v>23.4</v>
      </c>
      <c r="I134" s="1">
        <v>19.899999999999999</v>
      </c>
      <c r="J134" s="1">
        <v>3</v>
      </c>
      <c r="K134" s="6">
        <v>1509</v>
      </c>
      <c r="L134" s="6">
        <v>1134</v>
      </c>
      <c r="M134" s="30">
        <v>1497999730</v>
      </c>
      <c r="N134" s="1">
        <v>22</v>
      </c>
      <c r="O134" s="1">
        <v>27</v>
      </c>
      <c r="P134" s="1">
        <v>3</v>
      </c>
    </row>
    <row r="135" spans="1:16">
      <c r="A135" s="9">
        <v>45170</v>
      </c>
      <c r="B135" s="1">
        <f t="shared" si="0"/>
        <v>2023</v>
      </c>
      <c r="C135" s="1">
        <f t="shared" si="2"/>
        <v>9</v>
      </c>
      <c r="D135" s="25" t="s">
        <v>22</v>
      </c>
      <c r="E135" s="6">
        <v>20557</v>
      </c>
      <c r="F135" s="6">
        <v>14072</v>
      </c>
      <c r="G135" s="28">
        <v>23691155436</v>
      </c>
      <c r="H135" s="1">
        <v>28.8</v>
      </c>
      <c r="I135" s="1">
        <v>77.849999999999994</v>
      </c>
      <c r="J135" s="1">
        <v>10</v>
      </c>
      <c r="K135" s="6">
        <v>197424</v>
      </c>
      <c r="L135" s="6">
        <v>127852</v>
      </c>
      <c r="M135" s="30">
        <v>219138441488</v>
      </c>
      <c r="N135" s="1">
        <v>30</v>
      </c>
      <c r="O135" s="1">
        <v>64</v>
      </c>
      <c r="P135" s="1">
        <v>10</v>
      </c>
    </row>
    <row r="136" spans="1:16">
      <c r="A136" s="9">
        <v>45171</v>
      </c>
      <c r="B136" s="1">
        <f t="shared" si="0"/>
        <v>2023</v>
      </c>
      <c r="C136" s="1">
        <f t="shared" si="2"/>
        <v>9</v>
      </c>
      <c r="D136" s="25" t="s">
        <v>75</v>
      </c>
      <c r="E136" s="6">
        <v>19453</v>
      </c>
      <c r="F136" s="6">
        <v>12434</v>
      </c>
      <c r="G136" s="28">
        <v>22636718335</v>
      </c>
      <c r="H136" s="1">
        <v>30.1</v>
      </c>
      <c r="I136" s="1">
        <v>72.599999999999994</v>
      </c>
      <c r="J136" s="1">
        <v>11</v>
      </c>
      <c r="K136" s="6">
        <v>141874</v>
      </c>
      <c r="L136" s="6">
        <v>93716</v>
      </c>
      <c r="M136" s="30">
        <v>152992914048</v>
      </c>
      <c r="N136" s="1">
        <v>29</v>
      </c>
      <c r="O136" s="1">
        <v>55</v>
      </c>
      <c r="P136" s="1">
        <v>11</v>
      </c>
    </row>
    <row r="137" spans="1:16">
      <c r="A137" s="9">
        <v>45172</v>
      </c>
      <c r="B137" s="1">
        <f t="shared" si="0"/>
        <v>2023</v>
      </c>
      <c r="C137" s="1">
        <f t="shared" si="2"/>
        <v>9</v>
      </c>
      <c r="D137" s="25" t="s">
        <v>9</v>
      </c>
      <c r="E137" s="6">
        <v>17892</v>
      </c>
      <c r="F137" s="6">
        <v>10961</v>
      </c>
      <c r="G137" s="28">
        <v>19971100017</v>
      </c>
      <c r="H137" s="1">
        <v>29.9</v>
      </c>
      <c r="I137" s="1">
        <v>91.29</v>
      </c>
      <c r="J137" s="1">
        <v>3</v>
      </c>
      <c r="K137" s="6">
        <v>137527</v>
      </c>
      <c r="L137" s="6">
        <v>85895</v>
      </c>
      <c r="M137" s="30">
        <v>153138177908</v>
      </c>
      <c r="N137" s="1">
        <v>31</v>
      </c>
      <c r="O137" s="1">
        <v>79</v>
      </c>
      <c r="P137" s="1">
        <v>3</v>
      </c>
    </row>
    <row r="138" spans="1:16">
      <c r="A138" s="9">
        <v>45173</v>
      </c>
      <c r="B138" s="1">
        <f t="shared" si="0"/>
        <v>2023</v>
      </c>
      <c r="C138" s="1">
        <f t="shared" si="2"/>
        <v>9</v>
      </c>
      <c r="D138" s="25" t="s">
        <v>10</v>
      </c>
      <c r="E138" s="6">
        <v>17439</v>
      </c>
      <c r="F138" s="6">
        <v>12214</v>
      </c>
      <c r="G138" s="28">
        <v>18785485399</v>
      </c>
      <c r="H138" s="1">
        <v>29.7</v>
      </c>
      <c r="I138" s="1">
        <v>68.83</v>
      </c>
      <c r="J138" s="1">
        <v>3</v>
      </c>
      <c r="K138" s="6">
        <v>127673</v>
      </c>
      <c r="L138" s="6">
        <v>80435</v>
      </c>
      <c r="M138" s="30">
        <v>142609111523</v>
      </c>
      <c r="N138" s="1">
        <v>32</v>
      </c>
      <c r="O138" s="1">
        <v>79</v>
      </c>
      <c r="P138" s="1">
        <v>3</v>
      </c>
    </row>
    <row r="139" spans="1:16">
      <c r="A139" s="9">
        <v>45174</v>
      </c>
      <c r="B139" s="1">
        <f t="shared" si="0"/>
        <v>2023</v>
      </c>
      <c r="C139" s="1">
        <f t="shared" si="2"/>
        <v>9</v>
      </c>
      <c r="D139" s="25" t="s">
        <v>8</v>
      </c>
      <c r="E139" s="6">
        <v>16247</v>
      </c>
      <c r="F139" s="6">
        <v>10349</v>
      </c>
      <c r="G139" s="28">
        <v>17551145516</v>
      </c>
      <c r="H139" s="1">
        <v>29.1</v>
      </c>
      <c r="I139" s="1">
        <v>58.86</v>
      </c>
      <c r="J139" s="1">
        <v>5</v>
      </c>
      <c r="K139" s="6">
        <v>111039</v>
      </c>
      <c r="L139" s="6">
        <v>76931</v>
      </c>
      <c r="M139" s="30">
        <v>125985506261</v>
      </c>
      <c r="N139" s="1">
        <v>29</v>
      </c>
      <c r="O139" s="1">
        <v>60</v>
      </c>
      <c r="P139" s="1">
        <v>5</v>
      </c>
    </row>
    <row r="140" spans="1:16">
      <c r="A140" s="9">
        <v>45175</v>
      </c>
      <c r="B140" s="1">
        <f t="shared" si="0"/>
        <v>2023</v>
      </c>
      <c r="C140" s="1">
        <f t="shared" si="2"/>
        <v>9</v>
      </c>
      <c r="D140" s="25" t="s">
        <v>12</v>
      </c>
      <c r="E140" s="6">
        <v>7653</v>
      </c>
      <c r="F140" s="6">
        <v>4966</v>
      </c>
      <c r="G140" s="28">
        <v>8933044559</v>
      </c>
      <c r="H140" s="1">
        <v>24.8</v>
      </c>
      <c r="I140" s="1">
        <v>51.99</v>
      </c>
      <c r="J140" s="1">
        <v>3</v>
      </c>
      <c r="K140" s="6">
        <v>92327</v>
      </c>
      <c r="L140" s="6">
        <v>63008</v>
      </c>
      <c r="M140" s="30">
        <v>106751414607</v>
      </c>
      <c r="N140" s="1">
        <v>30</v>
      </c>
      <c r="O140" s="1">
        <v>70</v>
      </c>
      <c r="P140" s="1">
        <v>3</v>
      </c>
    </row>
    <row r="141" spans="1:16">
      <c r="A141" s="9">
        <v>45176</v>
      </c>
      <c r="B141" s="1">
        <f t="shared" si="0"/>
        <v>2023</v>
      </c>
      <c r="C141" s="1">
        <f t="shared" si="2"/>
        <v>9</v>
      </c>
      <c r="D141" s="25" t="s">
        <v>79</v>
      </c>
      <c r="E141" s="6">
        <v>6027</v>
      </c>
      <c r="F141" s="6">
        <v>4144</v>
      </c>
      <c r="G141" s="28">
        <v>7152676640</v>
      </c>
      <c r="H141" s="1">
        <v>25.6</v>
      </c>
      <c r="I141" s="1">
        <v>75.13</v>
      </c>
      <c r="J141" s="1">
        <v>5</v>
      </c>
      <c r="K141" s="6">
        <v>65065</v>
      </c>
      <c r="L141" s="6">
        <v>42525</v>
      </c>
      <c r="M141" s="30">
        <v>74675854180</v>
      </c>
      <c r="N141" s="1">
        <v>26</v>
      </c>
      <c r="O141" s="1">
        <v>51</v>
      </c>
      <c r="P141" s="1">
        <v>5</v>
      </c>
    </row>
    <row r="142" spans="1:16">
      <c r="A142" s="9">
        <v>45177</v>
      </c>
      <c r="B142" s="1">
        <f t="shared" si="0"/>
        <v>2023</v>
      </c>
      <c r="C142" s="1">
        <f t="shared" si="2"/>
        <v>9</v>
      </c>
      <c r="D142" s="25" t="s">
        <v>84</v>
      </c>
      <c r="E142" s="6">
        <v>3494</v>
      </c>
      <c r="F142" s="6">
        <v>2267</v>
      </c>
      <c r="G142" s="28">
        <v>4314835399</v>
      </c>
      <c r="H142" s="1">
        <v>24.5</v>
      </c>
      <c r="I142" s="1">
        <v>39.130000000000003</v>
      </c>
      <c r="J142" s="1">
        <v>2</v>
      </c>
      <c r="K142" s="6">
        <v>25782</v>
      </c>
      <c r="L142" s="6">
        <v>17744</v>
      </c>
      <c r="M142" s="30">
        <v>31725696069</v>
      </c>
      <c r="N142" s="1">
        <v>24</v>
      </c>
      <c r="O142" s="1">
        <v>34</v>
      </c>
      <c r="P142" s="1">
        <v>2</v>
      </c>
    </row>
    <row r="143" spans="1:16">
      <c r="A143" s="9">
        <v>45178</v>
      </c>
      <c r="B143" s="1">
        <f t="shared" si="0"/>
        <v>2023</v>
      </c>
      <c r="C143" s="1">
        <f t="shared" si="2"/>
        <v>9</v>
      </c>
      <c r="D143" s="25" t="s">
        <v>20</v>
      </c>
      <c r="E143" s="6">
        <v>2916</v>
      </c>
      <c r="F143" s="6">
        <v>1987</v>
      </c>
      <c r="G143" s="28">
        <v>3312785900</v>
      </c>
      <c r="H143" s="1">
        <v>21.2</v>
      </c>
      <c r="I143" s="1">
        <v>51.84</v>
      </c>
      <c r="J143" s="1">
        <v>2</v>
      </c>
      <c r="K143" s="6">
        <v>22519</v>
      </c>
      <c r="L143" s="6">
        <v>15755</v>
      </c>
      <c r="M143" s="30">
        <v>26567422996</v>
      </c>
      <c r="N143" s="1">
        <v>25</v>
      </c>
      <c r="O143" s="1">
        <v>47</v>
      </c>
      <c r="P143" s="1">
        <v>2</v>
      </c>
    </row>
    <row r="144" spans="1:16">
      <c r="A144" s="9">
        <v>45179</v>
      </c>
      <c r="B144" s="1">
        <f t="shared" si="0"/>
        <v>2023</v>
      </c>
      <c r="C144" s="1">
        <f t="shared" si="2"/>
        <v>9</v>
      </c>
      <c r="D144" s="25" t="s">
        <v>88</v>
      </c>
      <c r="E144" s="6">
        <v>1986</v>
      </c>
      <c r="F144" s="6">
        <v>1310</v>
      </c>
      <c r="G144" s="28">
        <v>2297554164</v>
      </c>
      <c r="H144" s="1">
        <v>19.5</v>
      </c>
      <c r="I144" s="1">
        <v>40.68</v>
      </c>
      <c r="J144" s="1">
        <v>3</v>
      </c>
      <c r="K144" s="6">
        <v>16845</v>
      </c>
      <c r="L144" s="6">
        <v>11851</v>
      </c>
      <c r="M144" s="30">
        <v>18756725772</v>
      </c>
      <c r="N144" s="1">
        <v>31</v>
      </c>
      <c r="O144" s="1">
        <v>58</v>
      </c>
      <c r="P144" s="1">
        <v>3</v>
      </c>
    </row>
    <row r="145" spans="1:16">
      <c r="A145" s="9">
        <v>45180</v>
      </c>
      <c r="B145" s="1">
        <f t="shared" si="0"/>
        <v>2023</v>
      </c>
      <c r="C145" s="1">
        <f t="shared" si="2"/>
        <v>9</v>
      </c>
      <c r="D145" s="25" t="s">
        <v>7</v>
      </c>
      <c r="E145" s="6">
        <v>1254</v>
      </c>
      <c r="F145" s="6">
        <v>871</v>
      </c>
      <c r="G145" s="28">
        <v>1523814406</v>
      </c>
      <c r="H145" s="1">
        <v>36.799999999999997</v>
      </c>
      <c r="I145" s="1">
        <v>74.67</v>
      </c>
      <c r="J145" s="1">
        <v>2</v>
      </c>
      <c r="K145" s="6">
        <v>15650</v>
      </c>
      <c r="L145" s="6">
        <v>10794</v>
      </c>
      <c r="M145" s="30">
        <v>17448492018</v>
      </c>
      <c r="N145" s="1">
        <v>27</v>
      </c>
      <c r="O145" s="1">
        <v>58</v>
      </c>
      <c r="P145" s="1">
        <v>2</v>
      </c>
    </row>
    <row r="146" spans="1:16">
      <c r="A146" s="9">
        <v>45181</v>
      </c>
      <c r="B146" s="1">
        <f t="shared" si="0"/>
        <v>2023</v>
      </c>
      <c r="C146" s="1">
        <f t="shared" si="2"/>
        <v>9</v>
      </c>
      <c r="D146" s="25" t="s">
        <v>91</v>
      </c>
      <c r="E146" s="6">
        <v>1223</v>
      </c>
      <c r="F146" s="6">
        <v>873</v>
      </c>
      <c r="G146" s="28">
        <v>1418792308</v>
      </c>
      <c r="H146" s="1">
        <v>33.5</v>
      </c>
      <c r="I146" s="1">
        <v>73.17</v>
      </c>
      <c r="J146" s="1">
        <v>2</v>
      </c>
      <c r="K146" s="6">
        <v>15378</v>
      </c>
      <c r="L146" s="6">
        <v>10427</v>
      </c>
      <c r="M146" s="30">
        <v>16788869420</v>
      </c>
      <c r="N146" s="1">
        <v>26</v>
      </c>
      <c r="O146" s="1">
        <v>51</v>
      </c>
      <c r="P146" s="1">
        <v>2</v>
      </c>
    </row>
    <row r="147" spans="1:16">
      <c r="A147" s="9">
        <v>45182</v>
      </c>
      <c r="B147" s="1">
        <f t="shared" si="0"/>
        <v>2023</v>
      </c>
      <c r="C147" s="1">
        <f t="shared" si="2"/>
        <v>9</v>
      </c>
      <c r="D147" s="25" t="s">
        <v>19</v>
      </c>
      <c r="E147" s="6">
        <v>1188</v>
      </c>
      <c r="F147" s="6">
        <v>814</v>
      </c>
      <c r="G147" s="28">
        <v>1352140092</v>
      </c>
      <c r="H147" s="1">
        <v>28.7</v>
      </c>
      <c r="I147" s="1">
        <v>58.98</v>
      </c>
      <c r="J147" s="1">
        <v>2</v>
      </c>
      <c r="K147" s="6">
        <v>13463</v>
      </c>
      <c r="L147" s="6">
        <v>9045</v>
      </c>
      <c r="M147" s="30">
        <v>15566666402</v>
      </c>
      <c r="N147" s="1">
        <v>30</v>
      </c>
      <c r="O147" s="1">
        <v>57</v>
      </c>
      <c r="P147" s="1">
        <v>2</v>
      </c>
    </row>
    <row r="148" spans="1:16">
      <c r="A148" s="9">
        <v>45183</v>
      </c>
      <c r="B148" s="1">
        <f t="shared" si="0"/>
        <v>2023</v>
      </c>
      <c r="C148" s="1">
        <f t="shared" si="2"/>
        <v>9</v>
      </c>
      <c r="D148" s="25" t="s">
        <v>11</v>
      </c>
      <c r="E148" s="6">
        <v>1126</v>
      </c>
      <c r="F148" s="6">
        <v>786</v>
      </c>
      <c r="G148" s="28">
        <v>1334280119</v>
      </c>
      <c r="H148" s="1">
        <v>39</v>
      </c>
      <c r="I148" s="1">
        <v>79.31</v>
      </c>
      <c r="J148" s="1">
        <v>0</v>
      </c>
      <c r="K148" s="6">
        <v>12780</v>
      </c>
      <c r="L148" s="6">
        <v>8939</v>
      </c>
      <c r="M148" s="30">
        <v>14580944558</v>
      </c>
      <c r="N148" s="1">
        <v>23</v>
      </c>
      <c r="O148" s="1">
        <v>44</v>
      </c>
      <c r="P148" s="1">
        <v>0</v>
      </c>
    </row>
    <row r="149" spans="1:16">
      <c r="A149" s="9">
        <v>45184</v>
      </c>
      <c r="B149" s="1">
        <f t="shared" si="0"/>
        <v>2023</v>
      </c>
      <c r="C149" s="1">
        <f t="shared" si="2"/>
        <v>9</v>
      </c>
      <c r="D149" s="25" t="s">
        <v>24</v>
      </c>
      <c r="E149" s="6">
        <v>1047</v>
      </c>
      <c r="F149" s="6">
        <v>644</v>
      </c>
      <c r="G149" s="28">
        <v>1192396563</v>
      </c>
      <c r="H149" s="1">
        <v>23.8</v>
      </c>
      <c r="I149" s="1">
        <v>20.2</v>
      </c>
      <c r="J149" s="1">
        <v>0</v>
      </c>
      <c r="K149" s="6">
        <v>8382</v>
      </c>
      <c r="L149" s="6">
        <v>5847</v>
      </c>
      <c r="M149" s="30">
        <v>9771781402</v>
      </c>
      <c r="N149" s="1">
        <v>30</v>
      </c>
      <c r="O149" s="1">
        <v>44</v>
      </c>
      <c r="P149" s="1">
        <v>0</v>
      </c>
    </row>
    <row r="150" spans="1:16">
      <c r="A150" s="9">
        <v>45185</v>
      </c>
      <c r="B150" s="1">
        <f t="shared" si="0"/>
        <v>2023</v>
      </c>
      <c r="C150" s="1">
        <f t="shared" si="2"/>
        <v>9</v>
      </c>
      <c r="D150" s="25" t="s">
        <v>28</v>
      </c>
      <c r="E150" s="6">
        <v>432</v>
      </c>
      <c r="F150" s="6">
        <v>331</v>
      </c>
      <c r="G150" s="28">
        <v>466942005.39999998</v>
      </c>
      <c r="H150" s="1">
        <v>26.1</v>
      </c>
      <c r="I150" s="1">
        <v>23.93</v>
      </c>
      <c r="J150" s="1">
        <v>2</v>
      </c>
      <c r="K150" s="6">
        <v>4703</v>
      </c>
      <c r="L150" s="6">
        <v>2972</v>
      </c>
      <c r="M150" s="30">
        <v>5503306454</v>
      </c>
      <c r="N150" s="1">
        <v>22</v>
      </c>
      <c r="O150" s="1">
        <v>19</v>
      </c>
      <c r="P150" s="1">
        <v>2</v>
      </c>
    </row>
    <row r="151" spans="1:16">
      <c r="A151" s="9">
        <v>45186</v>
      </c>
      <c r="B151" s="1">
        <f t="shared" si="0"/>
        <v>2023</v>
      </c>
      <c r="C151" s="1">
        <f t="shared" si="2"/>
        <v>9</v>
      </c>
      <c r="D151" s="25" t="s">
        <v>93</v>
      </c>
      <c r="E151" s="6">
        <v>194</v>
      </c>
      <c r="F151" s="6">
        <v>138</v>
      </c>
      <c r="G151" s="28">
        <v>215776772.30000001</v>
      </c>
      <c r="H151" s="1">
        <v>20.100000000000001</v>
      </c>
      <c r="I151" s="1">
        <v>15.14</v>
      </c>
      <c r="J151" s="1">
        <v>1</v>
      </c>
      <c r="K151" s="6">
        <v>1813</v>
      </c>
      <c r="L151" s="6">
        <v>1286</v>
      </c>
      <c r="M151" s="30">
        <v>1618669616</v>
      </c>
      <c r="N151" s="1">
        <v>27</v>
      </c>
      <c r="O151" s="1">
        <v>34</v>
      </c>
      <c r="P151" s="1">
        <v>1</v>
      </c>
    </row>
    <row r="152" spans="1:16">
      <c r="A152" s="10">
        <v>45200</v>
      </c>
      <c r="B152" s="1">
        <f t="shared" si="0"/>
        <v>2023</v>
      </c>
      <c r="C152" s="1">
        <f t="shared" si="2"/>
        <v>10</v>
      </c>
      <c r="D152" s="25" t="s">
        <v>22</v>
      </c>
      <c r="E152" s="6">
        <v>22901</v>
      </c>
      <c r="F152" s="6">
        <v>16140</v>
      </c>
      <c r="G152" s="28">
        <v>27278259885</v>
      </c>
      <c r="H152" s="1">
        <v>31.1</v>
      </c>
      <c r="I152" s="1">
        <v>76.569999999999993</v>
      </c>
      <c r="J152" s="1">
        <v>11</v>
      </c>
      <c r="K152" s="6">
        <v>217421</v>
      </c>
      <c r="L152" s="6">
        <v>140576</v>
      </c>
      <c r="M152" s="30">
        <v>242459394247</v>
      </c>
      <c r="N152" s="1">
        <v>30</v>
      </c>
      <c r="O152" s="1">
        <v>65</v>
      </c>
      <c r="P152" s="1">
        <v>11</v>
      </c>
    </row>
    <row r="153" spans="1:16">
      <c r="A153" s="10">
        <v>45201</v>
      </c>
      <c r="B153" s="1">
        <f t="shared" si="0"/>
        <v>2023</v>
      </c>
      <c r="C153" s="1">
        <f t="shared" si="2"/>
        <v>10</v>
      </c>
      <c r="D153" s="25" t="s">
        <v>9</v>
      </c>
      <c r="E153" s="6">
        <v>21525</v>
      </c>
      <c r="F153" s="6">
        <v>13044</v>
      </c>
      <c r="G153" s="28">
        <v>24968732861</v>
      </c>
      <c r="H153" s="1">
        <v>29.9</v>
      </c>
      <c r="I153" s="1">
        <v>77.19</v>
      </c>
      <c r="J153" s="1">
        <v>9</v>
      </c>
      <c r="K153" s="6">
        <v>159285</v>
      </c>
      <c r="L153" s="6">
        <v>105303</v>
      </c>
      <c r="M153" s="30">
        <v>172583474547</v>
      </c>
      <c r="N153" s="1">
        <v>29</v>
      </c>
      <c r="O153" s="1">
        <v>55</v>
      </c>
      <c r="P153" s="1">
        <v>9</v>
      </c>
    </row>
    <row r="154" spans="1:16">
      <c r="A154" s="10">
        <v>45202</v>
      </c>
      <c r="B154" s="1">
        <f t="shared" si="0"/>
        <v>2023</v>
      </c>
      <c r="C154" s="1">
        <f t="shared" si="2"/>
        <v>10</v>
      </c>
      <c r="D154" s="25" t="s">
        <v>8</v>
      </c>
      <c r="E154" s="6">
        <v>17411</v>
      </c>
      <c r="F154" s="6">
        <v>11587</v>
      </c>
      <c r="G154" s="28">
        <v>19590560500</v>
      </c>
      <c r="H154" s="1">
        <v>26.9</v>
      </c>
      <c r="I154" s="1">
        <v>57.84</v>
      </c>
      <c r="J154" s="1">
        <v>3</v>
      </c>
      <c r="K154" s="6">
        <v>159052</v>
      </c>
      <c r="L154" s="6">
        <v>98939</v>
      </c>
      <c r="M154" s="30">
        <v>178106910768</v>
      </c>
      <c r="N154" s="1">
        <v>31</v>
      </c>
      <c r="O154" s="1">
        <v>79</v>
      </c>
      <c r="P154" s="1">
        <v>3</v>
      </c>
    </row>
    <row r="155" spans="1:16">
      <c r="A155" s="10">
        <v>45203</v>
      </c>
      <c r="B155" s="1">
        <f t="shared" si="0"/>
        <v>2023</v>
      </c>
      <c r="C155" s="1">
        <f t="shared" si="2"/>
        <v>10</v>
      </c>
      <c r="D155" s="25" t="s">
        <v>75</v>
      </c>
      <c r="E155" s="6">
        <v>17411</v>
      </c>
      <c r="F155" s="6">
        <v>11022</v>
      </c>
      <c r="G155" s="28">
        <v>20235009463</v>
      </c>
      <c r="H155" s="1">
        <v>26.4</v>
      </c>
      <c r="I155" s="1">
        <v>65.8</v>
      </c>
      <c r="J155" s="1">
        <v>3</v>
      </c>
      <c r="K155" s="6">
        <v>150574</v>
      </c>
      <c r="L155" s="6">
        <v>96575</v>
      </c>
      <c r="M155" s="30">
        <v>169887371407</v>
      </c>
      <c r="N155" s="1">
        <v>32</v>
      </c>
      <c r="O155" s="1">
        <v>79</v>
      </c>
      <c r="P155" s="1">
        <v>3</v>
      </c>
    </row>
    <row r="156" spans="1:16">
      <c r="A156" s="10">
        <v>45204</v>
      </c>
      <c r="B156" s="1">
        <f t="shared" si="0"/>
        <v>2023</v>
      </c>
      <c r="C156" s="1">
        <f t="shared" si="2"/>
        <v>10</v>
      </c>
      <c r="D156" s="25" t="s">
        <v>10</v>
      </c>
      <c r="E156" s="6">
        <v>12745</v>
      </c>
      <c r="F156" s="6">
        <v>8256</v>
      </c>
      <c r="G156" s="28">
        <v>14511755154</v>
      </c>
      <c r="H156" s="1">
        <v>26.6</v>
      </c>
      <c r="I156" s="1">
        <v>54.74</v>
      </c>
      <c r="J156" s="1">
        <v>5</v>
      </c>
      <c r="K156" s="6">
        <v>123784</v>
      </c>
      <c r="L156" s="6">
        <v>85187</v>
      </c>
      <c r="M156" s="30">
        <v>140497261415</v>
      </c>
      <c r="N156" s="1">
        <v>29</v>
      </c>
      <c r="O156" s="1">
        <v>59</v>
      </c>
      <c r="P156" s="1">
        <v>5</v>
      </c>
    </row>
    <row r="157" spans="1:16">
      <c r="A157" s="10">
        <v>45205</v>
      </c>
      <c r="B157" s="1">
        <f t="shared" si="0"/>
        <v>2023</v>
      </c>
      <c r="C157" s="1">
        <f t="shared" si="2"/>
        <v>10</v>
      </c>
      <c r="D157" s="25" t="s">
        <v>79</v>
      </c>
      <c r="E157" s="6">
        <v>10870</v>
      </c>
      <c r="F157" s="6">
        <v>7254</v>
      </c>
      <c r="G157" s="28">
        <v>13156989892</v>
      </c>
      <c r="H157" s="1">
        <v>28.2</v>
      </c>
      <c r="I157" s="1">
        <v>70.989999999999995</v>
      </c>
      <c r="J157" s="1">
        <v>3</v>
      </c>
      <c r="K157" s="6">
        <v>103197</v>
      </c>
      <c r="L157" s="6">
        <v>70262</v>
      </c>
      <c r="M157" s="30">
        <v>119908404499</v>
      </c>
      <c r="N157" s="1">
        <v>30</v>
      </c>
      <c r="O157" s="1">
        <v>71</v>
      </c>
      <c r="P157" s="1">
        <v>3</v>
      </c>
    </row>
    <row r="158" spans="1:16">
      <c r="A158" s="10">
        <v>45206</v>
      </c>
      <c r="B158" s="1">
        <f t="shared" si="0"/>
        <v>2023</v>
      </c>
      <c r="C158" s="1">
        <f t="shared" si="2"/>
        <v>10</v>
      </c>
      <c r="D158" s="25" t="s">
        <v>12</v>
      </c>
      <c r="E158" s="6">
        <v>6855</v>
      </c>
      <c r="F158" s="6">
        <v>4790</v>
      </c>
      <c r="G158" s="28">
        <v>8544952425</v>
      </c>
      <c r="H158" s="1">
        <v>19.3</v>
      </c>
      <c r="I158" s="1">
        <v>40.86</v>
      </c>
      <c r="J158" s="1">
        <v>2</v>
      </c>
      <c r="K158" s="6">
        <v>71920</v>
      </c>
      <c r="L158" s="6">
        <v>47315</v>
      </c>
      <c r="M158" s="30">
        <v>83220806605</v>
      </c>
      <c r="N158" s="1">
        <v>26</v>
      </c>
      <c r="O158" s="1">
        <v>50</v>
      </c>
      <c r="P158" s="1">
        <v>2</v>
      </c>
    </row>
    <row r="159" spans="1:16">
      <c r="A159" s="10">
        <v>45207</v>
      </c>
      <c r="B159" s="1">
        <f t="shared" si="0"/>
        <v>2023</v>
      </c>
      <c r="C159" s="1">
        <f t="shared" si="2"/>
        <v>10</v>
      </c>
      <c r="D159" s="25" t="s">
        <v>88</v>
      </c>
      <c r="E159" s="6">
        <v>2962</v>
      </c>
      <c r="F159" s="6">
        <v>2026</v>
      </c>
      <c r="G159" s="28">
        <v>3673435251</v>
      </c>
      <c r="H159" s="1">
        <v>24.7</v>
      </c>
      <c r="I159" s="1">
        <v>44.65</v>
      </c>
      <c r="J159" s="1">
        <v>2</v>
      </c>
      <c r="K159" s="6">
        <v>28369</v>
      </c>
      <c r="L159" s="6">
        <v>19422</v>
      </c>
      <c r="M159" s="30">
        <v>35159453635</v>
      </c>
      <c r="N159" s="1">
        <v>24</v>
      </c>
      <c r="O159" s="1">
        <v>35</v>
      </c>
      <c r="P159" s="1">
        <v>2</v>
      </c>
    </row>
    <row r="160" spans="1:16">
      <c r="A160" s="10">
        <v>45208</v>
      </c>
      <c r="B160" s="1">
        <f t="shared" si="0"/>
        <v>2023</v>
      </c>
      <c r="C160" s="1">
        <f t="shared" si="2"/>
        <v>10</v>
      </c>
      <c r="D160" s="25" t="s">
        <v>84</v>
      </c>
      <c r="E160" s="6">
        <v>2587</v>
      </c>
      <c r="F160" s="6">
        <v>1678</v>
      </c>
      <c r="G160" s="28">
        <v>3433757566</v>
      </c>
      <c r="H160" s="1">
        <v>24.5</v>
      </c>
      <c r="I160" s="1">
        <v>40.72</v>
      </c>
      <c r="J160" s="1">
        <v>2</v>
      </c>
      <c r="K160" s="6">
        <v>25481</v>
      </c>
      <c r="L160" s="6">
        <v>17781</v>
      </c>
      <c r="M160" s="30">
        <v>30240858247</v>
      </c>
      <c r="N160" s="1">
        <v>25</v>
      </c>
      <c r="O160" s="1">
        <v>47</v>
      </c>
      <c r="P160" s="1">
        <v>2</v>
      </c>
    </row>
    <row r="161" spans="1:16">
      <c r="A161" s="10">
        <v>45209</v>
      </c>
      <c r="B161" s="1">
        <f t="shared" si="0"/>
        <v>2023</v>
      </c>
      <c r="C161" s="1">
        <f t="shared" si="2"/>
        <v>10</v>
      </c>
      <c r="D161" s="25" t="s">
        <v>7</v>
      </c>
      <c r="E161" s="6">
        <v>2586</v>
      </c>
      <c r="F161" s="6">
        <v>1702</v>
      </c>
      <c r="G161" s="28">
        <v>3085943297</v>
      </c>
      <c r="H161" s="1">
        <v>26.5</v>
      </c>
      <c r="I161" s="1">
        <v>74.010000000000005</v>
      </c>
      <c r="J161" s="1">
        <v>2</v>
      </c>
      <c r="K161" s="6">
        <v>18279</v>
      </c>
      <c r="L161" s="6">
        <v>12850</v>
      </c>
      <c r="M161" s="30">
        <v>20429850473</v>
      </c>
      <c r="N161" s="1">
        <v>31</v>
      </c>
      <c r="O161" s="1">
        <v>58</v>
      </c>
      <c r="P161" s="1">
        <v>2</v>
      </c>
    </row>
    <row r="162" spans="1:16">
      <c r="A162" s="10">
        <v>45210</v>
      </c>
      <c r="B162" s="1">
        <f t="shared" si="0"/>
        <v>2023</v>
      </c>
      <c r="C162" s="1">
        <f t="shared" si="2"/>
        <v>10</v>
      </c>
      <c r="D162" s="25" t="s">
        <v>91</v>
      </c>
      <c r="E162" s="6">
        <v>2560</v>
      </c>
      <c r="F162" s="6">
        <v>1748</v>
      </c>
      <c r="G162" s="28">
        <v>2969418431</v>
      </c>
      <c r="H162" s="1">
        <v>22.5</v>
      </c>
      <c r="I162" s="1">
        <v>53.95</v>
      </c>
      <c r="J162" s="1">
        <v>3</v>
      </c>
      <c r="K162" s="6">
        <v>18210</v>
      </c>
      <c r="L162" s="6">
        <v>12542</v>
      </c>
      <c r="M162" s="30">
        <v>20417910449</v>
      </c>
      <c r="N162" s="1">
        <v>27</v>
      </c>
      <c r="O162" s="1">
        <v>58</v>
      </c>
      <c r="P162" s="1">
        <v>3</v>
      </c>
    </row>
    <row r="163" spans="1:16">
      <c r="A163" s="10">
        <v>45211</v>
      </c>
      <c r="B163" s="1">
        <f t="shared" si="0"/>
        <v>2023</v>
      </c>
      <c r="C163" s="1">
        <f t="shared" si="2"/>
        <v>10</v>
      </c>
      <c r="D163" s="25" t="s">
        <v>11</v>
      </c>
      <c r="E163" s="6">
        <v>2406</v>
      </c>
      <c r="F163" s="6">
        <v>1608</v>
      </c>
      <c r="G163" s="28">
        <v>2922291225</v>
      </c>
      <c r="H163" s="1">
        <v>35.299999999999997</v>
      </c>
      <c r="I163" s="1">
        <v>74.790000000000006</v>
      </c>
      <c r="J163" s="1">
        <v>2</v>
      </c>
      <c r="K163" s="6">
        <v>17753</v>
      </c>
      <c r="L163" s="6">
        <v>12075</v>
      </c>
      <c r="M163" s="30">
        <v>19589540898</v>
      </c>
      <c r="N163" s="1">
        <v>26</v>
      </c>
      <c r="O163" s="1">
        <v>51</v>
      </c>
      <c r="P163" s="1">
        <v>2</v>
      </c>
    </row>
    <row r="164" spans="1:16">
      <c r="A164" s="10">
        <v>45212</v>
      </c>
      <c r="B164" s="1">
        <f t="shared" si="0"/>
        <v>2023</v>
      </c>
      <c r="C164" s="1">
        <f t="shared" si="2"/>
        <v>10</v>
      </c>
      <c r="D164" s="25" t="s">
        <v>19</v>
      </c>
      <c r="E164" s="6">
        <v>2375</v>
      </c>
      <c r="F164" s="6">
        <v>1648</v>
      </c>
      <c r="G164" s="28">
        <v>2800671478</v>
      </c>
      <c r="H164" s="1">
        <v>23</v>
      </c>
      <c r="I164" s="1">
        <v>47.8</v>
      </c>
      <c r="J164" s="1">
        <v>0</v>
      </c>
      <c r="K164" s="6">
        <v>15869</v>
      </c>
      <c r="L164" s="6">
        <v>10653</v>
      </c>
      <c r="M164" s="30">
        <v>18488957627</v>
      </c>
      <c r="N164" s="1">
        <v>31</v>
      </c>
      <c r="O164" s="1">
        <v>59</v>
      </c>
      <c r="P164" s="1">
        <v>0</v>
      </c>
    </row>
    <row r="165" spans="1:16">
      <c r="A165" s="10">
        <v>45213</v>
      </c>
      <c r="B165" s="1">
        <f t="shared" si="0"/>
        <v>2023</v>
      </c>
      <c r="C165" s="1">
        <f t="shared" si="2"/>
        <v>10</v>
      </c>
      <c r="D165" s="25" t="s">
        <v>20</v>
      </c>
      <c r="E165" s="6">
        <v>1434</v>
      </c>
      <c r="F165" s="6">
        <v>999</v>
      </c>
      <c r="G165" s="28">
        <v>1673124702</v>
      </c>
      <c r="H165" s="1">
        <v>32.799999999999997</v>
      </c>
      <c r="I165" s="1">
        <v>62.31</v>
      </c>
      <c r="J165" s="1">
        <v>0</v>
      </c>
      <c r="K165" s="6">
        <v>12780</v>
      </c>
      <c r="L165" s="6">
        <v>8939</v>
      </c>
      <c r="M165" s="30">
        <v>14580944558</v>
      </c>
      <c r="N165" s="1">
        <v>23</v>
      </c>
      <c r="O165" s="1">
        <v>44</v>
      </c>
      <c r="P165" s="1">
        <v>0</v>
      </c>
    </row>
    <row r="166" spans="1:16">
      <c r="A166" s="10">
        <v>45214</v>
      </c>
      <c r="B166" s="1">
        <f t="shared" si="0"/>
        <v>2023</v>
      </c>
      <c r="C166" s="1">
        <f t="shared" si="2"/>
        <v>10</v>
      </c>
      <c r="D166" s="25" t="s">
        <v>24</v>
      </c>
      <c r="E166" s="6">
        <v>593</v>
      </c>
      <c r="F166" s="6">
        <v>376</v>
      </c>
      <c r="G166" s="28">
        <v>768569999.29999995</v>
      </c>
      <c r="H166" s="1">
        <v>24.5</v>
      </c>
      <c r="I166" s="1">
        <v>13.79</v>
      </c>
      <c r="J166" s="1">
        <v>0</v>
      </c>
      <c r="K166" s="6">
        <v>8382</v>
      </c>
      <c r="L166" s="6">
        <v>5847</v>
      </c>
      <c r="M166" s="30">
        <v>9771781402</v>
      </c>
      <c r="N166" s="1">
        <v>30</v>
      </c>
      <c r="O166" s="1">
        <v>44</v>
      </c>
      <c r="P166" s="1">
        <v>0</v>
      </c>
    </row>
    <row r="167" spans="1:16">
      <c r="A167" s="10">
        <v>45215</v>
      </c>
      <c r="B167" s="1">
        <f t="shared" si="0"/>
        <v>2023</v>
      </c>
      <c r="C167" s="1">
        <f t="shared" si="2"/>
        <v>10</v>
      </c>
      <c r="D167" s="25" t="s">
        <v>28</v>
      </c>
      <c r="E167" s="6">
        <v>218</v>
      </c>
      <c r="F167" s="6">
        <v>115</v>
      </c>
      <c r="G167" s="28">
        <v>192593958.69999999</v>
      </c>
      <c r="H167" s="1">
        <v>25.8</v>
      </c>
      <c r="I167" s="1">
        <v>27.78</v>
      </c>
      <c r="J167" s="1">
        <v>2</v>
      </c>
      <c r="K167" s="6">
        <v>5296</v>
      </c>
      <c r="L167" s="6">
        <v>3348</v>
      </c>
      <c r="M167" s="30">
        <v>6271876453</v>
      </c>
      <c r="N167" s="1">
        <v>23</v>
      </c>
      <c r="O167" s="1">
        <v>18</v>
      </c>
      <c r="P167" s="1">
        <v>2</v>
      </c>
    </row>
    <row r="168" spans="1:16">
      <c r="A168" s="10">
        <v>45216</v>
      </c>
      <c r="B168" s="1">
        <f t="shared" si="0"/>
        <v>2023</v>
      </c>
      <c r="C168" s="1">
        <f t="shared" si="2"/>
        <v>10</v>
      </c>
      <c r="D168" s="25" t="s">
        <v>93</v>
      </c>
      <c r="E168" s="6">
        <v>144</v>
      </c>
      <c r="F168" s="6">
        <v>100</v>
      </c>
      <c r="G168" s="28">
        <v>171393380.40000001</v>
      </c>
      <c r="H168" s="1">
        <v>18.600000000000001</v>
      </c>
      <c r="I168" s="1">
        <v>10.220000000000001</v>
      </c>
      <c r="J168" s="1">
        <v>2</v>
      </c>
      <c r="K168" s="6">
        <v>2031</v>
      </c>
      <c r="L168" s="6">
        <v>1401</v>
      </c>
      <c r="M168" s="30">
        <v>1811263574</v>
      </c>
      <c r="N168" s="1">
        <v>27</v>
      </c>
      <c r="O168" s="1">
        <v>33</v>
      </c>
      <c r="P168" s="1">
        <v>2</v>
      </c>
    </row>
    <row r="169" spans="1:16">
      <c r="A169" s="10">
        <v>45231</v>
      </c>
      <c r="B169" s="1">
        <f t="shared" si="0"/>
        <v>2023</v>
      </c>
      <c r="C169" s="1">
        <f t="shared" si="2"/>
        <v>11</v>
      </c>
      <c r="D169" s="25" t="s">
        <v>8</v>
      </c>
      <c r="E169" s="6">
        <v>19242</v>
      </c>
      <c r="F169" s="6">
        <v>12584</v>
      </c>
      <c r="G169" s="28">
        <v>21180694927</v>
      </c>
      <c r="H169" s="1">
        <v>31.5</v>
      </c>
      <c r="I169" s="1">
        <v>65.5</v>
      </c>
      <c r="J169" s="1">
        <v>11</v>
      </c>
      <c r="K169" s="6">
        <v>236450</v>
      </c>
      <c r="L169" s="6">
        <v>152924</v>
      </c>
      <c r="M169" s="30">
        <v>265074660722</v>
      </c>
      <c r="N169" s="1">
        <v>30</v>
      </c>
      <c r="O169" s="1">
        <v>64</v>
      </c>
      <c r="P169" s="1">
        <v>11</v>
      </c>
    </row>
    <row r="170" spans="1:16">
      <c r="A170" s="10">
        <v>45232</v>
      </c>
      <c r="B170" s="1">
        <f t="shared" si="0"/>
        <v>2023</v>
      </c>
      <c r="C170" s="1">
        <f t="shared" si="2"/>
        <v>11</v>
      </c>
      <c r="D170" s="25" t="s">
        <v>22</v>
      </c>
      <c r="E170" s="6">
        <v>18648</v>
      </c>
      <c r="F170" s="6">
        <v>13383</v>
      </c>
      <c r="G170" s="28">
        <v>22451251366</v>
      </c>
      <c r="H170" s="1">
        <v>32.1</v>
      </c>
      <c r="I170" s="1">
        <v>86.21</v>
      </c>
      <c r="J170" s="1">
        <v>9</v>
      </c>
      <c r="K170" s="6">
        <v>178527</v>
      </c>
      <c r="L170" s="6">
        <v>117887</v>
      </c>
      <c r="M170" s="30">
        <v>193764169474</v>
      </c>
      <c r="N170" s="1">
        <v>29</v>
      </c>
      <c r="O170" s="1">
        <v>56</v>
      </c>
      <c r="P170" s="1">
        <v>9</v>
      </c>
    </row>
    <row r="171" spans="1:16">
      <c r="A171" s="10">
        <v>45233</v>
      </c>
      <c r="B171" s="1">
        <f t="shared" si="0"/>
        <v>2023</v>
      </c>
      <c r="C171" s="1">
        <f t="shared" si="2"/>
        <v>11</v>
      </c>
      <c r="D171" s="25" t="s">
        <v>75</v>
      </c>
      <c r="E171" s="6">
        <v>17724</v>
      </c>
      <c r="F171" s="6">
        <v>11493</v>
      </c>
      <c r="G171" s="28">
        <v>21068153864</v>
      </c>
      <c r="H171" s="1">
        <v>31.1</v>
      </c>
      <c r="I171" s="1">
        <v>72.790000000000006</v>
      </c>
      <c r="J171" s="1">
        <v>3</v>
      </c>
      <c r="K171" s="6">
        <v>173380</v>
      </c>
      <c r="L171" s="6">
        <v>108000</v>
      </c>
      <c r="M171" s="30">
        <v>194703482657</v>
      </c>
      <c r="N171" s="1">
        <v>31</v>
      </c>
      <c r="O171" s="1">
        <v>80</v>
      </c>
      <c r="P171" s="1">
        <v>3</v>
      </c>
    </row>
    <row r="172" spans="1:16">
      <c r="A172" s="10">
        <v>45234</v>
      </c>
      <c r="B172" s="1">
        <f t="shared" si="0"/>
        <v>2023</v>
      </c>
      <c r="C172" s="1">
        <f t="shared" si="2"/>
        <v>11</v>
      </c>
      <c r="D172" s="25" t="s">
        <v>9</v>
      </c>
      <c r="E172" s="6">
        <v>14328</v>
      </c>
      <c r="F172" s="6">
        <v>9061</v>
      </c>
      <c r="G172" s="28">
        <v>16596571888</v>
      </c>
      <c r="H172" s="1">
        <v>31.2</v>
      </c>
      <c r="I172" s="1">
        <v>99.5</v>
      </c>
      <c r="J172" s="1">
        <v>3</v>
      </c>
      <c r="K172" s="6">
        <v>169222</v>
      </c>
      <c r="L172" s="6">
        <v>109958</v>
      </c>
      <c r="M172" s="30">
        <v>192338622773</v>
      </c>
      <c r="N172" s="1">
        <v>32</v>
      </c>
      <c r="O172" s="1">
        <v>79</v>
      </c>
      <c r="P172" s="1">
        <v>3</v>
      </c>
    </row>
    <row r="173" spans="1:16">
      <c r="A173" s="10">
        <v>45235</v>
      </c>
      <c r="B173" s="1">
        <f t="shared" si="0"/>
        <v>2023</v>
      </c>
      <c r="C173" s="1">
        <f t="shared" si="2"/>
        <v>11</v>
      </c>
      <c r="D173" s="25" t="s">
        <v>10</v>
      </c>
      <c r="E173" s="6">
        <v>11331</v>
      </c>
      <c r="F173" s="6">
        <v>7372</v>
      </c>
      <c r="G173" s="28">
        <v>13401609836</v>
      </c>
      <c r="H173" s="1">
        <v>26.5</v>
      </c>
      <c r="I173" s="1">
        <v>61.64</v>
      </c>
      <c r="J173" s="1">
        <v>5</v>
      </c>
      <c r="K173" s="6">
        <v>135115</v>
      </c>
      <c r="L173" s="6">
        <v>92559</v>
      </c>
      <c r="M173" s="30">
        <v>153898871251</v>
      </c>
      <c r="N173" s="1">
        <v>29</v>
      </c>
      <c r="O173" s="1">
        <v>59</v>
      </c>
      <c r="P173" s="1">
        <v>5</v>
      </c>
    </row>
    <row r="174" spans="1:16">
      <c r="A174" s="10">
        <v>45236</v>
      </c>
      <c r="B174" s="1">
        <f t="shared" si="0"/>
        <v>2023</v>
      </c>
      <c r="C174" s="1">
        <f t="shared" si="2"/>
        <v>11</v>
      </c>
      <c r="D174" s="25" t="s">
        <v>79</v>
      </c>
      <c r="E174" s="6">
        <v>7021</v>
      </c>
      <c r="F174" s="6">
        <v>4951</v>
      </c>
      <c r="G174" s="28">
        <v>8636566255</v>
      </c>
      <c r="H174" s="1">
        <v>29.7</v>
      </c>
      <c r="I174" s="1">
        <v>82.76</v>
      </c>
      <c r="J174" s="1">
        <v>5</v>
      </c>
      <c r="K174" s="6">
        <v>110218</v>
      </c>
      <c r="L174" s="6">
        <v>75213</v>
      </c>
      <c r="M174" s="30">
        <v>128544970754</v>
      </c>
      <c r="N174" s="1">
        <v>30</v>
      </c>
      <c r="O174" s="1">
        <v>72</v>
      </c>
      <c r="P174" s="1">
        <v>5</v>
      </c>
    </row>
    <row r="175" spans="1:16">
      <c r="A175" s="10">
        <v>45237</v>
      </c>
      <c r="B175" s="1">
        <f t="shared" si="0"/>
        <v>2023</v>
      </c>
      <c r="C175" s="1">
        <f t="shared" si="2"/>
        <v>11</v>
      </c>
      <c r="D175" s="25" t="s">
        <v>12</v>
      </c>
      <c r="E175" s="6">
        <v>5642</v>
      </c>
      <c r="F175" s="6">
        <v>3720</v>
      </c>
      <c r="G175" s="28">
        <v>6877552444</v>
      </c>
      <c r="H175" s="1">
        <v>27.8</v>
      </c>
      <c r="I175" s="1">
        <v>59.13</v>
      </c>
      <c r="J175" s="1">
        <v>2</v>
      </c>
      <c r="K175" s="6">
        <v>77562</v>
      </c>
      <c r="L175" s="6">
        <v>51035</v>
      </c>
      <c r="M175" s="30">
        <v>90098359050</v>
      </c>
      <c r="N175" s="1">
        <v>26</v>
      </c>
      <c r="O175" s="1">
        <v>51</v>
      </c>
      <c r="P175" s="1">
        <v>2</v>
      </c>
    </row>
    <row r="176" spans="1:16">
      <c r="A176" s="10">
        <v>45238</v>
      </c>
      <c r="B176" s="1">
        <f t="shared" si="0"/>
        <v>2023</v>
      </c>
      <c r="C176" s="1">
        <f t="shared" si="2"/>
        <v>11</v>
      </c>
      <c r="D176" s="25" t="s">
        <v>84</v>
      </c>
      <c r="E176" s="6">
        <v>3322</v>
      </c>
      <c r="F176" s="6">
        <v>2092</v>
      </c>
      <c r="G176" s="28">
        <v>4071064337</v>
      </c>
      <c r="H176" s="1">
        <v>22.5</v>
      </c>
      <c r="I176" s="1">
        <v>38.549999999999997</v>
      </c>
      <c r="J176" s="1">
        <v>4</v>
      </c>
      <c r="K176" s="6">
        <v>31691</v>
      </c>
      <c r="L176" s="6">
        <v>21514</v>
      </c>
      <c r="M176" s="30">
        <v>39230517972</v>
      </c>
      <c r="N176" s="1">
        <v>24</v>
      </c>
      <c r="O176" s="1">
        <v>35</v>
      </c>
      <c r="P176" s="1">
        <v>4</v>
      </c>
    </row>
    <row r="177" spans="1:16">
      <c r="A177" s="10">
        <v>45239</v>
      </c>
      <c r="B177" s="1">
        <f t="shared" si="0"/>
        <v>2023</v>
      </c>
      <c r="C177" s="1">
        <f t="shared" si="2"/>
        <v>11</v>
      </c>
      <c r="D177" s="25" t="s">
        <v>20</v>
      </c>
      <c r="E177" s="6">
        <v>2768</v>
      </c>
      <c r="F177" s="6">
        <v>1920</v>
      </c>
      <c r="G177" s="28">
        <v>3161698211</v>
      </c>
      <c r="H177" s="1">
        <v>23.4</v>
      </c>
      <c r="I177" s="1">
        <v>52.58</v>
      </c>
      <c r="J177" s="1">
        <v>2</v>
      </c>
      <c r="K177" s="6">
        <v>28151</v>
      </c>
      <c r="L177" s="6">
        <v>19604</v>
      </c>
      <c r="M177" s="30">
        <v>33513916935</v>
      </c>
      <c r="N177" s="1">
        <v>25</v>
      </c>
      <c r="O177" s="1">
        <v>46</v>
      </c>
      <c r="P177" s="1">
        <v>2</v>
      </c>
    </row>
    <row r="178" spans="1:16">
      <c r="A178" s="10">
        <v>45240</v>
      </c>
      <c r="B178" s="1">
        <f t="shared" si="0"/>
        <v>2023</v>
      </c>
      <c r="C178" s="1">
        <f t="shared" si="2"/>
        <v>11</v>
      </c>
      <c r="D178" s="25" t="s">
        <v>88</v>
      </c>
      <c r="E178" s="6">
        <v>2670</v>
      </c>
      <c r="F178" s="6">
        <v>1823</v>
      </c>
      <c r="G178" s="28">
        <v>3273058687</v>
      </c>
      <c r="H178" s="1">
        <v>20.5</v>
      </c>
      <c r="I178" s="1">
        <v>36</v>
      </c>
      <c r="J178" s="1">
        <v>3</v>
      </c>
      <c r="K178" s="6">
        <v>21047</v>
      </c>
      <c r="L178" s="6">
        <v>14770</v>
      </c>
      <c r="M178" s="30">
        <v>23591548685</v>
      </c>
      <c r="N178" s="1">
        <v>30</v>
      </c>
      <c r="O178" s="1">
        <v>58</v>
      </c>
      <c r="P178" s="1">
        <v>3</v>
      </c>
    </row>
    <row r="179" spans="1:16">
      <c r="A179" s="10">
        <v>45241</v>
      </c>
      <c r="B179" s="1">
        <f t="shared" si="0"/>
        <v>2023</v>
      </c>
      <c r="C179" s="1">
        <f t="shared" si="2"/>
        <v>11</v>
      </c>
      <c r="D179" s="25" t="s">
        <v>11</v>
      </c>
      <c r="E179" s="6">
        <v>2324</v>
      </c>
      <c r="F179" s="6">
        <v>1507</v>
      </c>
      <c r="G179" s="28">
        <v>2707923491</v>
      </c>
      <c r="H179" s="1">
        <v>27.6</v>
      </c>
      <c r="I179" s="1">
        <v>58.74</v>
      </c>
      <c r="J179" s="1">
        <v>3</v>
      </c>
      <c r="K179" s="6">
        <v>19463</v>
      </c>
      <c r="L179" s="6">
        <v>13370</v>
      </c>
      <c r="M179" s="30">
        <v>21806199229</v>
      </c>
      <c r="N179" s="1">
        <v>26</v>
      </c>
      <c r="O179" s="1">
        <v>58</v>
      </c>
      <c r="P179" s="1">
        <v>3</v>
      </c>
    </row>
    <row r="180" spans="1:16">
      <c r="A180" s="10">
        <v>45242</v>
      </c>
      <c r="B180" s="1">
        <f t="shared" si="0"/>
        <v>2023</v>
      </c>
      <c r="C180" s="1">
        <f t="shared" si="2"/>
        <v>11</v>
      </c>
      <c r="D180" s="25" t="s">
        <v>7</v>
      </c>
      <c r="E180" s="6">
        <v>1305</v>
      </c>
      <c r="F180" s="6">
        <v>855</v>
      </c>
      <c r="G180" s="28">
        <v>1547112610</v>
      </c>
      <c r="H180" s="1">
        <v>26.1</v>
      </c>
      <c r="I180" s="1">
        <v>52.67</v>
      </c>
      <c r="J180" s="1">
        <v>2</v>
      </c>
      <c r="K180" s="6">
        <v>18743</v>
      </c>
      <c r="L180" s="6">
        <v>12776</v>
      </c>
      <c r="M180" s="30">
        <v>20758620047</v>
      </c>
      <c r="N180" s="1">
        <v>25</v>
      </c>
      <c r="O180" s="1">
        <v>51</v>
      </c>
      <c r="P180" s="1">
        <v>2</v>
      </c>
    </row>
    <row r="181" spans="1:16">
      <c r="A181" s="10">
        <v>45243</v>
      </c>
      <c r="B181" s="1">
        <f t="shared" si="0"/>
        <v>2023</v>
      </c>
      <c r="C181" s="1">
        <f t="shared" si="2"/>
        <v>11</v>
      </c>
      <c r="D181" s="25" t="s">
        <v>91</v>
      </c>
      <c r="E181" s="6">
        <v>1253</v>
      </c>
      <c r="F181" s="6">
        <v>828</v>
      </c>
      <c r="G181" s="28">
        <v>1388288780</v>
      </c>
      <c r="H181" s="1">
        <v>22.7</v>
      </c>
      <c r="I181" s="1">
        <v>55.71</v>
      </c>
      <c r="J181" s="1">
        <v>5</v>
      </c>
      <c r="K181" s="6">
        <v>18193</v>
      </c>
      <c r="L181" s="6">
        <v>12160</v>
      </c>
      <c r="M181" s="30">
        <v>21196881118</v>
      </c>
      <c r="N181" s="1">
        <v>30</v>
      </c>
      <c r="O181" s="1">
        <v>59</v>
      </c>
      <c r="P181" s="1">
        <v>5</v>
      </c>
    </row>
    <row r="182" spans="1:16">
      <c r="A182" s="10">
        <v>45244</v>
      </c>
      <c r="B182" s="1">
        <f t="shared" si="0"/>
        <v>2023</v>
      </c>
      <c r="C182" s="1">
        <f t="shared" si="2"/>
        <v>11</v>
      </c>
      <c r="D182" s="25" t="s">
        <v>19</v>
      </c>
      <c r="E182" s="6">
        <v>990</v>
      </c>
      <c r="F182" s="6">
        <v>701</v>
      </c>
      <c r="G182" s="28">
        <v>1169079148</v>
      </c>
      <c r="H182" s="1">
        <v>24.9</v>
      </c>
      <c r="I182" s="1">
        <v>53.99</v>
      </c>
      <c r="J182" s="1">
        <v>0</v>
      </c>
      <c r="K182" s="6">
        <v>12780</v>
      </c>
      <c r="L182" s="6">
        <v>8939</v>
      </c>
      <c r="M182" s="30">
        <v>14580944558</v>
      </c>
      <c r="N182" s="1">
        <v>23</v>
      </c>
      <c r="O182" s="1">
        <v>44</v>
      </c>
      <c r="P182" s="1">
        <v>0</v>
      </c>
    </row>
    <row r="183" spans="1:16">
      <c r="A183" s="10">
        <v>45245</v>
      </c>
      <c r="B183" s="1">
        <f t="shared" si="0"/>
        <v>2023</v>
      </c>
      <c r="C183" s="1">
        <f t="shared" si="2"/>
        <v>11</v>
      </c>
      <c r="D183" s="25" t="s">
        <v>24</v>
      </c>
      <c r="E183" s="6">
        <v>859</v>
      </c>
      <c r="F183" s="6">
        <v>537</v>
      </c>
      <c r="G183" s="28">
        <v>1032618131</v>
      </c>
      <c r="H183" s="1">
        <v>22.1</v>
      </c>
      <c r="I183" s="1">
        <v>16.95</v>
      </c>
      <c r="J183" s="1">
        <v>0</v>
      </c>
      <c r="K183" s="6">
        <v>8382</v>
      </c>
      <c r="L183" s="6">
        <v>5847</v>
      </c>
      <c r="M183" s="30">
        <v>9771781402</v>
      </c>
      <c r="N183" s="1">
        <v>30</v>
      </c>
      <c r="O183" s="1">
        <v>44</v>
      </c>
      <c r="P183" s="1">
        <v>0</v>
      </c>
    </row>
    <row r="184" spans="1:16">
      <c r="A184" s="10">
        <v>45246</v>
      </c>
      <c r="B184" s="1">
        <f t="shared" si="0"/>
        <v>2023</v>
      </c>
      <c r="C184" s="1">
        <f t="shared" si="2"/>
        <v>11</v>
      </c>
      <c r="D184" s="25" t="s">
        <v>28</v>
      </c>
      <c r="E184" s="6">
        <v>500</v>
      </c>
      <c r="F184" s="6">
        <v>342</v>
      </c>
      <c r="G184" s="28">
        <v>505065764.89999998</v>
      </c>
      <c r="H184" s="1">
        <v>22.6</v>
      </c>
      <c r="I184" s="1">
        <v>29.73</v>
      </c>
      <c r="J184" s="1">
        <v>3</v>
      </c>
      <c r="K184" s="6">
        <v>6155</v>
      </c>
      <c r="L184" s="6">
        <v>3885</v>
      </c>
      <c r="M184" s="30">
        <v>7304494584</v>
      </c>
      <c r="N184" s="1">
        <v>23</v>
      </c>
      <c r="O184" s="1">
        <v>18</v>
      </c>
      <c r="P184" s="1">
        <v>3</v>
      </c>
    </row>
    <row r="185" spans="1:16">
      <c r="A185" s="10">
        <v>45247</v>
      </c>
      <c r="B185" s="1">
        <f t="shared" si="0"/>
        <v>2023</v>
      </c>
      <c r="C185" s="1">
        <f t="shared" si="2"/>
        <v>11</v>
      </c>
      <c r="D185" s="25" t="s">
        <v>93</v>
      </c>
      <c r="E185" s="6">
        <v>172</v>
      </c>
      <c r="F185" s="6">
        <v>99</v>
      </c>
      <c r="G185" s="28">
        <v>170607630.80000001</v>
      </c>
      <c r="H185" s="1">
        <v>17.899999999999999</v>
      </c>
      <c r="I185" s="1">
        <v>21.95</v>
      </c>
      <c r="J185" s="1">
        <v>2</v>
      </c>
      <c r="K185" s="6">
        <v>2672</v>
      </c>
      <c r="L185" s="6">
        <v>1713</v>
      </c>
      <c r="M185" s="30">
        <v>3181198520</v>
      </c>
      <c r="N185" s="1">
        <v>29</v>
      </c>
      <c r="O185" s="1">
        <v>54</v>
      </c>
      <c r="P185" s="1">
        <v>2</v>
      </c>
    </row>
    <row r="186" spans="1:16">
      <c r="A186" s="10">
        <v>45261</v>
      </c>
      <c r="B186" s="1">
        <f t="shared" si="0"/>
        <v>2023</v>
      </c>
      <c r="C186" s="1">
        <f t="shared" si="2"/>
        <v>12</v>
      </c>
      <c r="D186" s="25" t="s">
        <v>24</v>
      </c>
      <c r="E186" s="6">
        <v>995</v>
      </c>
      <c r="F186" s="6">
        <v>609</v>
      </c>
      <c r="G186" s="28">
        <v>1143662495</v>
      </c>
      <c r="H186" s="1">
        <v>81.69</v>
      </c>
      <c r="I186" s="1">
        <v>73.62</v>
      </c>
      <c r="J186" s="31">
        <v>10.7</v>
      </c>
      <c r="K186" s="6">
        <v>264028</v>
      </c>
      <c r="L186" s="176">
        <v>170283</v>
      </c>
      <c r="M186" s="177">
        <v>297347594314</v>
      </c>
      <c r="N186" s="1">
        <v>29</v>
      </c>
      <c r="O186" s="1">
        <v>64</v>
      </c>
      <c r="P186" s="31">
        <v>10.7</v>
      </c>
    </row>
    <row r="187" spans="1:16">
      <c r="A187" s="10">
        <v>45262</v>
      </c>
      <c r="B187" s="1">
        <f t="shared" si="0"/>
        <v>2023</v>
      </c>
      <c r="C187" s="1">
        <f t="shared" si="2"/>
        <v>12</v>
      </c>
      <c r="D187" s="25" t="s">
        <v>28</v>
      </c>
      <c r="E187" s="6">
        <v>243</v>
      </c>
      <c r="F187" s="6">
        <v>144</v>
      </c>
      <c r="G187" s="28">
        <v>232960996.30000001</v>
      </c>
      <c r="H187" s="1">
        <v>46.14</v>
      </c>
      <c r="I187" s="1">
        <v>50.8</v>
      </c>
      <c r="J187" s="31">
        <v>8.6</v>
      </c>
      <c r="K187" s="6">
        <v>194595</v>
      </c>
      <c r="L187" s="176">
        <v>128853</v>
      </c>
      <c r="M187" s="177">
        <v>211914621791</v>
      </c>
      <c r="N187" s="1">
        <v>29</v>
      </c>
      <c r="O187" s="1">
        <v>56</v>
      </c>
      <c r="P187" s="31">
        <v>8.6</v>
      </c>
    </row>
    <row r="188" spans="1:16">
      <c r="A188" s="10">
        <v>45263</v>
      </c>
      <c r="B188" s="1">
        <f t="shared" si="0"/>
        <v>2023</v>
      </c>
      <c r="C188" s="1">
        <f t="shared" si="2"/>
        <v>12</v>
      </c>
      <c r="D188" s="25" t="s">
        <v>7</v>
      </c>
      <c r="E188" s="6">
        <v>2413</v>
      </c>
      <c r="F188" s="6">
        <v>1557</v>
      </c>
      <c r="G188" s="28">
        <v>2933420369</v>
      </c>
      <c r="H188" s="1">
        <v>104.55</v>
      </c>
      <c r="I188" s="1">
        <v>252.95</v>
      </c>
      <c r="J188" s="31">
        <v>2.8</v>
      </c>
      <c r="K188" s="6">
        <v>192178</v>
      </c>
      <c r="L188" s="176">
        <v>125559</v>
      </c>
      <c r="M188" s="177">
        <v>218930487745</v>
      </c>
      <c r="N188" s="1">
        <v>32</v>
      </c>
      <c r="O188" s="1">
        <v>79</v>
      </c>
      <c r="P188" s="31">
        <v>2.8</v>
      </c>
    </row>
    <row r="189" spans="1:16">
      <c r="A189" s="10">
        <v>45264</v>
      </c>
      <c r="B189" s="1">
        <f t="shared" si="0"/>
        <v>2023</v>
      </c>
      <c r="C189" s="1">
        <f t="shared" si="2"/>
        <v>12</v>
      </c>
      <c r="D189" s="25" t="s">
        <v>75</v>
      </c>
      <c r="E189" s="6">
        <v>25165</v>
      </c>
      <c r="F189" s="6">
        <v>15802</v>
      </c>
      <c r="G189" s="28">
        <v>29339513224</v>
      </c>
      <c r="H189" s="1">
        <v>239.3</v>
      </c>
      <c r="I189" s="1">
        <v>597.70000000000005</v>
      </c>
      <c r="J189" s="31">
        <v>2.9</v>
      </c>
      <c r="K189" s="6">
        <v>189468</v>
      </c>
      <c r="L189" s="176">
        <v>118391</v>
      </c>
      <c r="M189" s="177">
        <v>213417299280</v>
      </c>
      <c r="N189" s="1">
        <v>31</v>
      </c>
      <c r="O189" s="1">
        <v>81</v>
      </c>
      <c r="P189" s="31">
        <v>2.9</v>
      </c>
    </row>
    <row r="190" spans="1:16">
      <c r="A190" s="10">
        <v>45265</v>
      </c>
      <c r="B190" s="1">
        <f t="shared" si="0"/>
        <v>2023</v>
      </c>
      <c r="C190" s="1">
        <f t="shared" si="2"/>
        <v>12</v>
      </c>
      <c r="D190" s="25" t="s">
        <v>79</v>
      </c>
      <c r="E190" s="6">
        <v>6858</v>
      </c>
      <c r="F190" s="6">
        <v>4786</v>
      </c>
      <c r="G190" s="28">
        <v>8255122070</v>
      </c>
      <c r="H190" s="1">
        <v>150.05000000000001</v>
      </c>
      <c r="I190" s="1">
        <v>386.9</v>
      </c>
      <c r="J190" s="31">
        <v>4.5</v>
      </c>
      <c r="K190" s="6">
        <v>144449</v>
      </c>
      <c r="L190" s="176">
        <v>98732</v>
      </c>
      <c r="M190" s="177">
        <v>164685891185</v>
      </c>
      <c r="N190" s="1">
        <v>28</v>
      </c>
      <c r="O190" s="1">
        <v>59</v>
      </c>
      <c r="P190" s="31">
        <v>4.5</v>
      </c>
    </row>
    <row r="191" spans="1:16">
      <c r="A191" s="10">
        <v>45266</v>
      </c>
      <c r="B191" s="1">
        <f t="shared" si="0"/>
        <v>2023</v>
      </c>
      <c r="C191" s="1">
        <f t="shared" si="2"/>
        <v>12</v>
      </c>
      <c r="D191" s="25" t="s">
        <v>8</v>
      </c>
      <c r="E191" s="6">
        <v>16068</v>
      </c>
      <c r="F191" s="6">
        <v>10966</v>
      </c>
      <c r="G191" s="28">
        <v>18150452316</v>
      </c>
      <c r="H191" s="1">
        <v>78.39</v>
      </c>
      <c r="I191" s="1">
        <v>164.52</v>
      </c>
      <c r="J191" s="31">
        <v>2.7</v>
      </c>
      <c r="K191" s="6">
        <v>117076</v>
      </c>
      <c r="L191" s="176">
        <v>79999</v>
      </c>
      <c r="M191" s="177">
        <v>136800092823</v>
      </c>
      <c r="N191" s="1">
        <v>30</v>
      </c>
      <c r="O191" s="1">
        <v>72</v>
      </c>
      <c r="P191" s="31">
        <v>2.7</v>
      </c>
    </row>
    <row r="192" spans="1:16">
      <c r="A192" s="10">
        <v>45267</v>
      </c>
      <c r="B192" s="1">
        <f t="shared" si="0"/>
        <v>2023</v>
      </c>
      <c r="C192" s="1">
        <f t="shared" si="2"/>
        <v>12</v>
      </c>
      <c r="D192" s="25" t="s">
        <v>20</v>
      </c>
      <c r="E192" s="6">
        <v>1295</v>
      </c>
      <c r="F192" s="6">
        <v>932</v>
      </c>
      <c r="G192" s="28">
        <v>1525806586</v>
      </c>
      <c r="H192" s="1">
        <v>156.1</v>
      </c>
      <c r="I192" s="1">
        <v>264.25</v>
      </c>
      <c r="J192" s="31">
        <v>2.5</v>
      </c>
      <c r="K192" s="6">
        <v>84920</v>
      </c>
      <c r="L192" s="176">
        <v>55787</v>
      </c>
      <c r="M192" s="177">
        <v>98994869388</v>
      </c>
      <c r="N192" s="1">
        <v>25</v>
      </c>
      <c r="O192" s="1">
        <v>50</v>
      </c>
      <c r="P192" s="31">
        <v>2.5</v>
      </c>
    </row>
    <row r="193" spans="1:16">
      <c r="A193" s="10">
        <v>45268</v>
      </c>
      <c r="B193" s="1">
        <f t="shared" si="0"/>
        <v>2023</v>
      </c>
      <c r="C193" s="1">
        <f t="shared" si="2"/>
        <v>12</v>
      </c>
      <c r="D193" s="25" t="s">
        <v>88</v>
      </c>
      <c r="E193" s="6">
        <v>2930</v>
      </c>
      <c r="F193" s="6">
        <v>2012</v>
      </c>
      <c r="G193" s="28">
        <v>3531033587</v>
      </c>
      <c r="H193" s="1">
        <v>84.52</v>
      </c>
      <c r="I193" s="1">
        <v>174.32</v>
      </c>
      <c r="J193" s="31">
        <v>4.3</v>
      </c>
      <c r="K193" s="6">
        <v>36198</v>
      </c>
      <c r="L193" s="176">
        <v>24644</v>
      </c>
      <c r="M193" s="177">
        <v>44716363315</v>
      </c>
      <c r="N193" s="1">
        <v>24</v>
      </c>
      <c r="O193" s="1">
        <v>36</v>
      </c>
      <c r="P193" s="31">
        <v>4.3</v>
      </c>
    </row>
    <row r="194" spans="1:16">
      <c r="A194" s="10">
        <v>45269</v>
      </c>
      <c r="B194" s="1">
        <f t="shared" si="0"/>
        <v>2023</v>
      </c>
      <c r="C194" s="1">
        <f t="shared" si="2"/>
        <v>12</v>
      </c>
      <c r="D194" s="25" t="s">
        <v>93</v>
      </c>
      <c r="E194" s="6">
        <v>649</v>
      </c>
      <c r="F194" s="6">
        <v>447</v>
      </c>
      <c r="G194" s="28">
        <v>668631830.5</v>
      </c>
      <c r="H194" s="1">
        <v>39.479999999999997</v>
      </c>
      <c r="I194" s="1">
        <v>49.72</v>
      </c>
      <c r="J194" s="31">
        <v>2.1</v>
      </c>
      <c r="K194" s="6">
        <v>31081</v>
      </c>
      <c r="L194" s="176">
        <v>21616</v>
      </c>
      <c r="M194" s="177">
        <v>37044950521</v>
      </c>
      <c r="N194" s="1">
        <v>25</v>
      </c>
      <c r="O194" s="1">
        <v>46</v>
      </c>
      <c r="P194" s="31">
        <v>2.1</v>
      </c>
    </row>
    <row r="195" spans="1:16">
      <c r="A195" s="10">
        <v>45270</v>
      </c>
      <c r="B195" s="1">
        <f t="shared" si="0"/>
        <v>2023</v>
      </c>
      <c r="C195" s="1">
        <f t="shared" si="2"/>
        <v>12</v>
      </c>
      <c r="D195" s="25" t="s">
        <v>10</v>
      </c>
      <c r="E195" s="6">
        <v>9334</v>
      </c>
      <c r="F195" s="6">
        <v>6173</v>
      </c>
      <c r="G195" s="28">
        <v>10787019934</v>
      </c>
      <c r="H195" s="1">
        <v>26.67</v>
      </c>
      <c r="I195" s="1">
        <v>52.93</v>
      </c>
      <c r="J195" s="31">
        <v>1.7</v>
      </c>
      <c r="K195" s="6">
        <v>22342</v>
      </c>
      <c r="L195" s="176">
        <v>15702</v>
      </c>
      <c r="M195" s="177">
        <v>25117355271</v>
      </c>
      <c r="N195" s="1">
        <v>30</v>
      </c>
      <c r="O195" s="1">
        <v>57</v>
      </c>
      <c r="P195" s="31">
        <v>1.7</v>
      </c>
    </row>
    <row r="196" spans="1:16">
      <c r="A196" s="10">
        <v>45271</v>
      </c>
      <c r="B196" s="1">
        <f t="shared" si="0"/>
        <v>2023</v>
      </c>
      <c r="C196" s="1">
        <f t="shared" si="2"/>
        <v>12</v>
      </c>
      <c r="D196" s="25" t="s">
        <v>9</v>
      </c>
      <c r="E196" s="6">
        <v>16088</v>
      </c>
      <c r="F196" s="6">
        <v>10391</v>
      </c>
      <c r="G196" s="28">
        <v>18713816623</v>
      </c>
      <c r="H196" s="1">
        <v>30.67</v>
      </c>
      <c r="I196" s="1">
        <v>88.49</v>
      </c>
      <c r="J196" s="31">
        <v>2.6</v>
      </c>
      <c r="K196" s="6">
        <v>21171</v>
      </c>
      <c r="L196" s="176">
        <v>14473</v>
      </c>
      <c r="M196" s="177">
        <v>23577786904</v>
      </c>
      <c r="N196" s="1">
        <v>25</v>
      </c>
      <c r="O196" s="1">
        <v>51</v>
      </c>
      <c r="P196" s="31">
        <v>2.6</v>
      </c>
    </row>
    <row r="197" spans="1:16">
      <c r="A197" s="10">
        <v>45272</v>
      </c>
      <c r="B197" s="1">
        <f t="shared" si="0"/>
        <v>2023</v>
      </c>
      <c r="C197" s="1">
        <f t="shared" si="2"/>
        <v>12</v>
      </c>
      <c r="D197" s="25" t="s">
        <v>101</v>
      </c>
      <c r="E197" s="6">
        <v>1256</v>
      </c>
      <c r="F197" s="6">
        <v>785</v>
      </c>
      <c r="G197" s="28">
        <v>1412069232</v>
      </c>
      <c r="H197" s="1">
        <v>88.8</v>
      </c>
      <c r="I197" s="1">
        <v>189.08</v>
      </c>
      <c r="J197" s="31">
        <v>2.4</v>
      </c>
      <c r="K197" s="6">
        <v>20679</v>
      </c>
      <c r="L197" s="176">
        <v>14235</v>
      </c>
      <c r="M197" s="177">
        <v>23240675256</v>
      </c>
      <c r="N197" s="1">
        <v>26</v>
      </c>
      <c r="O197" s="1">
        <v>57</v>
      </c>
      <c r="P197" s="31">
        <v>2.4</v>
      </c>
    </row>
    <row r="198" spans="1:16">
      <c r="A198" s="10">
        <v>45273</v>
      </c>
      <c r="B198" s="1">
        <f t="shared" si="0"/>
        <v>2023</v>
      </c>
      <c r="C198" s="1">
        <f t="shared" si="2"/>
        <v>12</v>
      </c>
      <c r="D198" s="25" t="s">
        <v>11</v>
      </c>
      <c r="E198" s="6">
        <v>2281</v>
      </c>
      <c r="F198" s="6">
        <v>1493</v>
      </c>
      <c r="G198" s="28">
        <v>2664028559</v>
      </c>
      <c r="H198" s="1">
        <v>160.24</v>
      </c>
      <c r="I198" s="1">
        <v>335.12</v>
      </c>
      <c r="J198" s="31">
        <v>2.4</v>
      </c>
      <c r="K198" s="6">
        <v>20474</v>
      </c>
      <c r="L198" s="176">
        <v>13653</v>
      </c>
      <c r="M198" s="177">
        <v>23860909677</v>
      </c>
      <c r="N198" s="1">
        <v>30</v>
      </c>
      <c r="O198" s="1">
        <v>57</v>
      </c>
      <c r="P198" s="31">
        <v>2.4</v>
      </c>
    </row>
    <row r="199" spans="1:16">
      <c r="A199" s="10">
        <v>45274</v>
      </c>
      <c r="B199" s="1">
        <f t="shared" si="0"/>
        <v>2023</v>
      </c>
      <c r="C199" s="1">
        <f t="shared" si="2"/>
        <v>12</v>
      </c>
      <c r="D199" s="25" t="s">
        <v>91</v>
      </c>
      <c r="E199" s="6">
        <v>1216</v>
      </c>
      <c r="F199" s="6">
        <v>865</v>
      </c>
      <c r="G199" s="28">
        <v>1434476027</v>
      </c>
      <c r="H199" s="1">
        <v>115.45</v>
      </c>
      <c r="I199" s="1">
        <v>266.75</v>
      </c>
      <c r="J199" s="31">
        <v>0</v>
      </c>
      <c r="K199" s="6">
        <v>12780</v>
      </c>
      <c r="L199" s="176">
        <v>8939</v>
      </c>
      <c r="M199" s="177">
        <v>14580944558</v>
      </c>
      <c r="N199" s="1">
        <v>23</v>
      </c>
      <c r="O199" s="1">
        <v>44</v>
      </c>
      <c r="P199" s="31">
        <v>0</v>
      </c>
    </row>
    <row r="200" spans="1:16">
      <c r="A200" s="10">
        <v>45275</v>
      </c>
      <c r="B200" s="1">
        <f t="shared" si="0"/>
        <v>2023</v>
      </c>
      <c r="C200" s="1">
        <f t="shared" si="2"/>
        <v>12</v>
      </c>
      <c r="D200" s="25" t="s">
        <v>84</v>
      </c>
      <c r="E200" s="6">
        <v>4507</v>
      </c>
      <c r="F200" s="6">
        <v>3130</v>
      </c>
      <c r="G200" s="28">
        <v>5485845343</v>
      </c>
      <c r="H200" s="1">
        <v>110.6</v>
      </c>
      <c r="I200" s="1">
        <v>202.65</v>
      </c>
      <c r="J200" s="31">
        <v>0</v>
      </c>
      <c r="K200" s="6">
        <v>8382</v>
      </c>
      <c r="L200" s="176">
        <v>5847</v>
      </c>
      <c r="M200" s="177">
        <v>9771781402</v>
      </c>
      <c r="N200" s="1">
        <v>30</v>
      </c>
      <c r="O200" s="1">
        <v>44</v>
      </c>
      <c r="P200" s="31">
        <v>0</v>
      </c>
    </row>
    <row r="201" spans="1:16">
      <c r="A201" s="10">
        <v>45276</v>
      </c>
      <c r="B201" s="1">
        <f t="shared" si="0"/>
        <v>2023</v>
      </c>
      <c r="C201" s="1">
        <f t="shared" si="2"/>
        <v>12</v>
      </c>
      <c r="D201" s="25" t="s">
        <v>22</v>
      </c>
      <c r="E201" s="6">
        <v>22956</v>
      </c>
      <c r="F201" s="6">
        <v>15601</v>
      </c>
      <c r="G201" s="28">
        <v>26591864972</v>
      </c>
      <c r="H201" s="1">
        <v>182.58</v>
      </c>
      <c r="I201" s="1">
        <v>470.88</v>
      </c>
      <c r="J201" s="31">
        <v>2.2999999999999998</v>
      </c>
      <c r="K201" s="6">
        <v>7150</v>
      </c>
      <c r="L201" s="176">
        <v>4494</v>
      </c>
      <c r="M201" s="177">
        <v>8448157080</v>
      </c>
      <c r="N201" s="1">
        <v>23</v>
      </c>
      <c r="O201" s="1">
        <v>19</v>
      </c>
      <c r="P201" s="31">
        <v>2.2999999999999998</v>
      </c>
    </row>
    <row r="202" spans="1:16">
      <c r="A202" s="10">
        <v>45277</v>
      </c>
      <c r="B202" s="1">
        <f t="shared" si="0"/>
        <v>2023</v>
      </c>
      <c r="C202" s="1">
        <f t="shared" si="2"/>
        <v>12</v>
      </c>
      <c r="D202" s="25" t="s">
        <v>32</v>
      </c>
      <c r="E202" s="6">
        <v>1381</v>
      </c>
      <c r="F202" s="6">
        <v>919</v>
      </c>
      <c r="G202" s="28">
        <v>1632200838</v>
      </c>
      <c r="H202" s="1">
        <v>72.64</v>
      </c>
      <c r="I202" s="1">
        <v>144.91999999999999</v>
      </c>
      <c r="J202" s="31">
        <v>1.9</v>
      </c>
      <c r="K202" s="6">
        <v>4053</v>
      </c>
      <c r="L202" s="176">
        <v>2632</v>
      </c>
      <c r="M202" s="177">
        <v>4813399358</v>
      </c>
      <c r="N202" s="1">
        <v>25</v>
      </c>
      <c r="O202" s="1">
        <v>48</v>
      </c>
      <c r="P202" s="31">
        <v>1.9</v>
      </c>
    </row>
    <row r="203" spans="1:16">
      <c r="A203" s="10">
        <v>45278</v>
      </c>
      <c r="B203" s="1">
        <f t="shared" si="0"/>
        <v>2023</v>
      </c>
      <c r="C203" s="1">
        <f t="shared" si="2"/>
        <v>12</v>
      </c>
      <c r="D203" s="25" t="s">
        <v>12</v>
      </c>
      <c r="E203" s="6">
        <v>7358</v>
      </c>
      <c r="F203" s="6">
        <v>4752</v>
      </c>
      <c r="G203" s="28">
        <v>8896510338</v>
      </c>
      <c r="H203" s="1">
        <v>18.18</v>
      </c>
      <c r="I203" s="1">
        <v>43.69</v>
      </c>
      <c r="J203" s="31">
        <v>1.7</v>
      </c>
      <c r="K203" s="6">
        <v>2774</v>
      </c>
      <c r="L203" s="176">
        <v>1887</v>
      </c>
      <c r="M203" s="177">
        <v>2549290336</v>
      </c>
      <c r="N203" s="1">
        <v>26</v>
      </c>
      <c r="O203" s="1">
        <v>31</v>
      </c>
      <c r="P203" s="31">
        <v>1.7</v>
      </c>
    </row>
    <row r="204" spans="1:16">
      <c r="A204" s="10">
        <v>45279</v>
      </c>
      <c r="B204" s="1">
        <f t="shared" si="0"/>
        <v>2023</v>
      </c>
      <c r="C204" s="1">
        <f t="shared" si="2"/>
        <v>12</v>
      </c>
      <c r="D204" s="25" t="s">
        <v>19</v>
      </c>
      <c r="E204" s="6">
        <v>2428</v>
      </c>
      <c r="F204" s="6">
        <v>1697</v>
      </c>
      <c r="G204" s="28">
        <v>2819166857</v>
      </c>
      <c r="H204" s="1">
        <v>101.3</v>
      </c>
      <c r="I204" s="1">
        <v>250.05</v>
      </c>
      <c r="J204" s="31">
        <v>3.5</v>
      </c>
      <c r="K204" s="6">
        <v>2668</v>
      </c>
      <c r="L204" s="176">
        <v>1918</v>
      </c>
      <c r="M204" s="177">
        <v>2724409344</v>
      </c>
      <c r="N204" s="1">
        <v>21</v>
      </c>
      <c r="O204" s="1">
        <v>23</v>
      </c>
      <c r="P204" s="31">
        <v>3.5</v>
      </c>
    </row>
    <row r="205" spans="1:16">
      <c r="A205" s="9">
        <v>45292</v>
      </c>
      <c r="B205" s="1">
        <f t="shared" si="0"/>
        <v>2024</v>
      </c>
      <c r="C205" s="1">
        <f t="shared" si="2"/>
        <v>1</v>
      </c>
      <c r="D205" s="25" t="s">
        <v>24</v>
      </c>
      <c r="E205" s="6">
        <v>583</v>
      </c>
      <c r="F205" s="6">
        <v>382</v>
      </c>
      <c r="G205" s="30">
        <v>695219673.70000005</v>
      </c>
      <c r="H205" s="1">
        <v>24.63</v>
      </c>
      <c r="I205" s="1">
        <v>19.36</v>
      </c>
      <c r="J205" s="32">
        <v>7.6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9">
        <v>45293</v>
      </c>
      <c r="B206" s="1">
        <f t="shared" si="0"/>
        <v>2024</v>
      </c>
      <c r="C206" s="1">
        <f t="shared" si="2"/>
        <v>1</v>
      </c>
      <c r="D206" s="25" t="s">
        <v>28</v>
      </c>
      <c r="E206" s="6">
        <v>259</v>
      </c>
      <c r="F206" s="6">
        <v>156</v>
      </c>
      <c r="G206" s="30">
        <v>266919640.19999999</v>
      </c>
      <c r="H206" s="1">
        <v>23.07</v>
      </c>
      <c r="I206" s="1">
        <v>13.86</v>
      </c>
      <c r="J206" s="32">
        <v>10.3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9">
        <v>45294</v>
      </c>
      <c r="B207" s="1">
        <f t="shared" si="0"/>
        <v>2024</v>
      </c>
      <c r="C207" s="1">
        <f t="shared" si="2"/>
        <v>1</v>
      </c>
      <c r="D207" s="25" t="s">
        <v>7</v>
      </c>
      <c r="E207" s="6">
        <v>1028</v>
      </c>
      <c r="F207" s="6">
        <v>706</v>
      </c>
      <c r="G207" s="30">
        <v>1274719736</v>
      </c>
      <c r="H207" s="1">
        <v>30.18</v>
      </c>
      <c r="I207" s="1">
        <v>65.36</v>
      </c>
      <c r="J207" s="32">
        <v>8.8000000000000007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9">
        <v>45295</v>
      </c>
      <c r="B208" s="1">
        <f t="shared" si="0"/>
        <v>2024</v>
      </c>
      <c r="C208" s="1">
        <f t="shared" si="2"/>
        <v>1</v>
      </c>
      <c r="D208" s="25" t="s">
        <v>75</v>
      </c>
      <c r="E208" s="6">
        <v>15899</v>
      </c>
      <c r="F208" s="6">
        <v>10005</v>
      </c>
      <c r="G208" s="30">
        <v>18658135659</v>
      </c>
      <c r="H208" s="1">
        <v>26.47</v>
      </c>
      <c r="I208" s="1">
        <v>60.9</v>
      </c>
      <c r="J208" s="32">
        <v>2.7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9">
        <v>45296</v>
      </c>
      <c r="B209" s="1">
        <f t="shared" si="0"/>
        <v>2024</v>
      </c>
      <c r="C209" s="1">
        <f t="shared" si="2"/>
        <v>1</v>
      </c>
      <c r="D209" s="25" t="s">
        <v>79</v>
      </c>
      <c r="E209" s="6">
        <v>11680</v>
      </c>
      <c r="F209" s="6">
        <v>7820</v>
      </c>
      <c r="G209" s="30">
        <v>13945638752</v>
      </c>
      <c r="H209" s="1">
        <v>25.44</v>
      </c>
      <c r="I209" s="1">
        <v>69.19</v>
      </c>
      <c r="J209" s="32">
        <v>5.4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9">
        <v>45297</v>
      </c>
      <c r="B210" s="1">
        <f t="shared" si="0"/>
        <v>2024</v>
      </c>
      <c r="C210" s="1">
        <f t="shared" si="2"/>
        <v>1</v>
      </c>
      <c r="D210" s="25" t="s">
        <v>8</v>
      </c>
      <c r="E210" s="6">
        <v>16851</v>
      </c>
      <c r="F210" s="6">
        <v>11351</v>
      </c>
      <c r="G210" s="30">
        <v>19030489944</v>
      </c>
      <c r="H210" s="1">
        <v>27.04</v>
      </c>
      <c r="I210" s="1">
        <v>56.04</v>
      </c>
      <c r="J210" s="32">
        <v>4.8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9">
        <v>45298</v>
      </c>
      <c r="B211" s="1">
        <f t="shared" si="0"/>
        <v>2024</v>
      </c>
      <c r="C211" s="1">
        <f t="shared" si="2"/>
        <v>1</v>
      </c>
      <c r="D211" s="25" t="s">
        <v>20</v>
      </c>
      <c r="E211" s="6">
        <v>1266</v>
      </c>
      <c r="F211" s="6">
        <v>914</v>
      </c>
      <c r="G211" s="30">
        <v>1464017641</v>
      </c>
      <c r="H211" s="1">
        <v>29.2</v>
      </c>
      <c r="I211" s="1">
        <v>57.63</v>
      </c>
      <c r="J211" s="32">
        <v>2.4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9">
        <v>45299</v>
      </c>
      <c r="B212" s="1">
        <f t="shared" si="0"/>
        <v>2024</v>
      </c>
      <c r="C212" s="1">
        <f t="shared" si="2"/>
        <v>1</v>
      </c>
      <c r="D212" s="25" t="s">
        <v>102</v>
      </c>
      <c r="E212" s="6">
        <v>518</v>
      </c>
      <c r="F212" s="6">
        <v>453</v>
      </c>
      <c r="G212" s="30">
        <v>633194545.20000005</v>
      </c>
      <c r="H212" s="1">
        <v>58.22</v>
      </c>
      <c r="I212" s="1">
        <v>57.34</v>
      </c>
      <c r="J212" s="32">
        <v>5.2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9">
        <v>45300</v>
      </c>
      <c r="B213" s="1">
        <f t="shared" si="0"/>
        <v>2024</v>
      </c>
      <c r="C213" s="1">
        <f t="shared" si="2"/>
        <v>1</v>
      </c>
      <c r="D213" s="25" t="s">
        <v>88</v>
      </c>
      <c r="E213" s="6">
        <v>3266</v>
      </c>
      <c r="F213" s="6">
        <v>2241</v>
      </c>
      <c r="G213" s="30">
        <v>3772683821</v>
      </c>
      <c r="H213" s="1">
        <v>23.08</v>
      </c>
      <c r="I213" s="1">
        <v>42.11</v>
      </c>
      <c r="J213" s="32">
        <v>4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9">
        <v>45301</v>
      </c>
      <c r="B214" s="1">
        <f t="shared" si="0"/>
        <v>2024</v>
      </c>
      <c r="C214" s="1">
        <f t="shared" si="2"/>
        <v>1</v>
      </c>
      <c r="D214" s="25" t="s">
        <v>93</v>
      </c>
      <c r="E214" s="6">
        <v>181</v>
      </c>
      <c r="F214" s="6">
        <v>110</v>
      </c>
      <c r="G214" s="30">
        <v>186982322.30000001</v>
      </c>
      <c r="H214" s="1">
        <v>21.14</v>
      </c>
      <c r="I214" s="1">
        <v>14.88</v>
      </c>
      <c r="J214" s="32">
        <v>4.4000000000000004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9">
        <v>45302</v>
      </c>
      <c r="B215" s="1">
        <f t="shared" si="0"/>
        <v>2024</v>
      </c>
      <c r="C215" s="1">
        <f t="shared" si="2"/>
        <v>1</v>
      </c>
      <c r="D215" s="25" t="s">
        <v>10</v>
      </c>
      <c r="E215" s="6">
        <v>11256</v>
      </c>
      <c r="F215" s="6">
        <v>7437</v>
      </c>
      <c r="G215" s="30">
        <v>12901730582</v>
      </c>
      <c r="H215" s="1">
        <v>26.44</v>
      </c>
      <c r="I215" s="1">
        <v>55.42</v>
      </c>
      <c r="J215" s="32">
        <v>2.1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9">
        <v>45303</v>
      </c>
      <c r="B216" s="1">
        <f t="shared" si="0"/>
        <v>2024</v>
      </c>
      <c r="C216" s="1">
        <f t="shared" si="2"/>
        <v>1</v>
      </c>
      <c r="D216" s="25" t="s">
        <v>9</v>
      </c>
      <c r="E216" s="6">
        <v>15264</v>
      </c>
      <c r="F216" s="6">
        <v>9709</v>
      </c>
      <c r="G216" s="30">
        <v>17765212354</v>
      </c>
      <c r="H216" s="1">
        <v>30.03</v>
      </c>
      <c r="I216" s="1">
        <v>83.51</v>
      </c>
      <c r="J216" s="32">
        <v>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9">
        <v>45304</v>
      </c>
      <c r="B217" s="1">
        <f t="shared" si="0"/>
        <v>2024</v>
      </c>
      <c r="C217" s="1">
        <f t="shared" si="2"/>
        <v>1</v>
      </c>
      <c r="D217" s="25" t="s">
        <v>101</v>
      </c>
      <c r="E217" s="6">
        <v>1225</v>
      </c>
      <c r="F217" s="6">
        <v>804</v>
      </c>
      <c r="G217" s="30">
        <v>1438033096</v>
      </c>
      <c r="H217" s="1">
        <v>19.420000000000002</v>
      </c>
      <c r="I217" s="1">
        <v>41.04</v>
      </c>
      <c r="J217" s="32">
        <v>2.2000000000000002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9">
        <v>45305</v>
      </c>
      <c r="B218" s="1">
        <f t="shared" si="0"/>
        <v>2024</v>
      </c>
      <c r="C218" s="1">
        <f t="shared" si="2"/>
        <v>1</v>
      </c>
      <c r="D218" s="25" t="s">
        <v>11</v>
      </c>
      <c r="E218" s="6">
        <v>3528</v>
      </c>
      <c r="F218" s="6">
        <v>2263</v>
      </c>
      <c r="G218" s="30">
        <v>4142403288</v>
      </c>
      <c r="H218" s="1">
        <v>21.58</v>
      </c>
      <c r="I218" s="1">
        <v>47.79</v>
      </c>
      <c r="J218" s="32">
        <v>2.1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9">
        <v>45306</v>
      </c>
      <c r="B219" s="1">
        <f t="shared" si="0"/>
        <v>2024</v>
      </c>
      <c r="C219" s="1">
        <f t="shared" si="2"/>
        <v>1</v>
      </c>
      <c r="D219" s="25" t="s">
        <v>91</v>
      </c>
      <c r="E219" s="6">
        <v>3977</v>
      </c>
      <c r="F219" s="6">
        <v>2755</v>
      </c>
      <c r="G219" s="30">
        <v>4578242869</v>
      </c>
      <c r="H219" s="1">
        <v>23.54</v>
      </c>
      <c r="I219" s="1">
        <v>55.02</v>
      </c>
      <c r="J219" s="32">
        <v>2.2999999999999998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9">
        <v>45307</v>
      </c>
      <c r="B220" s="1">
        <f t="shared" si="0"/>
        <v>2024</v>
      </c>
      <c r="C220" s="1">
        <f t="shared" si="2"/>
        <v>1</v>
      </c>
      <c r="D220" s="25" t="s">
        <v>15</v>
      </c>
      <c r="E220" s="6">
        <v>1626</v>
      </c>
      <c r="F220" s="6">
        <v>1160</v>
      </c>
      <c r="G220" s="30">
        <v>2170117558</v>
      </c>
      <c r="H220" s="1">
        <v>26.78</v>
      </c>
      <c r="I220" s="1">
        <v>40.64</v>
      </c>
      <c r="J220" s="32">
        <v>2.7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9">
        <v>45308</v>
      </c>
      <c r="B221" s="1">
        <f t="shared" si="0"/>
        <v>2024</v>
      </c>
      <c r="C221" s="1">
        <f t="shared" si="2"/>
        <v>1</v>
      </c>
      <c r="D221" s="25" t="s">
        <v>84</v>
      </c>
      <c r="E221" s="1">
        <v>3910</v>
      </c>
      <c r="F221" s="6">
        <v>2675</v>
      </c>
      <c r="G221" s="30">
        <v>4806424683</v>
      </c>
      <c r="H221" s="1">
        <v>19.84</v>
      </c>
      <c r="I221" s="1">
        <v>37.44</v>
      </c>
      <c r="J221" s="32">
        <v>2.5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9">
        <v>45309</v>
      </c>
      <c r="B222" s="1">
        <f t="shared" si="0"/>
        <v>2024</v>
      </c>
      <c r="C222" s="1">
        <f t="shared" si="2"/>
        <v>1</v>
      </c>
      <c r="D222" s="25" t="s">
        <v>22</v>
      </c>
      <c r="E222" s="1">
        <v>19520</v>
      </c>
      <c r="F222" s="6">
        <v>13041</v>
      </c>
      <c r="G222" s="30">
        <v>22588661545</v>
      </c>
      <c r="H222" s="1">
        <v>31.3</v>
      </c>
      <c r="I222" s="1">
        <v>71.13</v>
      </c>
      <c r="J222" s="32">
        <v>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9">
        <v>45310</v>
      </c>
      <c r="B223" s="1">
        <f t="shared" si="0"/>
        <v>2024</v>
      </c>
      <c r="C223" s="1">
        <f t="shared" si="2"/>
        <v>1</v>
      </c>
      <c r="D223" s="25" t="s">
        <v>32</v>
      </c>
      <c r="E223" s="1">
        <v>1224</v>
      </c>
      <c r="F223" s="6">
        <v>846</v>
      </c>
      <c r="G223" s="30">
        <v>1388061065</v>
      </c>
      <c r="H223" s="1">
        <v>17.600000000000001</v>
      </c>
      <c r="I223" s="1">
        <v>36.75</v>
      </c>
      <c r="J223" s="32">
        <v>0.9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9">
        <v>45311</v>
      </c>
      <c r="B224" s="1">
        <f t="shared" si="0"/>
        <v>2024</v>
      </c>
      <c r="C224" s="1">
        <f t="shared" si="2"/>
        <v>1</v>
      </c>
      <c r="D224" s="25" t="s">
        <v>12</v>
      </c>
      <c r="E224" s="1">
        <v>5590</v>
      </c>
      <c r="F224" s="6">
        <v>3638</v>
      </c>
      <c r="G224" s="30">
        <v>6701249874</v>
      </c>
      <c r="H224" s="1">
        <v>25.43</v>
      </c>
      <c r="I224" s="1">
        <v>51.9</v>
      </c>
      <c r="J224" s="32">
        <v>1.1000000000000001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9">
        <v>45312</v>
      </c>
      <c r="B225" s="1">
        <f t="shared" si="0"/>
        <v>2024</v>
      </c>
      <c r="C225" s="1">
        <f t="shared" si="2"/>
        <v>1</v>
      </c>
      <c r="D225" s="25" t="s">
        <v>19</v>
      </c>
      <c r="E225" s="1">
        <v>1159</v>
      </c>
      <c r="F225" s="6">
        <v>823</v>
      </c>
      <c r="G225" s="1">
        <v>1335115412</v>
      </c>
      <c r="H225" s="1">
        <v>18.86</v>
      </c>
      <c r="I225" s="1">
        <v>47.99</v>
      </c>
      <c r="J225" s="32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9">
        <v>45323</v>
      </c>
      <c r="B226" s="1">
        <f t="shared" si="0"/>
        <v>2024</v>
      </c>
      <c r="C226" s="1">
        <f t="shared" si="2"/>
        <v>2</v>
      </c>
      <c r="D226" s="25" t="s">
        <v>24</v>
      </c>
      <c r="E226" s="6">
        <v>472</v>
      </c>
      <c r="F226" s="6">
        <v>272</v>
      </c>
      <c r="G226" s="30">
        <v>523826412.39999998</v>
      </c>
      <c r="H226" s="1">
        <v>26.62</v>
      </c>
      <c r="I226" s="1">
        <v>21.31</v>
      </c>
      <c r="J226" s="32">
        <v>7.3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9">
        <v>45324</v>
      </c>
      <c r="B227" s="1">
        <f t="shared" si="0"/>
        <v>2024</v>
      </c>
      <c r="C227" s="1">
        <f t="shared" si="2"/>
        <v>2</v>
      </c>
      <c r="D227" s="25" t="s">
        <v>28</v>
      </c>
      <c r="E227" s="6">
        <v>94</v>
      </c>
      <c r="F227" s="6">
        <v>52</v>
      </c>
      <c r="G227" s="30">
        <v>97573335.480000004</v>
      </c>
      <c r="H227" s="1">
        <v>18.55</v>
      </c>
      <c r="I227" s="1">
        <v>7.05</v>
      </c>
      <c r="J227" s="32">
        <v>9.9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9">
        <v>45325</v>
      </c>
      <c r="B228" s="1">
        <f t="shared" si="0"/>
        <v>2024</v>
      </c>
      <c r="C228" s="1">
        <f t="shared" si="2"/>
        <v>2</v>
      </c>
      <c r="D228" s="25" t="s">
        <v>7</v>
      </c>
      <c r="E228" s="6">
        <v>1869</v>
      </c>
      <c r="F228" s="6">
        <v>1276</v>
      </c>
      <c r="G228" s="30">
        <v>2242797718</v>
      </c>
      <c r="H228" s="1">
        <v>20.58</v>
      </c>
      <c r="I228" s="1">
        <v>39.72</v>
      </c>
      <c r="J228" s="32">
        <v>8.3000000000000007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9">
        <v>45326</v>
      </c>
      <c r="B229" s="1">
        <f t="shared" si="0"/>
        <v>2024</v>
      </c>
      <c r="C229" s="1">
        <f t="shared" si="2"/>
        <v>2</v>
      </c>
      <c r="D229" s="25" t="s">
        <v>75</v>
      </c>
      <c r="E229" s="6">
        <v>19991</v>
      </c>
      <c r="F229" s="6">
        <v>12619</v>
      </c>
      <c r="G229" s="30">
        <v>23451527049</v>
      </c>
      <c r="H229" s="1">
        <v>30.07</v>
      </c>
      <c r="I229" s="1">
        <v>69.33</v>
      </c>
      <c r="J229" s="32">
        <v>2.6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9">
        <v>45327</v>
      </c>
      <c r="B230" s="1">
        <f t="shared" si="0"/>
        <v>2024</v>
      </c>
      <c r="C230" s="1">
        <f t="shared" si="2"/>
        <v>2</v>
      </c>
      <c r="D230" s="25" t="s">
        <v>79</v>
      </c>
      <c r="E230" s="6">
        <v>6712</v>
      </c>
      <c r="F230" s="6">
        <v>4413</v>
      </c>
      <c r="G230" s="30">
        <v>7763861822</v>
      </c>
      <c r="H230" s="1">
        <v>24.57</v>
      </c>
      <c r="I230" s="1">
        <v>71.48</v>
      </c>
      <c r="J230" s="32">
        <v>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9">
        <v>45328</v>
      </c>
      <c r="B231" s="1">
        <f t="shared" si="0"/>
        <v>2024</v>
      </c>
      <c r="C231" s="1">
        <f t="shared" si="2"/>
        <v>2</v>
      </c>
      <c r="D231" s="25" t="s">
        <v>8</v>
      </c>
      <c r="E231" s="6">
        <v>16959</v>
      </c>
      <c r="F231" s="6">
        <v>11515</v>
      </c>
      <c r="G231" s="30">
        <v>19093485659</v>
      </c>
      <c r="H231" s="1">
        <v>22.3</v>
      </c>
      <c r="I231" s="1">
        <v>45.15</v>
      </c>
      <c r="J231" s="32">
        <v>5.4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9">
        <v>45329</v>
      </c>
      <c r="B232" s="1">
        <f t="shared" si="0"/>
        <v>2024</v>
      </c>
      <c r="C232" s="1">
        <f t="shared" si="2"/>
        <v>2</v>
      </c>
      <c r="D232" s="25" t="s">
        <v>20</v>
      </c>
      <c r="E232" s="6">
        <v>2770</v>
      </c>
      <c r="F232" s="6">
        <v>2051</v>
      </c>
      <c r="G232" s="30">
        <v>3320924445</v>
      </c>
      <c r="H232" s="1">
        <v>25.24</v>
      </c>
      <c r="I232" s="1">
        <v>45.38</v>
      </c>
      <c r="J232" s="32">
        <v>2.4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9">
        <v>45330</v>
      </c>
      <c r="B233" s="1">
        <f t="shared" si="0"/>
        <v>2024</v>
      </c>
      <c r="C233" s="1">
        <f t="shared" si="2"/>
        <v>2</v>
      </c>
      <c r="D233" s="25" t="s">
        <v>88</v>
      </c>
      <c r="E233" s="6">
        <v>3261</v>
      </c>
      <c r="F233" s="6">
        <v>2241</v>
      </c>
      <c r="G233" s="30">
        <v>4001052542</v>
      </c>
      <c r="H233" s="1">
        <v>22.45</v>
      </c>
      <c r="I233" s="1">
        <v>37.979999999999997</v>
      </c>
      <c r="J233" s="32">
        <v>5.2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9">
        <v>45331</v>
      </c>
      <c r="B234" s="1">
        <f t="shared" si="0"/>
        <v>2024</v>
      </c>
      <c r="C234" s="1">
        <f t="shared" si="2"/>
        <v>2</v>
      </c>
      <c r="D234" s="25" t="s">
        <v>93</v>
      </c>
      <c r="E234" s="6">
        <v>247</v>
      </c>
      <c r="F234" s="6">
        <v>143</v>
      </c>
      <c r="G234" s="30">
        <v>255171107.69999999</v>
      </c>
      <c r="H234" s="1">
        <v>16.45</v>
      </c>
      <c r="I234" s="1">
        <v>12.93</v>
      </c>
      <c r="J234" s="32">
        <v>3.3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9">
        <v>45332</v>
      </c>
      <c r="B235" s="1">
        <f t="shared" si="0"/>
        <v>2024</v>
      </c>
      <c r="C235" s="1">
        <f t="shared" si="2"/>
        <v>2</v>
      </c>
      <c r="D235" s="25" t="s">
        <v>10</v>
      </c>
      <c r="E235" s="6">
        <v>9845</v>
      </c>
      <c r="F235" s="6">
        <v>6657</v>
      </c>
      <c r="G235" s="30">
        <v>11822149669</v>
      </c>
      <c r="H235" s="1">
        <v>22.41</v>
      </c>
      <c r="I235" s="1">
        <v>49.47</v>
      </c>
      <c r="J235" s="32">
        <v>1.9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9">
        <v>45333</v>
      </c>
      <c r="B236" s="1">
        <f t="shared" si="0"/>
        <v>2024</v>
      </c>
      <c r="C236" s="1">
        <f t="shared" si="2"/>
        <v>2</v>
      </c>
      <c r="D236" s="25" t="s">
        <v>9</v>
      </c>
      <c r="E236" s="6">
        <v>15080</v>
      </c>
      <c r="F236" s="6">
        <v>9293</v>
      </c>
      <c r="G236" s="30">
        <v>17828639578</v>
      </c>
      <c r="H236" s="1">
        <v>27.52</v>
      </c>
      <c r="I236" s="1">
        <v>70.22</v>
      </c>
      <c r="J236" s="32">
        <v>2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9">
        <v>45334</v>
      </c>
      <c r="B237" s="1">
        <f t="shared" si="0"/>
        <v>2024</v>
      </c>
      <c r="C237" s="1">
        <f t="shared" si="2"/>
        <v>2</v>
      </c>
      <c r="D237" s="25" t="s">
        <v>101</v>
      </c>
      <c r="E237" s="6">
        <v>994</v>
      </c>
      <c r="F237" s="6">
        <v>673</v>
      </c>
      <c r="G237" s="30">
        <v>1224139797</v>
      </c>
      <c r="H237" s="1">
        <v>16.91</v>
      </c>
      <c r="I237" s="1">
        <v>36.75</v>
      </c>
      <c r="J237" s="32">
        <v>1.9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9">
        <v>45335</v>
      </c>
      <c r="B238" s="1">
        <f t="shared" si="0"/>
        <v>2024</v>
      </c>
      <c r="C238" s="1">
        <f t="shared" si="2"/>
        <v>2</v>
      </c>
      <c r="D238" s="25" t="s">
        <v>11</v>
      </c>
      <c r="E238" s="6">
        <v>2043</v>
      </c>
      <c r="F238" s="6">
        <v>1351</v>
      </c>
      <c r="G238" s="30">
        <v>2455527543</v>
      </c>
      <c r="H238" s="1">
        <v>21.23</v>
      </c>
      <c r="I238" s="1">
        <v>38.46</v>
      </c>
      <c r="J238" s="32">
        <v>2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9">
        <v>45336</v>
      </c>
      <c r="B239" s="1">
        <f t="shared" si="0"/>
        <v>2024</v>
      </c>
      <c r="C239" s="1">
        <f t="shared" si="2"/>
        <v>2</v>
      </c>
      <c r="D239" s="25" t="s">
        <v>91</v>
      </c>
      <c r="E239" s="6">
        <v>3364</v>
      </c>
      <c r="F239" s="6">
        <v>2318</v>
      </c>
      <c r="G239" s="30">
        <v>3943728050</v>
      </c>
      <c r="H239" s="1">
        <v>30.71</v>
      </c>
      <c r="I239" s="1">
        <v>74.94</v>
      </c>
      <c r="J239" s="32">
        <v>2.2000000000000002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9">
        <v>45337</v>
      </c>
      <c r="B240" s="1">
        <f t="shared" si="0"/>
        <v>2024</v>
      </c>
      <c r="C240" s="1">
        <f t="shared" si="2"/>
        <v>2</v>
      </c>
      <c r="D240" s="25" t="s">
        <v>15</v>
      </c>
      <c r="E240" s="6">
        <v>1345</v>
      </c>
      <c r="F240" s="6">
        <v>1009</v>
      </c>
      <c r="G240" s="30">
        <v>1743808137</v>
      </c>
      <c r="H240" s="1">
        <v>17.170000000000002</v>
      </c>
      <c r="I240" s="1">
        <v>26.18</v>
      </c>
      <c r="J240" s="32">
        <v>2.2000000000000002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9">
        <v>45338</v>
      </c>
      <c r="B241" s="1">
        <f t="shared" si="0"/>
        <v>2024</v>
      </c>
      <c r="C241" s="1">
        <f t="shared" si="2"/>
        <v>2</v>
      </c>
      <c r="D241" s="25" t="s">
        <v>84</v>
      </c>
      <c r="E241" s="6">
        <v>3419</v>
      </c>
      <c r="F241" s="6">
        <v>2336</v>
      </c>
      <c r="G241" s="30">
        <v>4460782970</v>
      </c>
      <c r="H241" s="1">
        <v>22.66</v>
      </c>
      <c r="I241" s="1">
        <v>33.630000000000003</v>
      </c>
      <c r="J241" s="32">
        <v>2.4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9">
        <v>45339</v>
      </c>
      <c r="B242" s="1">
        <f t="shared" si="0"/>
        <v>2024</v>
      </c>
      <c r="C242" s="1">
        <f t="shared" si="2"/>
        <v>2</v>
      </c>
      <c r="D242" s="25" t="s">
        <v>22</v>
      </c>
      <c r="E242" s="6">
        <v>20015</v>
      </c>
      <c r="F242" s="6">
        <v>13515</v>
      </c>
      <c r="G242" s="30">
        <v>23632615842</v>
      </c>
      <c r="H242" s="1">
        <v>28.46</v>
      </c>
      <c r="I242" s="1">
        <v>64.87</v>
      </c>
      <c r="J242" s="32">
        <v>1.7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9">
        <v>45340</v>
      </c>
      <c r="B243" s="1">
        <f t="shared" si="0"/>
        <v>2024</v>
      </c>
      <c r="C243" s="1">
        <f t="shared" si="2"/>
        <v>2</v>
      </c>
      <c r="D243" s="25" t="s">
        <v>32</v>
      </c>
      <c r="E243" s="1">
        <v>1034</v>
      </c>
      <c r="F243" s="6">
        <v>710</v>
      </c>
      <c r="G243" s="30">
        <v>1217233750</v>
      </c>
      <c r="H243" s="1">
        <v>17.5</v>
      </c>
      <c r="I243" s="1">
        <v>38.83</v>
      </c>
      <c r="J243" s="32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9">
        <v>45341</v>
      </c>
      <c r="B244" s="1">
        <f t="shared" si="0"/>
        <v>2024</v>
      </c>
      <c r="C244" s="1">
        <f t="shared" si="2"/>
        <v>2</v>
      </c>
      <c r="D244" s="25" t="s">
        <v>12</v>
      </c>
      <c r="E244" s="1">
        <v>5532</v>
      </c>
      <c r="F244" s="6">
        <v>3644</v>
      </c>
      <c r="G244" s="30">
        <v>6576594733</v>
      </c>
      <c r="H244" s="1">
        <v>21.46</v>
      </c>
      <c r="I244" s="1">
        <v>50.13</v>
      </c>
      <c r="J244" s="32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9">
        <v>45342</v>
      </c>
      <c r="B245" s="1">
        <f t="shared" si="0"/>
        <v>2024</v>
      </c>
      <c r="C245" s="1">
        <f t="shared" si="2"/>
        <v>2</v>
      </c>
      <c r="D245" s="25" t="s">
        <v>19</v>
      </c>
      <c r="E245" s="1">
        <v>587</v>
      </c>
      <c r="F245" s="6">
        <v>429</v>
      </c>
      <c r="G245" s="30">
        <v>683846290.39999998</v>
      </c>
      <c r="H245" s="1">
        <v>24.43</v>
      </c>
      <c r="I245" s="1">
        <v>55.41</v>
      </c>
      <c r="J245" s="32">
        <v>0.9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9">
        <v>45343</v>
      </c>
      <c r="B246" s="1">
        <f t="shared" si="0"/>
        <v>2024</v>
      </c>
      <c r="C246" s="1">
        <f t="shared" si="2"/>
        <v>2</v>
      </c>
      <c r="D246" s="25" t="s">
        <v>23</v>
      </c>
      <c r="E246" s="1">
        <v>0</v>
      </c>
      <c r="F246" s="6">
        <v>0</v>
      </c>
      <c r="G246" s="1">
        <v>0</v>
      </c>
      <c r="H246" s="1">
        <v>0</v>
      </c>
      <c r="I246" s="1">
        <v>0</v>
      </c>
      <c r="J246" s="32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9">
        <v>45352</v>
      </c>
      <c r="B247" s="1">
        <f t="shared" si="0"/>
        <v>2024</v>
      </c>
      <c r="C247" s="1">
        <f t="shared" si="2"/>
        <v>3</v>
      </c>
      <c r="D247" s="25" t="s">
        <v>24</v>
      </c>
      <c r="E247" s="6">
        <v>608</v>
      </c>
      <c r="F247" s="6">
        <v>372</v>
      </c>
      <c r="G247" s="30">
        <v>757807929.39999998</v>
      </c>
      <c r="H247" s="1">
        <v>22.26</v>
      </c>
      <c r="I247" s="1">
        <v>16.21</v>
      </c>
      <c r="J247" s="32">
        <v>4.3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9">
        <v>45352</v>
      </c>
      <c r="B248" s="1">
        <f t="shared" si="0"/>
        <v>2024</v>
      </c>
      <c r="C248" s="1">
        <f t="shared" si="2"/>
        <v>3</v>
      </c>
      <c r="D248" s="25" t="s">
        <v>28</v>
      </c>
      <c r="E248" s="6">
        <v>247</v>
      </c>
      <c r="F248" s="6">
        <v>146</v>
      </c>
      <c r="G248" s="30">
        <v>239545203.40000001</v>
      </c>
      <c r="H248" s="1">
        <v>17.649999999999999</v>
      </c>
      <c r="I248" s="1">
        <v>11.93</v>
      </c>
      <c r="J248" s="32">
        <v>8.1999999999999993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9">
        <v>45352</v>
      </c>
      <c r="B249" s="1">
        <f t="shared" si="0"/>
        <v>2024</v>
      </c>
      <c r="C249" s="1">
        <f t="shared" si="2"/>
        <v>3</v>
      </c>
      <c r="D249" s="25" t="s">
        <v>7</v>
      </c>
      <c r="E249" s="6">
        <v>1061</v>
      </c>
      <c r="F249" s="6">
        <v>702</v>
      </c>
      <c r="G249" s="30">
        <v>1320094595</v>
      </c>
      <c r="H249" s="1">
        <v>31.14</v>
      </c>
      <c r="I249" s="1">
        <v>49.69</v>
      </c>
      <c r="J249" s="32">
        <v>8.5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9">
        <v>45352</v>
      </c>
      <c r="B250" s="1">
        <f t="shared" si="0"/>
        <v>2024</v>
      </c>
      <c r="C250" s="1">
        <f t="shared" si="2"/>
        <v>3</v>
      </c>
      <c r="D250" s="25" t="s">
        <v>75</v>
      </c>
      <c r="E250" s="6">
        <v>19851</v>
      </c>
      <c r="F250" s="6">
        <v>12423</v>
      </c>
      <c r="G250" s="30">
        <v>23120633569</v>
      </c>
      <c r="H250" s="1">
        <v>30.87</v>
      </c>
      <c r="I250" s="1">
        <v>68.25</v>
      </c>
      <c r="J250" s="32">
        <v>2.2000000000000002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9">
        <v>45352</v>
      </c>
      <c r="B251" s="1">
        <f t="shared" si="0"/>
        <v>2024</v>
      </c>
      <c r="C251" s="1">
        <f t="shared" si="2"/>
        <v>3</v>
      </c>
      <c r="D251" s="25" t="s">
        <v>79</v>
      </c>
      <c r="E251" s="6">
        <v>9619</v>
      </c>
      <c r="F251" s="6">
        <v>6625</v>
      </c>
      <c r="G251" s="30">
        <v>11437017129</v>
      </c>
      <c r="H251" s="1">
        <v>35.549999999999997</v>
      </c>
      <c r="I251" s="1">
        <v>79.86</v>
      </c>
      <c r="J251" s="32">
        <v>4.2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9">
        <v>45352</v>
      </c>
      <c r="B252" s="1">
        <f t="shared" si="0"/>
        <v>2024</v>
      </c>
      <c r="C252" s="1">
        <f t="shared" si="2"/>
        <v>3</v>
      </c>
      <c r="D252" s="25" t="s">
        <v>8</v>
      </c>
      <c r="E252" s="6">
        <v>17723</v>
      </c>
      <c r="F252" s="6">
        <v>11561</v>
      </c>
      <c r="G252" s="30">
        <v>19420042228</v>
      </c>
      <c r="H252" s="1">
        <v>26.63</v>
      </c>
      <c r="I252" s="1">
        <v>53.9</v>
      </c>
      <c r="J252" s="32">
        <v>4.8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9">
        <v>45352</v>
      </c>
      <c r="B253" s="1">
        <f t="shared" si="0"/>
        <v>2024</v>
      </c>
      <c r="C253" s="1">
        <f t="shared" si="2"/>
        <v>3</v>
      </c>
      <c r="D253" s="25" t="s">
        <v>20</v>
      </c>
      <c r="E253" s="6">
        <v>1227</v>
      </c>
      <c r="F253" s="6">
        <v>894</v>
      </c>
      <c r="G253" s="30">
        <v>1490371935</v>
      </c>
      <c r="H253" s="1">
        <v>22.02</v>
      </c>
      <c r="I253" s="1">
        <v>39.880000000000003</v>
      </c>
      <c r="J253" s="32">
        <v>2.1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9">
        <v>45352</v>
      </c>
      <c r="B254" s="1">
        <f t="shared" si="0"/>
        <v>2024</v>
      </c>
      <c r="C254" s="1">
        <f t="shared" si="2"/>
        <v>3</v>
      </c>
      <c r="D254" s="25" t="s">
        <v>88</v>
      </c>
      <c r="E254" s="6">
        <v>2291</v>
      </c>
      <c r="F254" s="6">
        <v>1603</v>
      </c>
      <c r="G254" s="30">
        <v>2812810916</v>
      </c>
      <c r="H254" s="1">
        <v>27.16</v>
      </c>
      <c r="I254" s="1">
        <v>37.299999999999997</v>
      </c>
      <c r="J254" s="32">
        <v>4.5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9">
        <v>45352</v>
      </c>
      <c r="B255" s="1">
        <f t="shared" si="0"/>
        <v>2024</v>
      </c>
      <c r="C255" s="1">
        <f t="shared" si="2"/>
        <v>3</v>
      </c>
      <c r="D255" s="25" t="s">
        <v>93</v>
      </c>
      <c r="E255" s="6">
        <v>134</v>
      </c>
      <c r="F255" s="6">
        <v>73</v>
      </c>
      <c r="G255" s="30">
        <v>138014187.30000001</v>
      </c>
      <c r="H255" s="1">
        <v>26.46</v>
      </c>
      <c r="I255" s="1">
        <v>16.93</v>
      </c>
      <c r="J255" s="32">
        <v>3.2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9">
        <v>45352</v>
      </c>
      <c r="B256" s="1">
        <f t="shared" si="0"/>
        <v>2024</v>
      </c>
      <c r="C256" s="1">
        <f t="shared" si="2"/>
        <v>3</v>
      </c>
      <c r="D256" s="25" t="s">
        <v>10</v>
      </c>
      <c r="E256" s="6">
        <v>14571</v>
      </c>
      <c r="F256" s="6">
        <v>9816</v>
      </c>
      <c r="G256" s="30">
        <v>17624459211</v>
      </c>
      <c r="H256" s="1">
        <v>24.12</v>
      </c>
      <c r="I256" s="1">
        <v>45.16</v>
      </c>
      <c r="J256" s="32">
        <v>1.6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9">
        <v>45352</v>
      </c>
      <c r="B257" s="1">
        <f t="shared" ref="B257:B421" si="3">YEAR(A257)</f>
        <v>2024</v>
      </c>
      <c r="C257" s="1">
        <f t="shared" si="2"/>
        <v>3</v>
      </c>
      <c r="D257" s="25" t="s">
        <v>9</v>
      </c>
      <c r="E257" s="6">
        <v>13872</v>
      </c>
      <c r="F257" s="6">
        <v>8496</v>
      </c>
      <c r="G257" s="30">
        <v>16214386789</v>
      </c>
      <c r="H257" s="1">
        <v>27.81</v>
      </c>
      <c r="I257" s="1">
        <v>59.12</v>
      </c>
      <c r="J257" s="32">
        <v>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9">
        <v>45352</v>
      </c>
      <c r="B258" s="1">
        <f t="shared" si="3"/>
        <v>2024</v>
      </c>
      <c r="C258" s="1">
        <f t="shared" si="2"/>
        <v>3</v>
      </c>
      <c r="D258" s="25" t="s">
        <v>101</v>
      </c>
      <c r="E258" s="6">
        <v>1210</v>
      </c>
      <c r="F258" s="6">
        <v>777</v>
      </c>
      <c r="G258" s="30">
        <v>1419433882</v>
      </c>
      <c r="H258" s="1">
        <v>22.9</v>
      </c>
      <c r="I258" s="1">
        <v>44.24</v>
      </c>
      <c r="J258" s="32">
        <v>1.9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9">
        <v>45352</v>
      </c>
      <c r="B259" s="1">
        <f t="shared" si="3"/>
        <v>2024</v>
      </c>
      <c r="C259" s="1">
        <f t="shared" si="2"/>
        <v>3</v>
      </c>
      <c r="D259" s="25" t="s">
        <v>11</v>
      </c>
      <c r="E259" s="6">
        <v>3843</v>
      </c>
      <c r="F259" s="6">
        <v>2582</v>
      </c>
      <c r="G259" s="30">
        <v>4573745911</v>
      </c>
      <c r="H259" s="1">
        <v>24.82</v>
      </c>
      <c r="I259" s="1">
        <v>46.26</v>
      </c>
      <c r="J259" s="32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9">
        <v>45352</v>
      </c>
      <c r="B260" s="1">
        <f t="shared" si="3"/>
        <v>2024</v>
      </c>
      <c r="C260" s="1">
        <f t="shared" si="2"/>
        <v>3</v>
      </c>
      <c r="D260" s="25" t="s">
        <v>91</v>
      </c>
      <c r="E260" s="6">
        <v>4281</v>
      </c>
      <c r="F260" s="6">
        <v>3056</v>
      </c>
      <c r="G260" s="30">
        <v>5116555093</v>
      </c>
      <c r="H260" s="1">
        <v>24.1</v>
      </c>
      <c r="I260" s="1">
        <v>54.69</v>
      </c>
      <c r="J260" s="32">
        <v>2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9">
        <v>45352</v>
      </c>
      <c r="B261" s="1">
        <f t="shared" si="3"/>
        <v>2024</v>
      </c>
      <c r="C261" s="1">
        <f t="shared" si="2"/>
        <v>3</v>
      </c>
      <c r="D261" s="25" t="s">
        <v>15</v>
      </c>
      <c r="E261" s="6">
        <v>1198</v>
      </c>
      <c r="F261" s="6">
        <v>818</v>
      </c>
      <c r="G261" s="30">
        <v>1463478128</v>
      </c>
      <c r="H261" s="1">
        <v>21.53</v>
      </c>
      <c r="I261" s="1">
        <v>30.88</v>
      </c>
      <c r="J261" s="32">
        <v>2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9">
        <v>45352</v>
      </c>
      <c r="B262" s="1">
        <f t="shared" si="3"/>
        <v>2024</v>
      </c>
      <c r="C262" s="1">
        <f t="shared" si="2"/>
        <v>3</v>
      </c>
      <c r="D262" s="25" t="s">
        <v>84</v>
      </c>
      <c r="E262" s="6">
        <v>3727</v>
      </c>
      <c r="F262" s="6">
        <v>2471</v>
      </c>
      <c r="G262" s="30">
        <v>4645249408</v>
      </c>
      <c r="H262" s="1">
        <v>25.57</v>
      </c>
      <c r="I262" s="1">
        <v>33.56</v>
      </c>
      <c r="J262" s="32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9">
        <v>45352</v>
      </c>
      <c r="B263" s="1">
        <f t="shared" si="3"/>
        <v>2024</v>
      </c>
      <c r="C263" s="1">
        <f t="shared" si="2"/>
        <v>3</v>
      </c>
      <c r="D263" s="25" t="s">
        <v>22</v>
      </c>
      <c r="E263" s="6">
        <v>20490</v>
      </c>
      <c r="F263" s="6">
        <v>13695</v>
      </c>
      <c r="G263" s="30">
        <v>24145157348</v>
      </c>
      <c r="H263" s="1">
        <v>32.4</v>
      </c>
      <c r="I263" s="1">
        <v>73.599999999999994</v>
      </c>
      <c r="J263" s="32">
        <v>1.8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9">
        <v>45352</v>
      </c>
      <c r="B264" s="1">
        <f t="shared" si="3"/>
        <v>2024</v>
      </c>
      <c r="C264" s="1">
        <f t="shared" si="2"/>
        <v>3</v>
      </c>
      <c r="D264" s="25" t="s">
        <v>32</v>
      </c>
      <c r="E264" s="1">
        <v>1335</v>
      </c>
      <c r="F264" s="1">
        <v>878</v>
      </c>
      <c r="G264" s="30">
        <v>1567544143</v>
      </c>
      <c r="H264" s="1">
        <v>19.07</v>
      </c>
      <c r="I264" s="1">
        <v>38.799999999999997</v>
      </c>
      <c r="J264" s="32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9">
        <v>45352</v>
      </c>
      <c r="B265" s="1">
        <f t="shared" si="3"/>
        <v>2024</v>
      </c>
      <c r="C265" s="1">
        <f t="shared" si="2"/>
        <v>3</v>
      </c>
      <c r="D265" s="25" t="s">
        <v>12</v>
      </c>
      <c r="E265" s="1">
        <v>8205</v>
      </c>
      <c r="F265" s="1">
        <v>5248</v>
      </c>
      <c r="G265" s="30">
        <v>9529785171</v>
      </c>
      <c r="H265" s="1">
        <v>19.440000000000001</v>
      </c>
      <c r="I265" s="1">
        <v>39.67</v>
      </c>
      <c r="J265" s="32">
        <v>0.9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5" t="s">
        <v>60</v>
      </c>
      <c r="B266" s="1">
        <f t="shared" si="3"/>
        <v>2024</v>
      </c>
      <c r="C266" s="1">
        <f t="shared" si="2"/>
        <v>4</v>
      </c>
      <c r="D266" s="25" t="s">
        <v>24</v>
      </c>
      <c r="E266" s="6">
        <v>225</v>
      </c>
      <c r="F266" s="6">
        <v>164</v>
      </c>
      <c r="G266" s="33">
        <v>355904194.10000002</v>
      </c>
      <c r="H266" s="1">
        <v>16.829999999999998</v>
      </c>
      <c r="I266" s="1">
        <v>5.66</v>
      </c>
      <c r="J266" s="32">
        <v>7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 t="s">
        <v>60</v>
      </c>
      <c r="B267" s="1">
        <f t="shared" si="3"/>
        <v>2024</v>
      </c>
      <c r="C267" s="1">
        <f t="shared" si="2"/>
        <v>4</v>
      </c>
      <c r="D267" s="25" t="s">
        <v>7</v>
      </c>
      <c r="E267" s="6">
        <v>1367</v>
      </c>
      <c r="F267" s="6">
        <v>946</v>
      </c>
      <c r="G267" s="33">
        <v>1890733836</v>
      </c>
      <c r="H267" s="1">
        <v>14.94</v>
      </c>
      <c r="I267" s="1">
        <v>28.27</v>
      </c>
      <c r="J267" s="32">
        <v>3.1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 t="s">
        <v>60</v>
      </c>
      <c r="B268" s="1">
        <f t="shared" si="3"/>
        <v>2024</v>
      </c>
      <c r="C268" s="1">
        <f t="shared" si="2"/>
        <v>4</v>
      </c>
      <c r="D268" s="25" t="s">
        <v>75</v>
      </c>
      <c r="E268" s="6">
        <v>21259</v>
      </c>
      <c r="F268" s="6">
        <v>13245</v>
      </c>
      <c r="G268" s="33">
        <v>24885254849</v>
      </c>
      <c r="H268" s="1">
        <v>26.35</v>
      </c>
      <c r="I268" s="1">
        <v>64.36</v>
      </c>
      <c r="J268" s="32">
        <v>3.4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 t="s">
        <v>60</v>
      </c>
      <c r="B269" s="1">
        <f t="shared" si="3"/>
        <v>2024</v>
      </c>
      <c r="C269" s="1">
        <f t="shared" si="2"/>
        <v>4</v>
      </c>
      <c r="D269" s="25" t="s">
        <v>79</v>
      </c>
      <c r="E269" s="6">
        <v>9228</v>
      </c>
      <c r="F269" s="6">
        <v>6050</v>
      </c>
      <c r="G269" s="33">
        <v>10800948958</v>
      </c>
      <c r="H269" s="1">
        <v>28.46</v>
      </c>
      <c r="I269" s="1">
        <v>80.44</v>
      </c>
      <c r="J269" s="32">
        <v>2.6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 t="s">
        <v>60</v>
      </c>
      <c r="B270" s="1">
        <f t="shared" si="3"/>
        <v>2024</v>
      </c>
      <c r="C270" s="1">
        <f t="shared" si="2"/>
        <v>4</v>
      </c>
      <c r="D270" s="25" t="s">
        <v>8</v>
      </c>
      <c r="E270" s="6">
        <v>11721</v>
      </c>
      <c r="F270" s="6">
        <v>7902</v>
      </c>
      <c r="G270" s="33">
        <v>13716442705</v>
      </c>
      <c r="H270" s="1">
        <v>23.31</v>
      </c>
      <c r="I270" s="1">
        <v>43.17</v>
      </c>
      <c r="J270" s="32">
        <v>5.2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 t="s">
        <v>60</v>
      </c>
      <c r="B271" s="1">
        <f t="shared" si="3"/>
        <v>2024</v>
      </c>
      <c r="C271" s="1">
        <f t="shared" si="2"/>
        <v>4</v>
      </c>
      <c r="D271" s="25" t="s">
        <v>20</v>
      </c>
      <c r="E271" s="6">
        <v>1034</v>
      </c>
      <c r="F271" s="6">
        <v>761</v>
      </c>
      <c r="G271" s="33">
        <v>1268331088</v>
      </c>
      <c r="H271" s="1">
        <v>21.54</v>
      </c>
      <c r="I271" s="1">
        <v>47.32</v>
      </c>
      <c r="J271" s="32">
        <v>2.9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 t="s">
        <v>60</v>
      </c>
      <c r="B272" s="1">
        <f t="shared" si="3"/>
        <v>2024</v>
      </c>
      <c r="C272" s="1">
        <f t="shared" si="2"/>
        <v>4</v>
      </c>
      <c r="D272" s="25" t="s">
        <v>88</v>
      </c>
      <c r="E272" s="6">
        <v>1992</v>
      </c>
      <c r="F272" s="6">
        <v>1448</v>
      </c>
      <c r="G272" s="33">
        <v>2527601857</v>
      </c>
      <c r="H272" s="1">
        <v>24.11</v>
      </c>
      <c r="I272" s="1">
        <v>42.77</v>
      </c>
      <c r="J272" s="32">
        <v>2.6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 t="s">
        <v>60</v>
      </c>
      <c r="B273" s="1">
        <f t="shared" si="3"/>
        <v>2024</v>
      </c>
      <c r="C273" s="1">
        <f t="shared" ref="C273:C362" si="4">MONTH(A273)</f>
        <v>4</v>
      </c>
      <c r="D273" s="25" t="s">
        <v>93</v>
      </c>
      <c r="E273" s="6">
        <v>345</v>
      </c>
      <c r="F273" s="6">
        <v>207</v>
      </c>
      <c r="G273" s="33">
        <v>380705529.10000002</v>
      </c>
      <c r="H273" s="1">
        <v>17.899999999999999</v>
      </c>
      <c r="I273" s="1">
        <v>15.34</v>
      </c>
      <c r="J273" s="32">
        <v>5.2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 t="s">
        <v>60</v>
      </c>
      <c r="B274" s="1">
        <f t="shared" si="3"/>
        <v>2024</v>
      </c>
      <c r="C274" s="1">
        <f t="shared" si="4"/>
        <v>4</v>
      </c>
      <c r="D274" s="25" t="s">
        <v>10</v>
      </c>
      <c r="E274" s="6">
        <v>4032</v>
      </c>
      <c r="F274" s="6">
        <v>2754</v>
      </c>
      <c r="G274" s="33">
        <v>4871552782</v>
      </c>
      <c r="H274" s="1">
        <v>20.91</v>
      </c>
      <c r="I274" s="1">
        <v>50.24</v>
      </c>
      <c r="J274" s="32">
        <v>2.9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 t="s">
        <v>60</v>
      </c>
      <c r="B275" s="1">
        <f t="shared" si="3"/>
        <v>2024</v>
      </c>
      <c r="C275" s="1">
        <f t="shared" si="4"/>
        <v>4</v>
      </c>
      <c r="D275" s="25" t="s">
        <v>9</v>
      </c>
      <c r="E275" s="6">
        <v>16631</v>
      </c>
      <c r="F275" s="6">
        <v>10281</v>
      </c>
      <c r="G275" s="33">
        <v>19830327302</v>
      </c>
      <c r="H275" s="1">
        <v>29.53</v>
      </c>
      <c r="I275" s="1">
        <v>80.39</v>
      </c>
      <c r="J275" s="32">
        <v>2.6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 t="s">
        <v>60</v>
      </c>
      <c r="B276" s="1">
        <f t="shared" si="3"/>
        <v>2024</v>
      </c>
      <c r="C276" s="1">
        <f t="shared" si="4"/>
        <v>4</v>
      </c>
      <c r="D276" s="25" t="s">
        <v>101</v>
      </c>
      <c r="E276" s="6">
        <v>775</v>
      </c>
      <c r="F276" s="6">
        <v>516</v>
      </c>
      <c r="G276" s="33">
        <v>913831384.20000005</v>
      </c>
      <c r="H276" s="1">
        <v>24.59</v>
      </c>
      <c r="I276" s="1">
        <v>51.38</v>
      </c>
      <c r="J276" s="32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 t="s">
        <v>60</v>
      </c>
      <c r="B277" s="1">
        <f t="shared" si="3"/>
        <v>2024</v>
      </c>
      <c r="C277" s="1">
        <f t="shared" si="4"/>
        <v>4</v>
      </c>
      <c r="D277" s="25" t="s">
        <v>11</v>
      </c>
      <c r="E277" s="6">
        <v>1900</v>
      </c>
      <c r="F277" s="6">
        <v>1400</v>
      </c>
      <c r="G277" s="33">
        <v>2311794746</v>
      </c>
      <c r="H277" s="1">
        <v>30.43</v>
      </c>
      <c r="I277" s="1">
        <v>63.41</v>
      </c>
      <c r="J277" s="32">
        <v>2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 t="s">
        <v>60</v>
      </c>
      <c r="B278" s="1">
        <f t="shared" si="3"/>
        <v>2024</v>
      </c>
      <c r="C278" s="1">
        <f t="shared" si="4"/>
        <v>4</v>
      </c>
      <c r="D278" s="25" t="s">
        <v>91</v>
      </c>
      <c r="E278" s="6">
        <v>1889</v>
      </c>
      <c r="F278" s="6">
        <v>1210</v>
      </c>
      <c r="G278" s="33">
        <v>2167802578</v>
      </c>
      <c r="H278" s="1">
        <v>26.01</v>
      </c>
      <c r="I278" s="1">
        <v>59.25</v>
      </c>
      <c r="J278" s="32">
        <v>2.6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 t="s">
        <v>60</v>
      </c>
      <c r="B279" s="1">
        <f t="shared" si="3"/>
        <v>2024</v>
      </c>
      <c r="C279" s="1">
        <f t="shared" si="4"/>
        <v>4</v>
      </c>
      <c r="D279" s="25" t="s">
        <v>15</v>
      </c>
      <c r="E279" s="6">
        <v>2146</v>
      </c>
      <c r="F279" s="6">
        <v>1467</v>
      </c>
      <c r="G279" s="33">
        <v>2799830053</v>
      </c>
      <c r="H279" s="1">
        <v>19.09</v>
      </c>
      <c r="I279" s="1">
        <v>31.04</v>
      </c>
      <c r="J279" s="32">
        <v>2.6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 t="s">
        <v>60</v>
      </c>
      <c r="B280" s="1">
        <f t="shared" si="3"/>
        <v>2024</v>
      </c>
      <c r="C280" s="1">
        <f t="shared" si="4"/>
        <v>4</v>
      </c>
      <c r="D280" s="25" t="s">
        <v>84</v>
      </c>
      <c r="E280" s="6">
        <v>3197</v>
      </c>
      <c r="F280" s="6">
        <v>2043</v>
      </c>
      <c r="G280" s="33">
        <v>3969310722</v>
      </c>
      <c r="H280" s="1">
        <v>17.52</v>
      </c>
      <c r="I280" s="1">
        <v>29.64</v>
      </c>
      <c r="J280" s="32">
        <v>2.6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 t="s">
        <v>60</v>
      </c>
      <c r="B281" s="1">
        <f t="shared" si="3"/>
        <v>2024</v>
      </c>
      <c r="C281" s="1">
        <f t="shared" si="4"/>
        <v>4</v>
      </c>
      <c r="D281" s="25" t="s">
        <v>22</v>
      </c>
      <c r="E281" s="6">
        <v>18346</v>
      </c>
      <c r="F281" s="6">
        <v>12444</v>
      </c>
      <c r="G281" s="33">
        <v>22258828990</v>
      </c>
      <c r="H281" s="1">
        <v>26.12</v>
      </c>
      <c r="I281" s="1">
        <v>67.63</v>
      </c>
      <c r="J281" s="32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 t="s">
        <v>60</v>
      </c>
      <c r="B282" s="1">
        <f t="shared" si="3"/>
        <v>2024</v>
      </c>
      <c r="C282" s="1">
        <f t="shared" si="4"/>
        <v>4</v>
      </c>
      <c r="D282" s="25" t="s">
        <v>32</v>
      </c>
      <c r="E282" s="6">
        <v>1530</v>
      </c>
      <c r="F282" s="6">
        <v>995</v>
      </c>
      <c r="G282" s="33">
        <v>1860732173</v>
      </c>
      <c r="H282" s="1">
        <v>15.08</v>
      </c>
      <c r="I282" s="1">
        <v>32.15</v>
      </c>
      <c r="J282" s="32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 t="s">
        <v>60</v>
      </c>
      <c r="B283" s="1">
        <f t="shared" si="3"/>
        <v>2024</v>
      </c>
      <c r="C283" s="1">
        <f t="shared" si="4"/>
        <v>4</v>
      </c>
      <c r="D283" s="25" t="s">
        <v>12</v>
      </c>
      <c r="E283" s="6">
        <v>4331</v>
      </c>
      <c r="F283" s="6">
        <v>2857</v>
      </c>
      <c r="G283" s="33">
        <v>5331497040</v>
      </c>
      <c r="H283" s="1">
        <v>21.64</v>
      </c>
      <c r="I283" s="1">
        <v>48.86</v>
      </c>
      <c r="J283" s="32">
        <v>2.6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9">
        <v>45413</v>
      </c>
      <c r="B284" s="1">
        <f t="shared" si="3"/>
        <v>2024</v>
      </c>
      <c r="C284" s="1">
        <f t="shared" si="4"/>
        <v>5</v>
      </c>
      <c r="D284" s="25" t="s">
        <v>24</v>
      </c>
      <c r="E284" s="6">
        <v>445</v>
      </c>
      <c r="F284" s="6">
        <v>281</v>
      </c>
      <c r="G284" s="30">
        <v>574421900.10000002</v>
      </c>
      <c r="H284" s="1">
        <v>19.93</v>
      </c>
      <c r="I284" s="1">
        <v>8.86</v>
      </c>
      <c r="J284" s="32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9">
        <v>45413</v>
      </c>
      <c r="B285" s="1">
        <f t="shared" si="3"/>
        <v>2024</v>
      </c>
      <c r="C285" s="1">
        <f t="shared" si="4"/>
        <v>5</v>
      </c>
      <c r="D285" s="25" t="s">
        <v>7</v>
      </c>
      <c r="E285" s="6">
        <v>1163</v>
      </c>
      <c r="F285" s="6">
        <v>804</v>
      </c>
      <c r="G285" s="30">
        <v>1575586975</v>
      </c>
      <c r="H285" s="1">
        <v>17.14</v>
      </c>
      <c r="I285" s="1">
        <v>40.78</v>
      </c>
      <c r="J285" s="32">
        <v>8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9">
        <v>45413</v>
      </c>
      <c r="B286" s="1">
        <f t="shared" si="3"/>
        <v>2024</v>
      </c>
      <c r="C286" s="1">
        <f t="shared" si="4"/>
        <v>5</v>
      </c>
      <c r="D286" s="25" t="s">
        <v>75</v>
      </c>
      <c r="E286" s="6">
        <v>24807</v>
      </c>
      <c r="F286" s="6">
        <v>15631</v>
      </c>
      <c r="G286" s="30">
        <v>29125886033</v>
      </c>
      <c r="H286" s="1">
        <v>26.81</v>
      </c>
      <c r="I286" s="1">
        <v>67.8</v>
      </c>
      <c r="J286" s="32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9">
        <v>45413</v>
      </c>
      <c r="B287" s="1">
        <f t="shared" si="3"/>
        <v>2024</v>
      </c>
      <c r="C287" s="1">
        <f t="shared" si="4"/>
        <v>5</v>
      </c>
      <c r="D287" s="25" t="s">
        <v>79</v>
      </c>
      <c r="E287" s="6">
        <v>10182</v>
      </c>
      <c r="F287" s="6">
        <v>6586</v>
      </c>
      <c r="G287" s="30">
        <v>11788976642</v>
      </c>
      <c r="H287" s="1">
        <v>31.43</v>
      </c>
      <c r="I287" s="1">
        <v>93.39</v>
      </c>
      <c r="J287" s="32">
        <v>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9">
        <v>45413</v>
      </c>
      <c r="B288" s="1">
        <f t="shared" si="3"/>
        <v>2024</v>
      </c>
      <c r="C288" s="1">
        <f t="shared" si="4"/>
        <v>5</v>
      </c>
      <c r="D288" s="25" t="s">
        <v>8</v>
      </c>
      <c r="E288" s="6">
        <v>18527</v>
      </c>
      <c r="F288" s="6">
        <v>12488</v>
      </c>
      <c r="G288" s="30">
        <v>21300505112</v>
      </c>
      <c r="H288" s="1">
        <v>25.01</v>
      </c>
      <c r="I288" s="1">
        <v>49.97</v>
      </c>
      <c r="J288" s="32">
        <v>5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9">
        <v>45413</v>
      </c>
      <c r="B289" s="1">
        <f t="shared" si="3"/>
        <v>2024</v>
      </c>
      <c r="C289" s="1">
        <f t="shared" si="4"/>
        <v>5</v>
      </c>
      <c r="D289" s="25" t="s">
        <v>20</v>
      </c>
      <c r="E289" s="6">
        <v>2641</v>
      </c>
      <c r="F289" s="6">
        <v>1843</v>
      </c>
      <c r="G289" s="34">
        <v>3062752930</v>
      </c>
      <c r="H289" s="1">
        <v>20.93</v>
      </c>
      <c r="I289" s="1">
        <v>42.11</v>
      </c>
      <c r="J289" s="32">
        <v>6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9">
        <v>45413</v>
      </c>
      <c r="B290" s="1">
        <f t="shared" si="3"/>
        <v>2024</v>
      </c>
      <c r="C290" s="1">
        <f t="shared" si="4"/>
        <v>5</v>
      </c>
      <c r="D290" s="25" t="s">
        <v>88</v>
      </c>
      <c r="E290" s="6">
        <v>2934</v>
      </c>
      <c r="F290" s="6">
        <v>2055</v>
      </c>
      <c r="G290" s="34">
        <v>3714544990</v>
      </c>
      <c r="H290" s="1">
        <v>21.05</v>
      </c>
      <c r="I290" s="1">
        <v>34.49</v>
      </c>
      <c r="J290" s="32">
        <v>2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9">
        <v>45413</v>
      </c>
      <c r="B291" s="1">
        <f t="shared" si="3"/>
        <v>2024</v>
      </c>
      <c r="C291" s="1">
        <f t="shared" si="4"/>
        <v>5</v>
      </c>
      <c r="D291" s="25" t="s">
        <v>93</v>
      </c>
      <c r="E291" s="6">
        <v>98</v>
      </c>
      <c r="F291" s="6">
        <v>58</v>
      </c>
      <c r="G291" s="34">
        <v>102537145.09999999</v>
      </c>
      <c r="H291" s="1">
        <v>24.48</v>
      </c>
      <c r="I291" s="1">
        <v>14.2</v>
      </c>
      <c r="J291" s="32">
        <v>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9">
        <v>45413</v>
      </c>
      <c r="B292" s="1">
        <f t="shared" si="3"/>
        <v>2024</v>
      </c>
      <c r="C292" s="1">
        <f t="shared" si="4"/>
        <v>5</v>
      </c>
      <c r="D292" s="25" t="s">
        <v>10</v>
      </c>
      <c r="E292" s="6">
        <v>17664</v>
      </c>
      <c r="F292" s="6">
        <v>11931</v>
      </c>
      <c r="G292" s="34">
        <v>21522149399</v>
      </c>
      <c r="H292" s="1">
        <v>23.4</v>
      </c>
      <c r="I292" s="1">
        <v>57.73</v>
      </c>
      <c r="J292" s="32">
        <v>3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9">
        <v>45413</v>
      </c>
      <c r="B293" s="1">
        <f t="shared" si="3"/>
        <v>2024</v>
      </c>
      <c r="C293" s="1">
        <f t="shared" si="4"/>
        <v>5</v>
      </c>
      <c r="D293" s="25" t="s">
        <v>9</v>
      </c>
      <c r="E293" s="6">
        <v>11035</v>
      </c>
      <c r="F293" s="6">
        <v>6923</v>
      </c>
      <c r="G293" s="34">
        <v>13315891938</v>
      </c>
      <c r="H293" s="1">
        <v>29.68</v>
      </c>
      <c r="I293" s="1">
        <v>78.599999999999994</v>
      </c>
      <c r="J293" s="32">
        <v>5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9">
        <v>45413</v>
      </c>
      <c r="B294" s="1">
        <f t="shared" si="3"/>
        <v>2024</v>
      </c>
      <c r="C294" s="1">
        <f t="shared" si="4"/>
        <v>5</v>
      </c>
      <c r="D294" s="25" t="s">
        <v>101</v>
      </c>
      <c r="E294" s="6">
        <v>1164</v>
      </c>
      <c r="F294" s="6">
        <v>830</v>
      </c>
      <c r="G294" s="30">
        <v>1441342599</v>
      </c>
      <c r="H294" s="1">
        <v>17.52</v>
      </c>
      <c r="I294" s="1">
        <v>33.590000000000003</v>
      </c>
      <c r="J294" s="32"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9">
        <v>45413</v>
      </c>
      <c r="B295" s="1">
        <f t="shared" si="3"/>
        <v>2024</v>
      </c>
      <c r="C295" s="1">
        <f t="shared" si="4"/>
        <v>5</v>
      </c>
      <c r="D295" s="25" t="s">
        <v>11</v>
      </c>
      <c r="E295" s="6">
        <v>7304</v>
      </c>
      <c r="F295" s="6">
        <v>4671</v>
      </c>
      <c r="G295" s="30">
        <v>8180121452</v>
      </c>
      <c r="H295" s="1">
        <v>26.74</v>
      </c>
      <c r="I295" s="1">
        <v>57.66</v>
      </c>
      <c r="J295" s="32">
        <v>2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9">
        <v>45413</v>
      </c>
      <c r="B296" s="1">
        <f t="shared" si="3"/>
        <v>2024</v>
      </c>
      <c r="C296" s="1">
        <f t="shared" si="4"/>
        <v>5</v>
      </c>
      <c r="D296" s="25" t="s">
        <v>91</v>
      </c>
      <c r="E296" s="6">
        <v>3577</v>
      </c>
      <c r="F296" s="6">
        <v>2294</v>
      </c>
      <c r="G296" s="30">
        <v>3958102769</v>
      </c>
      <c r="H296" s="1">
        <v>24.1</v>
      </c>
      <c r="I296" s="1">
        <v>64.81</v>
      </c>
      <c r="J296" s="32">
        <v>2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9">
        <v>45413</v>
      </c>
      <c r="B297" s="1">
        <f t="shared" si="3"/>
        <v>2024</v>
      </c>
      <c r="C297" s="1">
        <f t="shared" si="4"/>
        <v>5</v>
      </c>
      <c r="D297" s="25" t="s">
        <v>15</v>
      </c>
      <c r="E297" s="6">
        <v>1027</v>
      </c>
      <c r="F297" s="6">
        <v>709</v>
      </c>
      <c r="G297" s="30">
        <v>1329081750</v>
      </c>
      <c r="H297" s="1">
        <v>22.38</v>
      </c>
      <c r="I297" s="1">
        <v>49.27</v>
      </c>
      <c r="J297" s="32">
        <v>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9">
        <v>45413</v>
      </c>
      <c r="B298" s="1">
        <f t="shared" si="3"/>
        <v>2024</v>
      </c>
      <c r="C298" s="1">
        <f t="shared" si="4"/>
        <v>5</v>
      </c>
      <c r="D298" s="25" t="s">
        <v>84</v>
      </c>
      <c r="E298" s="6">
        <v>3175</v>
      </c>
      <c r="F298" s="6">
        <v>2134</v>
      </c>
      <c r="G298" s="30">
        <v>4133137617</v>
      </c>
      <c r="H298" s="1">
        <v>19.39</v>
      </c>
      <c r="I298" s="1">
        <v>35.43</v>
      </c>
      <c r="J298" s="32">
        <v>2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9">
        <v>45413</v>
      </c>
      <c r="B299" s="1">
        <f t="shared" si="3"/>
        <v>2024</v>
      </c>
      <c r="C299" s="1">
        <f t="shared" si="4"/>
        <v>5</v>
      </c>
      <c r="D299" s="25" t="s">
        <v>22</v>
      </c>
      <c r="E299" s="6">
        <v>18985</v>
      </c>
      <c r="F299" s="6">
        <v>12532</v>
      </c>
      <c r="G299" s="30">
        <v>23079105867</v>
      </c>
      <c r="H299" s="1">
        <v>23.56</v>
      </c>
      <c r="I299" s="1">
        <v>63.76</v>
      </c>
      <c r="J299" s="32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9">
        <v>45413</v>
      </c>
      <c r="B300" s="1">
        <f t="shared" si="3"/>
        <v>2024</v>
      </c>
      <c r="C300" s="1">
        <f t="shared" si="4"/>
        <v>5</v>
      </c>
      <c r="D300" s="25" t="s">
        <v>32</v>
      </c>
      <c r="E300" s="6">
        <v>1767</v>
      </c>
      <c r="F300" s="6">
        <v>1160</v>
      </c>
      <c r="G300" s="30">
        <v>2013005040</v>
      </c>
      <c r="H300" s="1">
        <v>17.13</v>
      </c>
      <c r="I300" s="1">
        <v>47.67</v>
      </c>
      <c r="J300" s="32">
        <v>2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9">
        <v>45413</v>
      </c>
      <c r="B301" s="1">
        <f t="shared" si="3"/>
        <v>2024</v>
      </c>
      <c r="C301" s="1">
        <f t="shared" si="4"/>
        <v>5</v>
      </c>
      <c r="D301" s="25" t="s">
        <v>12</v>
      </c>
      <c r="E301" s="6">
        <v>4466</v>
      </c>
      <c r="F301" s="1">
        <v>2973</v>
      </c>
      <c r="G301" s="30">
        <v>5730080224</v>
      </c>
      <c r="H301" s="1">
        <v>19.28</v>
      </c>
      <c r="I301" s="1">
        <v>39.33</v>
      </c>
      <c r="J301" s="32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9">
        <v>45413</v>
      </c>
      <c r="B302" s="1">
        <f t="shared" si="3"/>
        <v>2024</v>
      </c>
      <c r="C302" s="1">
        <f t="shared" si="4"/>
        <v>5</v>
      </c>
      <c r="D302" s="25" t="s">
        <v>19</v>
      </c>
      <c r="E302" s="1">
        <v>981</v>
      </c>
      <c r="F302" s="1">
        <v>695</v>
      </c>
      <c r="G302" s="30">
        <v>1212507551</v>
      </c>
      <c r="H302" s="1">
        <v>18.04</v>
      </c>
      <c r="I302" s="1">
        <v>39.22</v>
      </c>
      <c r="J302" s="32">
        <v>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9">
        <v>45413</v>
      </c>
      <c r="B303" s="1">
        <f t="shared" si="3"/>
        <v>2024</v>
      </c>
      <c r="C303" s="1">
        <f t="shared" si="4"/>
        <v>5</v>
      </c>
      <c r="D303" s="25" t="s">
        <v>28</v>
      </c>
      <c r="E303" s="1">
        <v>319</v>
      </c>
      <c r="F303" s="1">
        <v>248</v>
      </c>
      <c r="G303" s="30">
        <v>374293916.19999999</v>
      </c>
      <c r="H303" s="1">
        <v>19.059999999999999</v>
      </c>
      <c r="I303" s="1">
        <v>18.649999999999999</v>
      </c>
      <c r="J303" s="32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9">
        <v>45444</v>
      </c>
      <c r="B304" s="1">
        <f t="shared" si="3"/>
        <v>2024</v>
      </c>
      <c r="C304" s="1">
        <f t="shared" si="4"/>
        <v>6</v>
      </c>
      <c r="D304" s="25" t="s">
        <v>24</v>
      </c>
      <c r="E304" s="6">
        <v>325</v>
      </c>
      <c r="F304" s="6">
        <v>236</v>
      </c>
      <c r="G304" s="30">
        <v>437956775.39999998</v>
      </c>
      <c r="H304" s="1">
        <v>23.47</v>
      </c>
      <c r="I304" s="1">
        <v>16.53</v>
      </c>
      <c r="J304" s="32">
        <v>1.9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9">
        <v>45444</v>
      </c>
      <c r="B305" s="1">
        <f t="shared" si="3"/>
        <v>2024</v>
      </c>
      <c r="C305" s="1">
        <f t="shared" si="4"/>
        <v>6</v>
      </c>
      <c r="D305" s="25" t="s">
        <v>7</v>
      </c>
      <c r="E305" s="6">
        <v>1233</v>
      </c>
      <c r="F305" s="6">
        <v>792</v>
      </c>
      <c r="G305" s="30">
        <v>1480738040</v>
      </c>
      <c r="H305" s="1">
        <v>27.46</v>
      </c>
      <c r="I305" s="1">
        <v>60.85</v>
      </c>
      <c r="J305" s="32">
        <v>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9">
        <v>45444</v>
      </c>
      <c r="B306" s="1">
        <f t="shared" si="3"/>
        <v>2024</v>
      </c>
      <c r="C306" s="1">
        <f t="shared" si="4"/>
        <v>6</v>
      </c>
      <c r="D306" s="25" t="s">
        <v>75</v>
      </c>
      <c r="E306" s="6">
        <v>19006</v>
      </c>
      <c r="F306" s="6">
        <v>11791</v>
      </c>
      <c r="G306" s="30">
        <v>22901583678</v>
      </c>
      <c r="H306" s="1">
        <v>28.2</v>
      </c>
      <c r="I306" s="1">
        <v>78.47</v>
      </c>
      <c r="J306" s="32">
        <v>2.2000000000000002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9">
        <v>45444</v>
      </c>
      <c r="B307" s="1">
        <f t="shared" si="3"/>
        <v>2024</v>
      </c>
      <c r="C307" s="1">
        <f t="shared" si="4"/>
        <v>6</v>
      </c>
      <c r="D307" s="25" t="s">
        <v>79</v>
      </c>
      <c r="E307" s="6">
        <v>9296</v>
      </c>
      <c r="F307" s="6">
        <v>5920</v>
      </c>
      <c r="G307" s="30">
        <v>11043073720</v>
      </c>
      <c r="H307" s="1">
        <v>26.19</v>
      </c>
      <c r="I307" s="1">
        <v>61.63</v>
      </c>
      <c r="J307" s="32">
        <v>2.2000000000000002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9">
        <v>45444</v>
      </c>
      <c r="B308" s="1">
        <f t="shared" si="3"/>
        <v>2024</v>
      </c>
      <c r="C308" s="1">
        <f t="shared" si="4"/>
        <v>6</v>
      </c>
      <c r="D308" s="25" t="s">
        <v>8</v>
      </c>
      <c r="E308" s="6">
        <v>14594</v>
      </c>
      <c r="F308" s="6">
        <v>9809</v>
      </c>
      <c r="G308" s="30">
        <v>17182142532</v>
      </c>
      <c r="H308" s="1">
        <v>28.02</v>
      </c>
      <c r="I308" s="1">
        <v>55.58</v>
      </c>
      <c r="J308" s="32">
        <v>2.4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9">
        <v>45444</v>
      </c>
      <c r="B309" s="1">
        <f t="shared" si="3"/>
        <v>2024</v>
      </c>
      <c r="C309" s="1">
        <f t="shared" si="4"/>
        <v>6</v>
      </c>
      <c r="D309" s="25" t="s">
        <v>20</v>
      </c>
      <c r="E309" s="6">
        <v>1473</v>
      </c>
      <c r="F309" s="6">
        <v>983</v>
      </c>
      <c r="G309" s="30">
        <v>1747863094</v>
      </c>
      <c r="H309" s="1">
        <v>26.13</v>
      </c>
      <c r="I309" s="1">
        <v>59.14</v>
      </c>
      <c r="J309" s="32">
        <v>1.7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9">
        <v>45444</v>
      </c>
      <c r="B310" s="1">
        <f t="shared" si="3"/>
        <v>2024</v>
      </c>
      <c r="C310" s="1">
        <f t="shared" si="4"/>
        <v>6</v>
      </c>
      <c r="D310" s="25" t="s">
        <v>88</v>
      </c>
      <c r="E310" s="6">
        <v>3017</v>
      </c>
      <c r="F310" s="6">
        <v>2060</v>
      </c>
      <c r="G310" s="30">
        <v>4013336098</v>
      </c>
      <c r="H310" s="1">
        <v>18.16</v>
      </c>
      <c r="I310" s="1">
        <v>32.9</v>
      </c>
      <c r="J310" s="32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9">
        <v>45444</v>
      </c>
      <c r="B311" s="1">
        <f t="shared" si="3"/>
        <v>2024</v>
      </c>
      <c r="C311" s="1">
        <f t="shared" si="4"/>
        <v>6</v>
      </c>
      <c r="D311" s="25" t="s">
        <v>93</v>
      </c>
      <c r="E311" s="6">
        <v>381</v>
      </c>
      <c r="F311" s="6">
        <v>239</v>
      </c>
      <c r="G311" s="30">
        <v>467234754.60000002</v>
      </c>
      <c r="H311" s="1">
        <v>20.84</v>
      </c>
      <c r="I311" s="1">
        <v>14.1</v>
      </c>
      <c r="J311" s="32">
        <v>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9">
        <v>45444</v>
      </c>
      <c r="B312" s="1">
        <f t="shared" si="3"/>
        <v>2024</v>
      </c>
      <c r="C312" s="1">
        <f t="shared" si="4"/>
        <v>6</v>
      </c>
      <c r="D312" s="25" t="s">
        <v>10</v>
      </c>
      <c r="E312" s="6">
        <v>11716</v>
      </c>
      <c r="F312" s="6">
        <v>7980</v>
      </c>
      <c r="G312" s="30">
        <v>14169615406</v>
      </c>
      <c r="H312" s="1">
        <v>28.7</v>
      </c>
      <c r="I312" s="1">
        <v>58.58</v>
      </c>
      <c r="J312" s="32">
        <v>0.9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9">
        <v>45444</v>
      </c>
      <c r="B313" s="1">
        <f t="shared" si="3"/>
        <v>2024</v>
      </c>
      <c r="C313" s="1">
        <f t="shared" si="4"/>
        <v>6</v>
      </c>
      <c r="D313" s="25" t="s">
        <v>9</v>
      </c>
      <c r="E313" s="6">
        <v>15659</v>
      </c>
      <c r="F313" s="6">
        <v>9797</v>
      </c>
      <c r="G313" s="30">
        <v>18897424003</v>
      </c>
      <c r="H313" s="1">
        <v>27.23</v>
      </c>
      <c r="I313" s="1">
        <v>86.86</v>
      </c>
      <c r="J313" s="32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9">
        <v>45444</v>
      </c>
      <c r="B314" s="1">
        <f t="shared" si="3"/>
        <v>2024</v>
      </c>
      <c r="C314" s="1">
        <f t="shared" si="4"/>
        <v>6</v>
      </c>
      <c r="D314" s="25" t="s">
        <v>101</v>
      </c>
      <c r="E314" s="6">
        <v>1388</v>
      </c>
      <c r="F314" s="6">
        <v>942</v>
      </c>
      <c r="G314" s="30">
        <v>1654330617</v>
      </c>
      <c r="H314" s="1">
        <v>19.93</v>
      </c>
      <c r="I314" s="1">
        <v>45.2</v>
      </c>
      <c r="J314" s="32">
        <v>4.3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9">
        <v>45444</v>
      </c>
      <c r="B315" s="1">
        <f t="shared" si="3"/>
        <v>2024</v>
      </c>
      <c r="C315" s="1">
        <f t="shared" si="4"/>
        <v>6</v>
      </c>
      <c r="D315" s="25" t="s">
        <v>11</v>
      </c>
      <c r="E315" s="6">
        <v>2345</v>
      </c>
      <c r="F315" s="6">
        <v>1493</v>
      </c>
      <c r="G315" s="30">
        <v>2789972647</v>
      </c>
      <c r="H315" s="1">
        <v>26.45</v>
      </c>
      <c r="I315" s="1">
        <v>54.73</v>
      </c>
      <c r="J315" s="32">
        <v>8.1999999999999993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9">
        <v>45444</v>
      </c>
      <c r="B316" s="1">
        <f t="shared" si="3"/>
        <v>2024</v>
      </c>
      <c r="C316" s="1">
        <f t="shared" si="4"/>
        <v>6</v>
      </c>
      <c r="D316" s="25" t="s">
        <v>91</v>
      </c>
      <c r="E316" s="6">
        <v>4340</v>
      </c>
      <c r="F316" s="6">
        <v>2950</v>
      </c>
      <c r="G316" s="30">
        <v>5317579910</v>
      </c>
      <c r="H316" s="1">
        <v>21.32</v>
      </c>
      <c r="I316" s="1">
        <v>48.71</v>
      </c>
      <c r="J316" s="32">
        <v>8.5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9">
        <v>45444</v>
      </c>
      <c r="B317" s="1">
        <f t="shared" si="3"/>
        <v>2024</v>
      </c>
      <c r="C317" s="1">
        <f t="shared" si="4"/>
        <v>6</v>
      </c>
      <c r="D317" s="25" t="s">
        <v>15</v>
      </c>
      <c r="E317" s="6">
        <v>2596</v>
      </c>
      <c r="F317" s="6">
        <v>1742</v>
      </c>
      <c r="G317" s="30">
        <v>3227901756</v>
      </c>
      <c r="H317" s="1">
        <v>21.51</v>
      </c>
      <c r="I317" s="1">
        <v>37.33</v>
      </c>
      <c r="J317" s="32">
        <v>2.2000000000000002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9">
        <v>45444</v>
      </c>
      <c r="B318" s="1">
        <f t="shared" si="3"/>
        <v>2024</v>
      </c>
      <c r="C318" s="1">
        <f t="shared" si="4"/>
        <v>6</v>
      </c>
      <c r="D318" s="25" t="s">
        <v>84</v>
      </c>
      <c r="E318" s="6">
        <v>4208</v>
      </c>
      <c r="F318" s="6">
        <v>2843</v>
      </c>
      <c r="G318" s="30">
        <v>5617006624</v>
      </c>
      <c r="H318" s="1">
        <v>19.75</v>
      </c>
      <c r="I318" s="1">
        <v>36.619999999999997</v>
      </c>
      <c r="J318" s="32">
        <v>4.2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9">
        <v>45444</v>
      </c>
      <c r="B319" s="1">
        <f t="shared" si="3"/>
        <v>2024</v>
      </c>
      <c r="C319" s="1">
        <f t="shared" si="4"/>
        <v>6</v>
      </c>
      <c r="D319" s="25" t="s">
        <v>22</v>
      </c>
      <c r="E319" s="6">
        <v>16571</v>
      </c>
      <c r="F319" s="6">
        <v>10891</v>
      </c>
      <c r="G319" s="30">
        <v>20067424904</v>
      </c>
      <c r="H319" s="1">
        <v>26.44</v>
      </c>
      <c r="I319" s="1">
        <v>67.739999999999995</v>
      </c>
      <c r="J319" s="32">
        <v>8.5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9">
        <v>45444</v>
      </c>
      <c r="B320" s="1">
        <f t="shared" si="3"/>
        <v>2024</v>
      </c>
      <c r="C320" s="1">
        <f t="shared" si="4"/>
        <v>6</v>
      </c>
      <c r="D320" s="25" t="s">
        <v>32</v>
      </c>
      <c r="E320" s="6">
        <v>1619</v>
      </c>
      <c r="F320" s="6">
        <v>1092</v>
      </c>
      <c r="G320" s="30">
        <v>2012710744</v>
      </c>
      <c r="H320" s="1">
        <v>16.11</v>
      </c>
      <c r="I320" s="1">
        <v>32.450000000000003</v>
      </c>
      <c r="J320" s="32">
        <v>2.2000000000000002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>
      <c r="A321" s="9">
        <v>45444</v>
      </c>
      <c r="B321" s="1">
        <f t="shared" si="3"/>
        <v>2024</v>
      </c>
      <c r="C321" s="1">
        <f t="shared" si="4"/>
        <v>6</v>
      </c>
      <c r="D321" s="25" t="s">
        <v>12</v>
      </c>
      <c r="E321" s="6">
        <v>6371</v>
      </c>
      <c r="F321" s="6">
        <v>4083</v>
      </c>
      <c r="G321" s="30">
        <v>8024013168</v>
      </c>
      <c r="H321" s="1">
        <v>18.350000000000001</v>
      </c>
      <c r="I321" s="1">
        <v>40.69</v>
      </c>
      <c r="J321" s="32">
        <v>4.2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>
      <c r="A322" s="9">
        <v>45444</v>
      </c>
      <c r="B322" s="1">
        <f t="shared" si="3"/>
        <v>2024</v>
      </c>
      <c r="C322" s="1">
        <f t="shared" si="4"/>
        <v>6</v>
      </c>
      <c r="D322" s="25" t="s">
        <v>19</v>
      </c>
      <c r="E322" s="6">
        <v>2453</v>
      </c>
      <c r="F322" s="1">
        <v>1693</v>
      </c>
      <c r="G322" s="30">
        <v>2923328625</v>
      </c>
      <c r="H322" s="1">
        <v>18.8</v>
      </c>
      <c r="I322" s="1">
        <v>42.36</v>
      </c>
      <c r="J322" s="32">
        <v>0.66666666666667096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>
      <c r="A323" s="9">
        <v>45444</v>
      </c>
      <c r="B323" s="1">
        <f t="shared" si="3"/>
        <v>2024</v>
      </c>
      <c r="C323" s="1">
        <f t="shared" si="4"/>
        <v>6</v>
      </c>
      <c r="D323" s="25" t="s">
        <v>28</v>
      </c>
      <c r="E323" s="1">
        <v>109</v>
      </c>
      <c r="F323" s="1">
        <v>92</v>
      </c>
      <c r="G323" s="30">
        <v>141506354.30000001</v>
      </c>
      <c r="H323" s="1">
        <v>23.67</v>
      </c>
      <c r="I323" s="1">
        <v>22.43</v>
      </c>
      <c r="J323" s="32">
        <v>1.5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>
      <c r="A324" s="9">
        <v>45444</v>
      </c>
      <c r="B324" s="1">
        <f t="shared" si="3"/>
        <v>2024</v>
      </c>
      <c r="C324" s="1">
        <f t="shared" si="4"/>
        <v>6</v>
      </c>
      <c r="D324" s="25" t="s">
        <v>103</v>
      </c>
      <c r="E324" s="1">
        <v>1638</v>
      </c>
      <c r="F324" s="1">
        <v>851</v>
      </c>
      <c r="G324" s="1">
        <v>1657678972</v>
      </c>
      <c r="H324" s="1">
        <v>20.98</v>
      </c>
      <c r="I324" s="1">
        <v>39.1</v>
      </c>
      <c r="J324" s="32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>
      <c r="A325" s="9">
        <v>45474</v>
      </c>
      <c r="B325" s="1">
        <f t="shared" si="3"/>
        <v>2024</v>
      </c>
      <c r="C325" s="1">
        <f t="shared" si="4"/>
        <v>7</v>
      </c>
      <c r="D325" s="25" t="s">
        <v>24</v>
      </c>
      <c r="E325" s="178">
        <v>367</v>
      </c>
      <c r="F325" s="178">
        <v>284</v>
      </c>
      <c r="G325" s="28">
        <v>504297859</v>
      </c>
      <c r="H325" s="1">
        <v>20.23</v>
      </c>
      <c r="I325" s="1">
        <v>10.9</v>
      </c>
      <c r="J325" s="32">
        <v>0.9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9">
        <v>45475</v>
      </c>
      <c r="B326" s="1">
        <f t="shared" si="3"/>
        <v>2024</v>
      </c>
      <c r="C326" s="1">
        <f t="shared" si="4"/>
        <v>7</v>
      </c>
      <c r="D326" s="25" t="s">
        <v>28</v>
      </c>
      <c r="E326" s="178">
        <v>357</v>
      </c>
      <c r="F326" s="178">
        <v>212</v>
      </c>
      <c r="G326" s="28">
        <v>398464005</v>
      </c>
      <c r="H326" s="1">
        <v>16.27</v>
      </c>
      <c r="I326" s="1">
        <v>17.100000000000001</v>
      </c>
      <c r="J326" s="32">
        <v>1.5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9">
        <v>45476</v>
      </c>
      <c r="B327" s="1">
        <f t="shared" si="3"/>
        <v>2024</v>
      </c>
      <c r="C327" s="1">
        <f t="shared" si="4"/>
        <v>7</v>
      </c>
      <c r="D327" s="25" t="s">
        <v>7</v>
      </c>
      <c r="E327" s="178">
        <v>1936</v>
      </c>
      <c r="F327" s="178">
        <v>1192</v>
      </c>
      <c r="G327" s="28">
        <v>2429320974</v>
      </c>
      <c r="H327" s="1">
        <v>25.43</v>
      </c>
      <c r="I327" s="1">
        <v>42.73</v>
      </c>
      <c r="J327" s="32">
        <v>2.1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>
      <c r="A328" s="9">
        <v>45477</v>
      </c>
      <c r="B328" s="1">
        <f t="shared" si="3"/>
        <v>2024</v>
      </c>
      <c r="C328" s="1">
        <f t="shared" si="4"/>
        <v>7</v>
      </c>
      <c r="D328" s="25" t="s">
        <v>75</v>
      </c>
      <c r="E328" s="178">
        <v>22120</v>
      </c>
      <c r="F328" s="178">
        <v>13512</v>
      </c>
      <c r="G328" s="28">
        <v>26014082132</v>
      </c>
      <c r="H328" s="1">
        <v>26.91</v>
      </c>
      <c r="I328" s="1">
        <v>70.290000000000006</v>
      </c>
      <c r="J328" s="32">
        <v>2.7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>
      <c r="A329" s="9">
        <v>45478</v>
      </c>
      <c r="B329" s="1">
        <f t="shared" si="3"/>
        <v>2024</v>
      </c>
      <c r="C329" s="1">
        <f t="shared" si="4"/>
        <v>7</v>
      </c>
      <c r="D329" s="25" t="s">
        <v>79</v>
      </c>
      <c r="E329" s="178">
        <v>13705</v>
      </c>
      <c r="F329" s="178">
        <v>8588</v>
      </c>
      <c r="G329" s="28">
        <v>16417124288</v>
      </c>
      <c r="H329" s="1">
        <v>28.04</v>
      </c>
      <c r="I329" s="1">
        <v>71.430000000000007</v>
      </c>
      <c r="J329" s="32">
        <v>2.8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</row>
    <row r="330" spans="1:16">
      <c r="A330" s="9">
        <v>45479</v>
      </c>
      <c r="B330" s="1">
        <f t="shared" si="3"/>
        <v>2024</v>
      </c>
      <c r="C330" s="1">
        <f t="shared" si="4"/>
        <v>7</v>
      </c>
      <c r="D330" s="25" t="s">
        <v>8</v>
      </c>
      <c r="E330" s="178">
        <v>14405</v>
      </c>
      <c r="F330" s="178">
        <v>9143</v>
      </c>
      <c r="G330" s="28">
        <v>16635058640</v>
      </c>
      <c r="H330" s="1">
        <v>21.42</v>
      </c>
      <c r="I330" s="1">
        <v>42.88</v>
      </c>
      <c r="J330" s="32">
        <v>2.2000000000000002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</row>
    <row r="331" spans="1:16">
      <c r="A331" s="9">
        <v>45480</v>
      </c>
      <c r="B331" s="1">
        <f t="shared" si="3"/>
        <v>2024</v>
      </c>
      <c r="C331" s="1">
        <f t="shared" si="4"/>
        <v>7</v>
      </c>
      <c r="D331" s="25" t="s">
        <v>20</v>
      </c>
      <c r="E331" s="178">
        <v>2712</v>
      </c>
      <c r="F331" s="178">
        <v>2011</v>
      </c>
      <c r="G331" s="28">
        <v>3369054653</v>
      </c>
      <c r="H331" s="1">
        <v>24.77</v>
      </c>
      <c r="I331" s="1">
        <v>47.46</v>
      </c>
      <c r="J331" s="32">
        <v>2.1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>
      <c r="A332" s="9">
        <v>45481</v>
      </c>
      <c r="B332" s="1">
        <f t="shared" si="3"/>
        <v>2024</v>
      </c>
      <c r="C332" s="1">
        <f t="shared" si="4"/>
        <v>7</v>
      </c>
      <c r="D332" s="25" t="s">
        <v>88</v>
      </c>
      <c r="E332" s="178">
        <v>2343</v>
      </c>
      <c r="F332" s="178">
        <v>1643</v>
      </c>
      <c r="G332" s="28">
        <v>2995026903</v>
      </c>
      <c r="H332" s="1">
        <v>17</v>
      </c>
      <c r="I332" s="1">
        <v>34.020000000000003</v>
      </c>
      <c r="J332" s="32">
        <v>2.2000000000000002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>
      <c r="A333" s="9">
        <v>45482</v>
      </c>
      <c r="B333" s="1">
        <f t="shared" si="3"/>
        <v>2024</v>
      </c>
      <c r="C333" s="1">
        <f t="shared" si="4"/>
        <v>7</v>
      </c>
      <c r="D333" s="25" t="s">
        <v>93</v>
      </c>
      <c r="E333" s="178">
        <v>243</v>
      </c>
      <c r="F333" s="178">
        <v>145</v>
      </c>
      <c r="G333" s="28">
        <v>256269776</v>
      </c>
      <c r="H333" s="1">
        <v>14.49</v>
      </c>
      <c r="I333" s="1">
        <v>15.23</v>
      </c>
      <c r="J333" s="32">
        <v>1.2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>
      <c r="A334" s="9">
        <v>45483</v>
      </c>
      <c r="B334" s="1">
        <f t="shared" si="3"/>
        <v>2024</v>
      </c>
      <c r="C334" s="1">
        <f t="shared" si="4"/>
        <v>7</v>
      </c>
      <c r="D334" s="25" t="s">
        <v>10</v>
      </c>
      <c r="E334" s="178">
        <v>15614</v>
      </c>
      <c r="F334" s="178">
        <v>10565</v>
      </c>
      <c r="G334" s="28">
        <v>18852435321</v>
      </c>
      <c r="H334" s="1">
        <v>23.29</v>
      </c>
      <c r="I334" s="1">
        <v>52.83</v>
      </c>
      <c r="J334" s="32">
        <v>2.4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>
      <c r="A335" s="9">
        <v>45484</v>
      </c>
      <c r="B335" s="1">
        <f t="shared" si="3"/>
        <v>2024</v>
      </c>
      <c r="C335" s="1">
        <f t="shared" si="4"/>
        <v>7</v>
      </c>
      <c r="D335" s="25" t="s">
        <v>9</v>
      </c>
      <c r="E335" s="178">
        <v>20659</v>
      </c>
      <c r="F335" s="178">
        <v>12746</v>
      </c>
      <c r="G335" s="28">
        <v>24266673085</v>
      </c>
      <c r="H335" s="1">
        <v>28.52</v>
      </c>
      <c r="I335" s="1">
        <v>80.86</v>
      </c>
      <c r="J335" s="32">
        <v>2.9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9">
        <v>45485</v>
      </c>
      <c r="B336" s="1">
        <f t="shared" si="3"/>
        <v>2024</v>
      </c>
      <c r="C336" s="1">
        <f t="shared" si="4"/>
        <v>7</v>
      </c>
      <c r="D336" s="25" t="s">
        <v>101</v>
      </c>
      <c r="E336" s="178">
        <v>1695</v>
      </c>
      <c r="F336" s="178">
        <v>1220</v>
      </c>
      <c r="G336" s="28">
        <v>2083398676</v>
      </c>
      <c r="H336" s="1">
        <v>26.7</v>
      </c>
      <c r="I336" s="1">
        <v>54.61</v>
      </c>
      <c r="J336" s="32">
        <v>2.2000000000000002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9">
        <v>45486</v>
      </c>
      <c r="B337" s="1">
        <f t="shared" si="3"/>
        <v>2024</v>
      </c>
      <c r="C337" s="1">
        <f t="shared" si="4"/>
        <v>7</v>
      </c>
      <c r="D337" s="25" t="s">
        <v>11</v>
      </c>
      <c r="E337" s="178">
        <v>2463</v>
      </c>
      <c r="F337" s="178">
        <v>1550</v>
      </c>
      <c r="G337" s="28">
        <v>2996244853</v>
      </c>
      <c r="H337" s="1">
        <v>18.12</v>
      </c>
      <c r="I337" s="1">
        <v>35.08</v>
      </c>
      <c r="J337" s="32">
        <v>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9">
        <v>45487</v>
      </c>
      <c r="B338" s="1">
        <f t="shared" si="3"/>
        <v>2024</v>
      </c>
      <c r="C338" s="1">
        <f t="shared" si="4"/>
        <v>7</v>
      </c>
      <c r="D338" s="25" t="s">
        <v>91</v>
      </c>
      <c r="E338" s="178">
        <v>3124</v>
      </c>
      <c r="F338" s="178">
        <v>2023</v>
      </c>
      <c r="G338" s="28">
        <v>3725697787</v>
      </c>
      <c r="H338" s="1">
        <v>24.87</v>
      </c>
      <c r="I338" s="1">
        <v>62.01</v>
      </c>
      <c r="J338" s="32">
        <v>2.2999999999999998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9">
        <v>45488</v>
      </c>
      <c r="B339" s="1">
        <f t="shared" si="3"/>
        <v>2024</v>
      </c>
      <c r="C339" s="1">
        <f t="shared" si="4"/>
        <v>7</v>
      </c>
      <c r="D339" s="25" t="s">
        <v>84</v>
      </c>
      <c r="E339" s="178">
        <v>4018</v>
      </c>
      <c r="F339" s="178">
        <v>2655</v>
      </c>
      <c r="G339" s="28">
        <v>5163091785</v>
      </c>
      <c r="H339" s="1">
        <v>23.49</v>
      </c>
      <c r="I339" s="1">
        <v>43.16</v>
      </c>
      <c r="J339" s="32">
        <v>1.8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9">
        <v>45489</v>
      </c>
      <c r="B340" s="1">
        <f t="shared" si="3"/>
        <v>2024</v>
      </c>
      <c r="C340" s="1">
        <f t="shared" si="4"/>
        <v>7</v>
      </c>
      <c r="D340" s="25" t="s">
        <v>22</v>
      </c>
      <c r="E340" s="178">
        <v>19709</v>
      </c>
      <c r="F340" s="178">
        <v>13237</v>
      </c>
      <c r="G340" s="28">
        <v>21058925689</v>
      </c>
      <c r="H340" s="1">
        <v>25.09</v>
      </c>
      <c r="I340" s="1">
        <v>60.9</v>
      </c>
      <c r="J340" s="32">
        <v>2.5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9">
        <v>45490</v>
      </c>
      <c r="B341" s="1">
        <f t="shared" si="3"/>
        <v>2024</v>
      </c>
      <c r="C341" s="1">
        <f t="shared" si="4"/>
        <v>7</v>
      </c>
      <c r="D341" s="25" t="s">
        <v>32</v>
      </c>
      <c r="E341" s="178">
        <v>1976</v>
      </c>
      <c r="F341" s="178">
        <v>1319</v>
      </c>
      <c r="G341" s="28">
        <v>2326672803</v>
      </c>
      <c r="H341" s="1">
        <v>20.65</v>
      </c>
      <c r="I341" s="1">
        <v>52.19</v>
      </c>
      <c r="J341" s="32">
        <v>2.6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9">
        <v>45491</v>
      </c>
      <c r="B342" s="1">
        <f t="shared" si="3"/>
        <v>2024</v>
      </c>
      <c r="C342" s="1">
        <f t="shared" si="4"/>
        <v>7</v>
      </c>
      <c r="D342" s="25" t="s">
        <v>12</v>
      </c>
      <c r="E342" s="178">
        <v>4578</v>
      </c>
      <c r="F342" s="178">
        <v>2953</v>
      </c>
      <c r="G342" s="28">
        <v>5758162409</v>
      </c>
      <c r="H342" s="1">
        <v>20.78</v>
      </c>
      <c r="I342" s="1">
        <v>49.48</v>
      </c>
      <c r="J342" s="32">
        <v>2.5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9">
        <v>45505</v>
      </c>
      <c r="B343" s="1">
        <f t="shared" si="3"/>
        <v>2024</v>
      </c>
      <c r="C343" s="1">
        <f t="shared" si="4"/>
        <v>8</v>
      </c>
      <c r="D343" s="25" t="s">
        <v>24</v>
      </c>
      <c r="E343" s="1">
        <v>259</v>
      </c>
      <c r="F343" s="1">
        <v>191</v>
      </c>
      <c r="G343" s="28">
        <v>336643614</v>
      </c>
      <c r="H343" s="1">
        <v>20.16</v>
      </c>
      <c r="I343" s="1">
        <v>9.2200000000000006</v>
      </c>
      <c r="J343" s="32">
        <v>0.8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9">
        <v>45505</v>
      </c>
      <c r="B344" s="1">
        <f t="shared" si="3"/>
        <v>2024</v>
      </c>
      <c r="C344" s="1">
        <f t="shared" si="4"/>
        <v>8</v>
      </c>
      <c r="D344" s="25" t="s">
        <v>28</v>
      </c>
      <c r="E344" s="1">
        <v>208</v>
      </c>
      <c r="F344" s="1">
        <v>124</v>
      </c>
      <c r="G344" s="28">
        <v>214103594</v>
      </c>
      <c r="H344" s="1">
        <v>24.95</v>
      </c>
      <c r="I344" s="1">
        <v>20.22</v>
      </c>
      <c r="J344" s="32">
        <v>1.2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9">
        <v>45505</v>
      </c>
      <c r="B345" s="1">
        <f t="shared" si="3"/>
        <v>2024</v>
      </c>
      <c r="C345" s="1">
        <f t="shared" si="4"/>
        <v>8</v>
      </c>
      <c r="D345" s="25" t="s">
        <v>7</v>
      </c>
      <c r="E345" s="1">
        <v>912</v>
      </c>
      <c r="F345" s="1">
        <v>612</v>
      </c>
      <c r="G345" s="28">
        <v>1114611547</v>
      </c>
      <c r="H345" s="1">
        <v>23.18</v>
      </c>
      <c r="I345" s="1">
        <v>33.25</v>
      </c>
      <c r="J345" s="32">
        <v>2.5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9">
        <v>45505</v>
      </c>
      <c r="B346" s="1">
        <f t="shared" si="3"/>
        <v>2024</v>
      </c>
      <c r="C346" s="1">
        <f t="shared" si="4"/>
        <v>8</v>
      </c>
      <c r="D346" s="25" t="s">
        <v>75</v>
      </c>
      <c r="E346" s="1">
        <v>30992</v>
      </c>
      <c r="F346" s="1">
        <v>18234</v>
      </c>
      <c r="G346" s="28">
        <v>34465747933</v>
      </c>
      <c r="H346" s="1">
        <v>27.2</v>
      </c>
      <c r="I346" s="1">
        <v>65.33</v>
      </c>
      <c r="J346" s="35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9">
        <v>45505</v>
      </c>
      <c r="B347" s="1">
        <f t="shared" si="3"/>
        <v>2024</v>
      </c>
      <c r="C347" s="1">
        <f t="shared" si="4"/>
        <v>8</v>
      </c>
      <c r="D347" s="25" t="s">
        <v>79</v>
      </c>
      <c r="E347" s="1">
        <v>8427</v>
      </c>
      <c r="F347" s="1">
        <v>5638</v>
      </c>
      <c r="G347" s="28">
        <v>10054017681</v>
      </c>
      <c r="H347" s="1">
        <v>28.05</v>
      </c>
      <c r="I347" s="1">
        <v>73.92</v>
      </c>
      <c r="J347" s="32">
        <v>3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9">
        <v>45505</v>
      </c>
      <c r="B348" s="1">
        <f t="shared" si="3"/>
        <v>2024</v>
      </c>
      <c r="C348" s="1">
        <f t="shared" si="4"/>
        <v>8</v>
      </c>
      <c r="D348" s="25" t="s">
        <v>8</v>
      </c>
      <c r="E348" s="1">
        <v>15490</v>
      </c>
      <c r="F348" s="1">
        <v>10069</v>
      </c>
      <c r="G348" s="28">
        <v>18180654126</v>
      </c>
      <c r="H348" s="1">
        <v>23.4</v>
      </c>
      <c r="I348" s="1">
        <v>46.45</v>
      </c>
      <c r="J348" s="32">
        <v>2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9">
        <v>45505</v>
      </c>
      <c r="B349" s="1">
        <f t="shared" si="3"/>
        <v>2024</v>
      </c>
      <c r="C349" s="1">
        <f t="shared" si="4"/>
        <v>8</v>
      </c>
      <c r="D349" s="25" t="s">
        <v>20</v>
      </c>
      <c r="E349" s="1">
        <v>1180</v>
      </c>
      <c r="F349" s="1">
        <v>881</v>
      </c>
      <c r="G349" s="28">
        <v>1458243558</v>
      </c>
      <c r="H349" s="1">
        <v>21.2</v>
      </c>
      <c r="I349" s="1">
        <v>39.1</v>
      </c>
      <c r="J349" s="32">
        <v>2.1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9">
        <v>45505</v>
      </c>
      <c r="B350" s="1">
        <f t="shared" si="3"/>
        <v>2024</v>
      </c>
      <c r="C350" s="1">
        <f t="shared" si="4"/>
        <v>8</v>
      </c>
      <c r="D350" s="25" t="s">
        <v>88</v>
      </c>
      <c r="E350" s="1">
        <v>2342</v>
      </c>
      <c r="F350" s="1">
        <v>1668</v>
      </c>
      <c r="G350" s="28">
        <v>2903418544</v>
      </c>
      <c r="H350" s="1">
        <v>23.12</v>
      </c>
      <c r="I350" s="1">
        <v>39.450000000000003</v>
      </c>
      <c r="J350" s="32">
        <v>1.9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9">
        <v>45505</v>
      </c>
      <c r="B351" s="1">
        <f t="shared" si="3"/>
        <v>2024</v>
      </c>
      <c r="C351" s="1">
        <f t="shared" si="4"/>
        <v>8</v>
      </c>
      <c r="D351" s="25" t="s">
        <v>93</v>
      </c>
      <c r="E351" s="1">
        <v>481</v>
      </c>
      <c r="F351" s="1">
        <v>334</v>
      </c>
      <c r="G351" s="28">
        <v>510601671</v>
      </c>
      <c r="H351" s="1">
        <v>22.83</v>
      </c>
      <c r="I351" s="1">
        <v>23.28</v>
      </c>
      <c r="J351" s="32">
        <v>1.1000000000000001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9">
        <v>45505</v>
      </c>
      <c r="B352" s="1">
        <f t="shared" si="3"/>
        <v>2024</v>
      </c>
      <c r="C352" s="1">
        <f t="shared" si="4"/>
        <v>8</v>
      </c>
      <c r="D352" s="25" t="s">
        <v>10</v>
      </c>
      <c r="E352" s="1">
        <v>11596</v>
      </c>
      <c r="F352" s="1">
        <v>7898</v>
      </c>
      <c r="G352" s="28">
        <v>13419394404</v>
      </c>
      <c r="H352" s="1">
        <v>24.18</v>
      </c>
      <c r="I352" s="1">
        <v>50.11</v>
      </c>
      <c r="J352" s="32">
        <v>2.4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9">
        <v>45505</v>
      </c>
      <c r="B353" s="1">
        <f t="shared" si="3"/>
        <v>2024</v>
      </c>
      <c r="C353" s="1">
        <f t="shared" si="4"/>
        <v>8</v>
      </c>
      <c r="D353" s="25" t="s">
        <v>9</v>
      </c>
      <c r="E353" s="1">
        <v>19134</v>
      </c>
      <c r="F353" s="1">
        <v>12575</v>
      </c>
      <c r="G353" s="28">
        <v>22341035403</v>
      </c>
      <c r="H353" s="1">
        <v>31.09</v>
      </c>
      <c r="I353" s="1">
        <v>78.42</v>
      </c>
      <c r="J353" s="32">
        <v>2.7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9">
        <v>45505</v>
      </c>
      <c r="B354" s="1">
        <f t="shared" si="3"/>
        <v>2024</v>
      </c>
      <c r="C354" s="1">
        <f t="shared" si="4"/>
        <v>8</v>
      </c>
      <c r="D354" s="25" t="s">
        <v>101</v>
      </c>
      <c r="E354" s="1">
        <v>1265</v>
      </c>
      <c r="F354" s="1">
        <v>842</v>
      </c>
      <c r="G354" s="28">
        <v>1456374640</v>
      </c>
      <c r="H354" s="1">
        <v>21.78</v>
      </c>
      <c r="I354" s="1">
        <v>42.72</v>
      </c>
      <c r="J354" s="32">
        <v>2.2000000000000002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9">
        <v>45505</v>
      </c>
      <c r="B355" s="1">
        <f t="shared" si="3"/>
        <v>2024</v>
      </c>
      <c r="C355" s="1">
        <f t="shared" si="4"/>
        <v>8</v>
      </c>
      <c r="D355" s="25" t="s">
        <v>11</v>
      </c>
      <c r="E355" s="1">
        <v>4974</v>
      </c>
      <c r="F355" s="1">
        <v>3069</v>
      </c>
      <c r="G355" s="28">
        <v>5855193756</v>
      </c>
      <c r="H355" s="1">
        <v>20.95</v>
      </c>
      <c r="I355" s="1">
        <v>48.93</v>
      </c>
      <c r="J355" s="32">
        <v>2.2999999999999998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9">
        <v>45505</v>
      </c>
      <c r="B356" s="1">
        <f t="shared" si="3"/>
        <v>2024</v>
      </c>
      <c r="C356" s="1">
        <f t="shared" si="4"/>
        <v>8</v>
      </c>
      <c r="D356" s="25" t="s">
        <v>91</v>
      </c>
      <c r="E356" s="1">
        <v>3888</v>
      </c>
      <c r="F356" s="1">
        <v>2500</v>
      </c>
      <c r="G356" s="28">
        <v>4543708805</v>
      </c>
      <c r="H356" s="1">
        <v>25.57</v>
      </c>
      <c r="I356" s="1">
        <v>73.44</v>
      </c>
      <c r="J356" s="32">
        <v>2.2999999999999998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9">
        <v>45505</v>
      </c>
      <c r="B357" s="1">
        <f t="shared" si="3"/>
        <v>2024</v>
      </c>
      <c r="C357" s="1">
        <f t="shared" si="4"/>
        <v>8</v>
      </c>
      <c r="D357" s="25" t="s">
        <v>15</v>
      </c>
      <c r="E357" s="1">
        <v>894</v>
      </c>
      <c r="F357" s="1">
        <v>646</v>
      </c>
      <c r="G357" s="28">
        <v>1072188885</v>
      </c>
      <c r="H357" s="1">
        <v>19.32</v>
      </c>
      <c r="I357" s="1">
        <v>39.68</v>
      </c>
      <c r="J357" s="32">
        <v>2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9">
        <v>45505</v>
      </c>
      <c r="B358" s="1">
        <f t="shared" si="3"/>
        <v>2024</v>
      </c>
      <c r="C358" s="1">
        <f t="shared" si="4"/>
        <v>8</v>
      </c>
      <c r="D358" s="25" t="s">
        <v>84</v>
      </c>
      <c r="E358" s="1">
        <v>5452</v>
      </c>
      <c r="F358" s="1">
        <v>3592</v>
      </c>
      <c r="G358" s="28">
        <v>6667188437</v>
      </c>
      <c r="H358" s="1">
        <v>17</v>
      </c>
      <c r="I358" s="1">
        <v>34.68</v>
      </c>
      <c r="J358" s="32">
        <v>1.7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9">
        <v>45505</v>
      </c>
      <c r="B359" s="1">
        <f t="shared" si="3"/>
        <v>2024</v>
      </c>
      <c r="C359" s="1">
        <f t="shared" si="4"/>
        <v>8</v>
      </c>
      <c r="D359" s="25" t="s">
        <v>22</v>
      </c>
      <c r="E359" s="1">
        <v>19973</v>
      </c>
      <c r="F359" s="1">
        <v>13389</v>
      </c>
      <c r="G359" s="28">
        <v>24009868330</v>
      </c>
      <c r="H359" s="1">
        <v>23.62</v>
      </c>
      <c r="I359" s="1">
        <v>58.06</v>
      </c>
      <c r="J359" s="32">
        <v>2.6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9">
        <v>45505</v>
      </c>
      <c r="B360" s="1">
        <f t="shared" si="3"/>
        <v>2024</v>
      </c>
      <c r="C360" s="1">
        <f t="shared" si="4"/>
        <v>8</v>
      </c>
      <c r="D360" s="25" t="s">
        <v>32</v>
      </c>
      <c r="E360" s="1">
        <v>1426</v>
      </c>
      <c r="F360" s="1">
        <v>924</v>
      </c>
      <c r="G360" s="28">
        <v>1589458012</v>
      </c>
      <c r="H360" s="1">
        <v>17.77</v>
      </c>
      <c r="I360" s="1">
        <v>42.91</v>
      </c>
      <c r="J360" s="32">
        <v>2.2999999999999998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9">
        <v>45505</v>
      </c>
      <c r="B361" s="1">
        <f t="shared" si="3"/>
        <v>2024</v>
      </c>
      <c r="C361" s="1">
        <f t="shared" si="4"/>
        <v>8</v>
      </c>
      <c r="D361" s="25" t="s">
        <v>12</v>
      </c>
      <c r="E361" s="1">
        <v>6173</v>
      </c>
      <c r="F361" s="1">
        <v>4193</v>
      </c>
      <c r="G361" s="28">
        <v>7755517774</v>
      </c>
      <c r="H361" s="1">
        <v>21.56</v>
      </c>
      <c r="I361" s="1">
        <v>43.18</v>
      </c>
      <c r="J361" s="32">
        <v>2.2999999999999998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9">
        <v>45505</v>
      </c>
      <c r="B362" s="1">
        <f t="shared" si="3"/>
        <v>2024</v>
      </c>
      <c r="C362" s="1">
        <f t="shared" si="4"/>
        <v>8</v>
      </c>
      <c r="D362" s="25" t="s">
        <v>19</v>
      </c>
      <c r="E362" s="1">
        <v>958</v>
      </c>
      <c r="F362" s="1">
        <v>658</v>
      </c>
      <c r="G362" s="28">
        <v>1140330892</v>
      </c>
      <c r="H362" s="1">
        <v>19.260000000000002</v>
      </c>
      <c r="I362" s="1">
        <v>40.869999999999997</v>
      </c>
      <c r="J362" s="32">
        <v>2.4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9">
        <v>45536</v>
      </c>
      <c r="B363" s="1">
        <f t="shared" si="3"/>
        <v>2024</v>
      </c>
      <c r="C363" s="1">
        <v>9</v>
      </c>
      <c r="D363" s="25" t="s">
        <v>24</v>
      </c>
      <c r="E363" s="1">
        <v>625</v>
      </c>
      <c r="F363" s="1">
        <v>462</v>
      </c>
      <c r="G363" s="28">
        <v>665972828</v>
      </c>
      <c r="H363" s="1">
        <v>20.54</v>
      </c>
      <c r="I363" s="1">
        <v>12.59</v>
      </c>
      <c r="J363" s="32">
        <v>0.8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9">
        <v>45536</v>
      </c>
      <c r="B364" s="1">
        <f t="shared" si="3"/>
        <v>2024</v>
      </c>
      <c r="C364" s="1">
        <v>9</v>
      </c>
      <c r="D364" s="25" t="s">
        <v>7</v>
      </c>
      <c r="E364" s="1">
        <v>2403</v>
      </c>
      <c r="F364" s="1">
        <v>1519</v>
      </c>
      <c r="G364" s="28">
        <v>2861638942</v>
      </c>
      <c r="H364" s="1">
        <v>20.67</v>
      </c>
      <c r="I364" s="1">
        <v>36.97</v>
      </c>
      <c r="J364" s="32">
        <v>2.6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9">
        <v>45536</v>
      </c>
      <c r="B365" s="1">
        <f t="shared" si="3"/>
        <v>2024</v>
      </c>
      <c r="C365" s="1">
        <v>9</v>
      </c>
      <c r="D365" s="25" t="s">
        <v>75</v>
      </c>
      <c r="E365" s="1">
        <v>18852</v>
      </c>
      <c r="F365" s="1">
        <v>11411</v>
      </c>
      <c r="G365" s="28">
        <v>21162513321</v>
      </c>
      <c r="H365" s="1">
        <v>28.47</v>
      </c>
      <c r="I365" s="1">
        <v>73.53</v>
      </c>
      <c r="J365" s="32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9">
        <v>45536</v>
      </c>
      <c r="B366" s="1">
        <f t="shared" si="3"/>
        <v>2024</v>
      </c>
      <c r="C366" s="1">
        <v>9</v>
      </c>
      <c r="D366" s="25" t="s">
        <v>8</v>
      </c>
      <c r="E366" s="1">
        <v>16474</v>
      </c>
      <c r="F366" s="1">
        <v>10280</v>
      </c>
      <c r="G366" s="28">
        <v>18561466186</v>
      </c>
      <c r="H366" s="1">
        <v>24.69</v>
      </c>
      <c r="I366" s="1">
        <v>49.03</v>
      </c>
      <c r="J366" s="32">
        <v>2.2000000000000002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9">
        <v>45536</v>
      </c>
      <c r="B367" s="1">
        <f t="shared" si="3"/>
        <v>2024</v>
      </c>
      <c r="C367" s="1">
        <v>9</v>
      </c>
      <c r="D367" s="25" t="s">
        <v>20</v>
      </c>
      <c r="E367" s="1">
        <v>1368</v>
      </c>
      <c r="F367" s="1">
        <v>994</v>
      </c>
      <c r="G367" s="28">
        <v>1609744224</v>
      </c>
      <c r="H367" s="1">
        <v>23.37</v>
      </c>
      <c r="I367" s="1">
        <v>52.9</v>
      </c>
      <c r="J367" s="32">
        <v>2.4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9">
        <v>45536</v>
      </c>
      <c r="B368" s="1">
        <f t="shared" si="3"/>
        <v>2024</v>
      </c>
      <c r="C368" s="1">
        <v>9</v>
      </c>
      <c r="D368" s="25" t="s">
        <v>88</v>
      </c>
      <c r="E368" s="1">
        <v>2657</v>
      </c>
      <c r="F368" s="1">
        <v>1797</v>
      </c>
      <c r="G368" s="28">
        <v>3283409699</v>
      </c>
      <c r="H368" s="1">
        <v>21.74</v>
      </c>
      <c r="I368" s="1">
        <v>37.450000000000003</v>
      </c>
      <c r="J368" s="32">
        <v>1.9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9">
        <v>45536</v>
      </c>
      <c r="B369" s="1">
        <f t="shared" si="3"/>
        <v>2024</v>
      </c>
      <c r="C369" s="1">
        <v>9</v>
      </c>
      <c r="D369" s="25" t="s">
        <v>101</v>
      </c>
      <c r="E369" s="1">
        <v>1372</v>
      </c>
      <c r="F369" s="1">
        <v>867</v>
      </c>
      <c r="G369" s="28">
        <v>1544877019</v>
      </c>
      <c r="H369" s="1">
        <v>22.05</v>
      </c>
      <c r="I369" s="1">
        <v>54.57</v>
      </c>
      <c r="J369" s="32">
        <v>2.6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9">
        <v>45536</v>
      </c>
      <c r="B370" s="1">
        <f t="shared" si="3"/>
        <v>2024</v>
      </c>
      <c r="C370" s="1">
        <v>9</v>
      </c>
      <c r="D370" s="25" t="s">
        <v>11</v>
      </c>
      <c r="E370" s="1">
        <v>3026</v>
      </c>
      <c r="F370" s="1">
        <v>1908</v>
      </c>
      <c r="G370" s="28">
        <v>3508579410</v>
      </c>
      <c r="H370" s="1">
        <v>24.02</v>
      </c>
      <c r="I370" s="1">
        <v>45.76</v>
      </c>
      <c r="J370" s="32">
        <v>0.9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9">
        <v>45536</v>
      </c>
      <c r="B371" s="1">
        <f t="shared" si="3"/>
        <v>2024</v>
      </c>
      <c r="C371" s="1">
        <v>9</v>
      </c>
      <c r="D371" s="25" t="s">
        <v>15</v>
      </c>
      <c r="E371" s="1">
        <v>1042</v>
      </c>
      <c r="F371" s="1">
        <v>697</v>
      </c>
      <c r="G371" s="28">
        <v>1300284275</v>
      </c>
      <c r="H371" s="1">
        <v>20.059999999999999</v>
      </c>
      <c r="I371" s="1">
        <v>30.19</v>
      </c>
      <c r="J371" s="32">
        <v>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9">
        <v>45536</v>
      </c>
      <c r="B372" s="1">
        <f t="shared" si="3"/>
        <v>2024</v>
      </c>
      <c r="C372" s="1">
        <v>9</v>
      </c>
      <c r="D372" s="25" t="s">
        <v>84</v>
      </c>
      <c r="E372" s="1">
        <v>4125</v>
      </c>
      <c r="F372" s="1">
        <v>2668</v>
      </c>
      <c r="G372" s="28">
        <v>4995180741</v>
      </c>
      <c r="H372" s="1">
        <v>17.8</v>
      </c>
      <c r="I372" s="1">
        <v>32.53</v>
      </c>
      <c r="J372" s="32">
        <v>1.9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9">
        <v>45536</v>
      </c>
      <c r="B373" s="1">
        <f t="shared" si="3"/>
        <v>2024</v>
      </c>
      <c r="C373" s="1">
        <v>9</v>
      </c>
      <c r="D373" s="25" t="s">
        <v>32</v>
      </c>
      <c r="E373" s="1">
        <v>1129</v>
      </c>
      <c r="F373" s="1">
        <v>723</v>
      </c>
      <c r="G373" s="28">
        <v>1300211113</v>
      </c>
      <c r="H373" s="1">
        <v>18.29</v>
      </c>
      <c r="I373" s="1">
        <v>40.89</v>
      </c>
      <c r="J373" s="32">
        <v>2.4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9">
        <v>45536</v>
      </c>
      <c r="B374" s="1">
        <f t="shared" si="3"/>
        <v>2024</v>
      </c>
      <c r="C374" s="1">
        <v>9</v>
      </c>
      <c r="D374" s="25" t="s">
        <v>19</v>
      </c>
      <c r="E374" s="1">
        <v>2335</v>
      </c>
      <c r="F374" s="1">
        <v>1603</v>
      </c>
      <c r="G374" s="28">
        <v>2739440619</v>
      </c>
      <c r="H374" s="1">
        <v>20.76</v>
      </c>
      <c r="I374" s="1">
        <v>45.22</v>
      </c>
      <c r="J374" s="32">
        <v>2.4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9">
        <v>45536</v>
      </c>
      <c r="B375" s="1">
        <f t="shared" si="3"/>
        <v>2024</v>
      </c>
      <c r="C375" s="1">
        <v>9</v>
      </c>
      <c r="D375" s="25" t="s">
        <v>9</v>
      </c>
      <c r="E375" s="1">
        <v>25379</v>
      </c>
      <c r="F375" s="1">
        <v>16005</v>
      </c>
      <c r="G375" s="28">
        <v>29588269731</v>
      </c>
      <c r="H375" s="1">
        <v>28.05</v>
      </c>
      <c r="I375" s="1">
        <v>67.53</v>
      </c>
      <c r="J375" s="32">
        <v>2.4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9">
        <v>45536</v>
      </c>
      <c r="B376" s="1">
        <f t="shared" si="3"/>
        <v>2024</v>
      </c>
      <c r="C376" s="1">
        <v>9</v>
      </c>
      <c r="D376" s="25" t="s">
        <v>10</v>
      </c>
      <c r="E376" s="1">
        <v>10519</v>
      </c>
      <c r="F376" s="1">
        <v>6767</v>
      </c>
      <c r="G376" s="28">
        <v>12123887311</v>
      </c>
      <c r="H376" s="1">
        <v>22.32</v>
      </c>
      <c r="I376" s="1">
        <v>46.97</v>
      </c>
      <c r="J376" s="32">
        <v>2.5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9">
        <v>45536</v>
      </c>
      <c r="B377" s="1">
        <f t="shared" si="3"/>
        <v>2024</v>
      </c>
      <c r="C377" s="1">
        <v>9</v>
      </c>
      <c r="D377" s="25" t="s">
        <v>22</v>
      </c>
      <c r="E377" s="1">
        <v>19886</v>
      </c>
      <c r="F377" s="1">
        <v>13083</v>
      </c>
      <c r="G377" s="28">
        <v>23388138753</v>
      </c>
      <c r="H377" s="1">
        <v>22.62</v>
      </c>
      <c r="I377" s="1">
        <v>56.96</v>
      </c>
      <c r="J377" s="32">
        <v>2.6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9">
        <v>45536</v>
      </c>
      <c r="B378" s="1">
        <f t="shared" si="3"/>
        <v>2024</v>
      </c>
      <c r="C378" s="1">
        <v>9</v>
      </c>
      <c r="D378" s="25" t="s">
        <v>12</v>
      </c>
      <c r="E378" s="1">
        <v>4438</v>
      </c>
      <c r="F378" s="1">
        <v>2826</v>
      </c>
      <c r="G378" s="28">
        <v>5446516003</v>
      </c>
      <c r="H378" s="1">
        <v>19.98</v>
      </c>
      <c r="I378" s="1">
        <v>38.83</v>
      </c>
      <c r="J378" s="32">
        <v>2.1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9">
        <v>45536</v>
      </c>
      <c r="B379" s="1">
        <f t="shared" si="3"/>
        <v>2024</v>
      </c>
      <c r="C379" s="1">
        <v>9</v>
      </c>
      <c r="D379" s="25" t="s">
        <v>79</v>
      </c>
      <c r="E379" s="1">
        <v>9895</v>
      </c>
      <c r="F379" s="1">
        <v>6315</v>
      </c>
      <c r="G379" s="28">
        <v>11184733110</v>
      </c>
      <c r="H379" s="1">
        <v>30.25</v>
      </c>
      <c r="I379" s="1">
        <v>82.11</v>
      </c>
      <c r="J379" s="32">
        <v>2.6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9">
        <v>45536</v>
      </c>
      <c r="B380" s="1">
        <f t="shared" si="3"/>
        <v>2024</v>
      </c>
      <c r="C380" s="1">
        <v>9</v>
      </c>
      <c r="D380" s="25" t="s">
        <v>91</v>
      </c>
      <c r="E380" s="1">
        <v>4736</v>
      </c>
      <c r="F380" s="1">
        <v>3042</v>
      </c>
      <c r="G380" s="28">
        <v>5321159656</v>
      </c>
      <c r="H380" s="1">
        <v>26.14</v>
      </c>
      <c r="I380" s="1">
        <v>74.459999999999994</v>
      </c>
      <c r="J380" s="32">
        <v>3.2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9">
        <v>45536</v>
      </c>
      <c r="B381" s="1">
        <f t="shared" si="3"/>
        <v>2024</v>
      </c>
      <c r="C381" s="1">
        <v>9</v>
      </c>
      <c r="D381" s="25" t="s">
        <v>93</v>
      </c>
      <c r="E381" s="1">
        <v>349</v>
      </c>
      <c r="F381" s="1">
        <v>237</v>
      </c>
      <c r="G381" s="28">
        <v>344521585</v>
      </c>
      <c r="H381" s="1">
        <v>30.61</v>
      </c>
      <c r="I381" s="1">
        <v>33.29</v>
      </c>
      <c r="J381" s="32">
        <v>1.4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9">
        <v>45536</v>
      </c>
      <c r="B382" s="1">
        <f t="shared" si="3"/>
        <v>2024</v>
      </c>
      <c r="C382" s="1">
        <v>9</v>
      </c>
      <c r="D382" s="25" t="s">
        <v>28</v>
      </c>
      <c r="E382" s="1">
        <v>170</v>
      </c>
      <c r="F382" s="1">
        <v>115</v>
      </c>
      <c r="G382" s="28">
        <v>564073228</v>
      </c>
      <c r="H382" s="1">
        <v>22.22</v>
      </c>
      <c r="I382" s="1">
        <v>20.39</v>
      </c>
      <c r="J382" s="32">
        <v>1.4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9">
        <v>45566</v>
      </c>
      <c r="B383" s="1">
        <f t="shared" si="3"/>
        <v>2024</v>
      </c>
      <c r="C383" s="1">
        <v>10</v>
      </c>
      <c r="D383" s="25" t="s">
        <v>24</v>
      </c>
      <c r="E383" s="1">
        <v>437</v>
      </c>
      <c r="F383" s="1">
        <v>301</v>
      </c>
      <c r="G383" s="28">
        <v>164702920</v>
      </c>
      <c r="H383" s="36">
        <v>23.5</v>
      </c>
      <c r="I383" s="36">
        <v>14.9</v>
      </c>
      <c r="J383" s="32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9">
        <v>45566</v>
      </c>
      <c r="B384" s="1">
        <f t="shared" si="3"/>
        <v>2024</v>
      </c>
      <c r="C384" s="1">
        <v>10</v>
      </c>
      <c r="D384" s="25" t="s">
        <v>28</v>
      </c>
      <c r="E384" s="1">
        <v>152</v>
      </c>
      <c r="F384" s="1">
        <v>94</v>
      </c>
      <c r="G384" s="28">
        <v>1109740832</v>
      </c>
      <c r="H384" s="36">
        <v>27.89</v>
      </c>
      <c r="I384" s="37">
        <v>19</v>
      </c>
      <c r="J384" s="32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9">
        <v>45566</v>
      </c>
      <c r="B385" s="1">
        <f t="shared" si="3"/>
        <v>2024</v>
      </c>
      <c r="C385" s="1">
        <v>10</v>
      </c>
      <c r="D385" s="25" t="s">
        <v>7</v>
      </c>
      <c r="E385" s="1">
        <v>876</v>
      </c>
      <c r="F385" s="1">
        <v>589</v>
      </c>
      <c r="G385" s="28">
        <v>36141749926</v>
      </c>
      <c r="H385" s="36">
        <v>17.16</v>
      </c>
      <c r="I385" s="36">
        <v>31.89</v>
      </c>
      <c r="J385" s="1">
        <v>2.2000000000000002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9">
        <v>45566</v>
      </c>
      <c r="B386" s="1">
        <f t="shared" si="3"/>
        <v>2024</v>
      </c>
      <c r="C386" s="1">
        <v>10</v>
      </c>
      <c r="D386" s="25" t="s">
        <v>75</v>
      </c>
      <c r="E386" s="1">
        <v>30486</v>
      </c>
      <c r="F386" s="1">
        <v>18868</v>
      </c>
      <c r="G386" s="28">
        <v>11479067304</v>
      </c>
      <c r="H386" s="36">
        <v>29.19</v>
      </c>
      <c r="I386" s="36">
        <v>64.22</v>
      </c>
      <c r="J386" s="1">
        <v>2.2000000000000002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9">
        <v>45566</v>
      </c>
      <c r="B387" s="1">
        <f t="shared" si="3"/>
        <v>2024</v>
      </c>
      <c r="C387" s="1">
        <v>10</v>
      </c>
      <c r="D387" s="25" t="s">
        <v>79</v>
      </c>
      <c r="E387" s="1">
        <v>9734</v>
      </c>
      <c r="F387" s="1">
        <v>6343</v>
      </c>
      <c r="G387" s="28">
        <v>18890495468</v>
      </c>
      <c r="H387" s="36">
        <v>27.37</v>
      </c>
      <c r="I387" s="36">
        <v>69.36</v>
      </c>
      <c r="J387" s="1">
        <v>2.6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9">
        <v>45566</v>
      </c>
      <c r="B388" s="1">
        <f t="shared" si="3"/>
        <v>2024</v>
      </c>
      <c r="C388" s="1">
        <v>10</v>
      </c>
      <c r="D388" s="25" t="s">
        <v>8</v>
      </c>
      <c r="E388" s="1">
        <v>15908</v>
      </c>
      <c r="F388" s="1">
        <v>10080</v>
      </c>
      <c r="G388" s="28">
        <v>3551179084</v>
      </c>
      <c r="H388" s="36">
        <v>25.09</v>
      </c>
      <c r="I388" s="36">
        <v>47.73</v>
      </c>
      <c r="J388" s="29">
        <v>2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9">
        <v>45566</v>
      </c>
      <c r="B389" s="1">
        <f t="shared" si="3"/>
        <v>2024</v>
      </c>
      <c r="C389" s="1">
        <v>10</v>
      </c>
      <c r="D389" s="25" t="s">
        <v>20</v>
      </c>
      <c r="E389" s="1">
        <v>2990</v>
      </c>
      <c r="F389" s="1">
        <v>2100</v>
      </c>
      <c r="G389" s="28">
        <v>48093290</v>
      </c>
      <c r="H389" s="36">
        <v>26.79</v>
      </c>
      <c r="I389" s="36">
        <v>54.54</v>
      </c>
      <c r="J389" s="1">
        <v>2.2000000000000002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9">
        <v>45566</v>
      </c>
      <c r="B390" s="1">
        <f t="shared" si="3"/>
        <v>2024</v>
      </c>
      <c r="C390" s="1">
        <v>10</v>
      </c>
      <c r="D390" s="25" t="s">
        <v>88</v>
      </c>
      <c r="E390" s="1">
        <v>2152</v>
      </c>
      <c r="F390" s="1">
        <v>1593</v>
      </c>
      <c r="G390" s="28">
        <v>839640380</v>
      </c>
      <c r="H390" s="36">
        <v>19.420000000000002</v>
      </c>
      <c r="I390" s="36">
        <v>33.700000000000003</v>
      </c>
      <c r="J390" s="38">
        <v>45536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9">
        <v>45566</v>
      </c>
      <c r="B391" s="1">
        <f t="shared" si="3"/>
        <v>2024</v>
      </c>
      <c r="C391" s="1">
        <v>10</v>
      </c>
      <c r="D391" s="25" t="s">
        <v>93</v>
      </c>
      <c r="E391" s="1">
        <v>729</v>
      </c>
      <c r="F391" s="1">
        <v>537</v>
      </c>
      <c r="G391" s="28">
        <v>259250047</v>
      </c>
      <c r="H391" s="36">
        <v>20.25</v>
      </c>
      <c r="I391" s="36">
        <v>18.350000000000001</v>
      </c>
      <c r="J391" s="38">
        <v>45352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9">
        <v>45566</v>
      </c>
      <c r="B392" s="1">
        <f t="shared" si="3"/>
        <v>2024</v>
      </c>
      <c r="C392" s="1">
        <v>10</v>
      </c>
      <c r="D392" s="25" t="s">
        <v>10</v>
      </c>
      <c r="E392" s="1">
        <v>13196</v>
      </c>
      <c r="F392" s="1">
        <v>8453</v>
      </c>
      <c r="G392" s="28">
        <v>22468618258</v>
      </c>
      <c r="H392" s="36">
        <v>25.38</v>
      </c>
      <c r="I392" s="36">
        <v>55.57</v>
      </c>
      <c r="J392" s="1">
        <v>2.6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9">
        <v>45566</v>
      </c>
      <c r="B393" s="1">
        <f t="shared" si="3"/>
        <v>2024</v>
      </c>
      <c r="C393" s="1">
        <v>10</v>
      </c>
      <c r="D393" s="25" t="s">
        <v>9</v>
      </c>
      <c r="E393" s="1">
        <v>19171</v>
      </c>
      <c r="F393" s="1">
        <v>11801</v>
      </c>
      <c r="G393" s="28">
        <v>1681258088</v>
      </c>
      <c r="H393" s="36">
        <v>24.89</v>
      </c>
      <c r="I393" s="36">
        <v>71.47</v>
      </c>
      <c r="J393" s="1">
        <v>2.9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9">
        <v>45566</v>
      </c>
      <c r="B394" s="1">
        <f t="shared" si="3"/>
        <v>2024</v>
      </c>
      <c r="C394" s="1">
        <v>10</v>
      </c>
      <c r="D394" s="25" t="s">
        <v>101</v>
      </c>
      <c r="E394" s="1">
        <v>1414</v>
      </c>
      <c r="F394" s="1">
        <v>904</v>
      </c>
      <c r="G394" s="28">
        <v>3459577686</v>
      </c>
      <c r="H394" s="36">
        <v>19.93</v>
      </c>
      <c r="I394" s="36">
        <v>48.81</v>
      </c>
      <c r="J394" s="1">
        <v>2.6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9">
        <v>45566</v>
      </c>
      <c r="B395" s="1">
        <f t="shared" si="3"/>
        <v>2024</v>
      </c>
      <c r="C395" s="1">
        <v>10</v>
      </c>
      <c r="D395" s="25" t="s">
        <v>11</v>
      </c>
      <c r="E395" s="1">
        <v>2874</v>
      </c>
      <c r="F395" s="1">
        <v>1914</v>
      </c>
      <c r="G395" s="28">
        <v>3855313141</v>
      </c>
      <c r="H395" s="36">
        <v>25.83</v>
      </c>
      <c r="I395" s="36">
        <v>58.81</v>
      </c>
      <c r="J395" s="1">
        <v>2.7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9">
        <v>45566</v>
      </c>
      <c r="B396" s="1">
        <f t="shared" si="3"/>
        <v>2024</v>
      </c>
      <c r="C396" s="1">
        <v>10</v>
      </c>
      <c r="D396" s="25" t="s">
        <v>91</v>
      </c>
      <c r="E396" s="1">
        <v>3333</v>
      </c>
      <c r="F396" s="1">
        <v>2128</v>
      </c>
      <c r="G396" s="28">
        <v>1863253436</v>
      </c>
      <c r="H396" s="36">
        <v>23.22</v>
      </c>
      <c r="I396" s="36">
        <v>68.31</v>
      </c>
      <c r="J396" s="1">
        <v>2.9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9">
        <v>45566</v>
      </c>
      <c r="B397" s="1">
        <f t="shared" si="3"/>
        <v>2024</v>
      </c>
      <c r="C397" s="1">
        <v>10</v>
      </c>
      <c r="D397" s="25" t="s">
        <v>15</v>
      </c>
      <c r="E397" s="1">
        <v>1431</v>
      </c>
      <c r="F397" s="1">
        <v>1070</v>
      </c>
      <c r="G397" s="28">
        <v>5313282029</v>
      </c>
      <c r="H397" s="36">
        <v>29.6</v>
      </c>
      <c r="I397" s="36">
        <v>62.26</v>
      </c>
      <c r="J397" s="1">
        <v>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9">
        <v>45566</v>
      </c>
      <c r="B398" s="1">
        <f t="shared" si="3"/>
        <v>2024</v>
      </c>
      <c r="C398" s="1">
        <v>10</v>
      </c>
      <c r="D398" s="25" t="s">
        <v>84</v>
      </c>
      <c r="E398" s="1">
        <v>4175</v>
      </c>
      <c r="F398" s="1">
        <v>2831</v>
      </c>
      <c r="G398" s="28">
        <v>385967359</v>
      </c>
      <c r="H398" s="36">
        <v>19.649999999999999</v>
      </c>
      <c r="I398" s="36">
        <v>35.01</v>
      </c>
      <c r="J398" s="1">
        <v>1.9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9">
        <v>45566</v>
      </c>
      <c r="B399" s="1">
        <f t="shared" si="3"/>
        <v>2024</v>
      </c>
      <c r="C399" s="1">
        <v>10</v>
      </c>
      <c r="D399" s="25" t="s">
        <v>22</v>
      </c>
      <c r="E399" s="1">
        <v>20069</v>
      </c>
      <c r="F399" s="1">
        <v>13504</v>
      </c>
      <c r="G399" s="28">
        <v>1979038105</v>
      </c>
      <c r="H399" s="36">
        <v>27.42</v>
      </c>
      <c r="I399" s="36">
        <v>68.900000000000006</v>
      </c>
      <c r="J399" s="1">
        <v>2.5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9">
        <v>45566</v>
      </c>
      <c r="B400" s="1">
        <f t="shared" si="3"/>
        <v>2024</v>
      </c>
      <c r="C400" s="1">
        <v>10</v>
      </c>
      <c r="D400" s="25" t="s">
        <v>32</v>
      </c>
      <c r="E400" s="1">
        <v>1153</v>
      </c>
      <c r="F400" s="1">
        <v>753</v>
      </c>
      <c r="G400" s="28">
        <v>5702927283</v>
      </c>
      <c r="H400" s="36">
        <v>21.17</v>
      </c>
      <c r="I400" s="36">
        <v>32.130000000000003</v>
      </c>
      <c r="J400" s="1">
        <v>1.7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9">
        <v>45566</v>
      </c>
      <c r="B401" s="1">
        <f t="shared" si="3"/>
        <v>2024</v>
      </c>
      <c r="C401" s="1">
        <v>10</v>
      </c>
      <c r="D401" s="25" t="s">
        <v>12</v>
      </c>
      <c r="E401" s="1">
        <v>4462</v>
      </c>
      <c r="F401" s="1">
        <v>3049</v>
      </c>
      <c r="G401" s="28">
        <v>3168196385</v>
      </c>
      <c r="H401" s="36">
        <v>20.76</v>
      </c>
      <c r="I401" s="36">
        <v>42.44</v>
      </c>
      <c r="J401" s="1">
        <v>2.2000000000000002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9">
        <v>45566</v>
      </c>
      <c r="B402" s="1">
        <f t="shared" si="3"/>
        <v>2024</v>
      </c>
      <c r="C402" s="1">
        <v>10</v>
      </c>
      <c r="D402" s="25" t="s">
        <v>19</v>
      </c>
      <c r="E402" s="1">
        <v>2604</v>
      </c>
      <c r="F402" s="1">
        <v>1776</v>
      </c>
      <c r="G402" s="28">
        <v>177822692</v>
      </c>
      <c r="H402" s="36">
        <v>23.42</v>
      </c>
      <c r="I402" s="36">
        <v>49.34</v>
      </c>
      <c r="J402" s="1">
        <v>2.2000000000000002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9">
        <v>45597</v>
      </c>
      <c r="B403" s="1">
        <f t="shared" si="3"/>
        <v>2024</v>
      </c>
      <c r="C403" s="1">
        <v>11</v>
      </c>
      <c r="D403" s="25" t="s">
        <v>7</v>
      </c>
      <c r="E403" s="6">
        <v>2272</v>
      </c>
      <c r="F403" s="6">
        <v>1453</v>
      </c>
      <c r="G403" s="28">
        <v>2867784671</v>
      </c>
      <c r="H403" s="1">
        <v>192.16</v>
      </c>
      <c r="I403" s="1">
        <v>414.4</v>
      </c>
      <c r="J403" s="1">
        <v>2.5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9">
        <v>45597</v>
      </c>
      <c r="B404" s="1">
        <f t="shared" si="3"/>
        <v>2024</v>
      </c>
      <c r="C404" s="1">
        <v>11</v>
      </c>
      <c r="D404" s="25" t="s">
        <v>22</v>
      </c>
      <c r="E404" s="6">
        <v>22678</v>
      </c>
      <c r="F404" s="6">
        <v>15554</v>
      </c>
      <c r="G404" s="28">
        <v>28212388884</v>
      </c>
      <c r="H404" s="36">
        <v>169.56</v>
      </c>
      <c r="I404" s="36">
        <v>406.2</v>
      </c>
      <c r="J404" s="29">
        <v>2.4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</row>
    <row r="405" spans="1:16">
      <c r="A405" s="9">
        <v>45597</v>
      </c>
      <c r="B405" s="1">
        <f t="shared" si="3"/>
        <v>2024</v>
      </c>
      <c r="C405" s="1">
        <v>11</v>
      </c>
      <c r="D405" s="25" t="s">
        <v>9</v>
      </c>
      <c r="E405" s="6">
        <v>16834</v>
      </c>
      <c r="F405" s="6">
        <v>10410</v>
      </c>
      <c r="G405" s="28">
        <v>20548404401</v>
      </c>
      <c r="H405" s="36">
        <v>58.76</v>
      </c>
      <c r="I405" s="36">
        <v>151</v>
      </c>
      <c r="J405" s="1">
        <v>2.7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</row>
    <row r="406" spans="1:16">
      <c r="A406" s="9">
        <v>45597</v>
      </c>
      <c r="B406" s="1">
        <f t="shared" si="3"/>
        <v>2024</v>
      </c>
      <c r="C406" s="1">
        <v>11</v>
      </c>
      <c r="D406" s="25" t="s">
        <v>8</v>
      </c>
      <c r="E406" s="6">
        <v>15547</v>
      </c>
      <c r="F406" s="6">
        <v>9655</v>
      </c>
      <c r="G406" s="28">
        <v>18697785354</v>
      </c>
      <c r="H406" s="36">
        <v>204.4</v>
      </c>
      <c r="I406" s="36">
        <v>395.28</v>
      </c>
      <c r="J406" s="1">
        <v>2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</row>
    <row r="407" spans="1:16">
      <c r="A407" s="9">
        <v>45597</v>
      </c>
      <c r="B407" s="1">
        <f t="shared" si="3"/>
        <v>2024</v>
      </c>
      <c r="C407" s="1">
        <v>11</v>
      </c>
      <c r="D407" s="25" t="s">
        <v>10</v>
      </c>
      <c r="E407" s="6">
        <v>9743</v>
      </c>
      <c r="F407" s="6">
        <v>6757</v>
      </c>
      <c r="G407" s="28">
        <v>12270592696</v>
      </c>
      <c r="H407" s="1">
        <v>23.66</v>
      </c>
      <c r="I407" s="1">
        <v>52.76</v>
      </c>
      <c r="J407" s="29">
        <v>2.4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</row>
    <row r="408" spans="1:16">
      <c r="A408" s="9">
        <v>45597</v>
      </c>
      <c r="B408" s="1">
        <f t="shared" si="3"/>
        <v>2024</v>
      </c>
      <c r="C408" s="1">
        <v>11</v>
      </c>
      <c r="D408" s="25" t="s">
        <v>79</v>
      </c>
      <c r="E408" s="6">
        <v>7473</v>
      </c>
      <c r="F408" s="6">
        <v>5092</v>
      </c>
      <c r="G408" s="28">
        <v>9312075735</v>
      </c>
      <c r="H408" s="1">
        <v>163.05000000000001</v>
      </c>
      <c r="I408" s="1">
        <v>414.15</v>
      </c>
      <c r="J408" s="1">
        <v>2.6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9">
        <v>45597</v>
      </c>
      <c r="B409" s="1">
        <f t="shared" si="3"/>
        <v>2024</v>
      </c>
      <c r="C409" s="1">
        <v>11</v>
      </c>
      <c r="D409" s="25" t="s">
        <v>12</v>
      </c>
      <c r="E409" s="6">
        <v>5009</v>
      </c>
      <c r="F409" s="6">
        <v>3205</v>
      </c>
      <c r="G409" s="28">
        <v>6374740548</v>
      </c>
      <c r="H409" s="1">
        <v>18.739999999999998</v>
      </c>
      <c r="I409" s="1">
        <v>39</v>
      </c>
      <c r="J409" s="1">
        <v>2.2000000000000002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9">
        <v>45597</v>
      </c>
      <c r="B410" s="1">
        <f t="shared" si="3"/>
        <v>2024</v>
      </c>
      <c r="C410" s="1">
        <v>11</v>
      </c>
      <c r="D410" s="25" t="s">
        <v>84</v>
      </c>
      <c r="E410" s="6">
        <v>2477</v>
      </c>
      <c r="F410" s="6">
        <v>1544</v>
      </c>
      <c r="G410" s="28">
        <v>3319791463</v>
      </c>
      <c r="H410" s="1">
        <v>50.66</v>
      </c>
      <c r="I410" s="1">
        <v>79.52</v>
      </c>
      <c r="J410" s="1">
        <v>2.1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9">
        <v>45597</v>
      </c>
      <c r="B411" s="1">
        <f t="shared" si="3"/>
        <v>2024</v>
      </c>
      <c r="C411" s="1">
        <v>11</v>
      </c>
      <c r="D411" s="25" t="s">
        <v>91</v>
      </c>
      <c r="E411" s="6">
        <v>4280</v>
      </c>
      <c r="F411" s="6">
        <v>2824</v>
      </c>
      <c r="G411" s="28">
        <v>5197148108</v>
      </c>
      <c r="H411" s="1">
        <v>258.8</v>
      </c>
      <c r="I411" s="1">
        <v>552.6</v>
      </c>
      <c r="J411" s="1">
        <v>2.2999999999999998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9">
        <v>45597</v>
      </c>
      <c r="B412" s="1">
        <f t="shared" si="3"/>
        <v>2024</v>
      </c>
      <c r="C412" s="1">
        <v>11</v>
      </c>
      <c r="D412" s="25" t="s">
        <v>11</v>
      </c>
      <c r="E412" s="6">
        <v>2365</v>
      </c>
      <c r="F412" s="6">
        <v>1558</v>
      </c>
      <c r="G412" s="28">
        <v>2935521307</v>
      </c>
      <c r="H412" s="1">
        <v>216.9</v>
      </c>
      <c r="I412" s="1">
        <v>378.36</v>
      </c>
      <c r="J412" s="1">
        <v>1.6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</row>
    <row r="413" spans="1:16">
      <c r="A413" s="9">
        <v>45597</v>
      </c>
      <c r="B413" s="1">
        <f t="shared" si="3"/>
        <v>2024</v>
      </c>
      <c r="C413" s="1">
        <v>11</v>
      </c>
      <c r="D413" s="25" t="s">
        <v>88</v>
      </c>
      <c r="E413" s="6">
        <v>3374</v>
      </c>
      <c r="F413" s="6">
        <v>2344</v>
      </c>
      <c r="G413" s="28">
        <v>4264093474</v>
      </c>
      <c r="H413" s="1">
        <v>87.96</v>
      </c>
      <c r="I413" s="1">
        <v>173.52</v>
      </c>
      <c r="J413" s="1">
        <v>2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</row>
    <row r="414" spans="1:16">
      <c r="A414" s="9">
        <v>45597</v>
      </c>
      <c r="B414" s="1">
        <f t="shared" si="3"/>
        <v>2024</v>
      </c>
      <c r="C414" s="1">
        <v>11</v>
      </c>
      <c r="D414" s="25" t="s">
        <v>20</v>
      </c>
      <c r="E414" s="6">
        <v>1366</v>
      </c>
      <c r="F414" s="6">
        <v>989</v>
      </c>
      <c r="G414" s="28">
        <v>1719845407</v>
      </c>
      <c r="H414" s="1">
        <v>169</v>
      </c>
      <c r="I414" s="1">
        <v>306.05</v>
      </c>
      <c r="J414" s="1">
        <v>2.1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</row>
    <row r="415" spans="1:16">
      <c r="A415" s="9">
        <v>45597</v>
      </c>
      <c r="B415" s="1">
        <f t="shared" si="3"/>
        <v>2024</v>
      </c>
      <c r="C415" s="1">
        <v>11</v>
      </c>
      <c r="D415" s="25" t="s">
        <v>32</v>
      </c>
      <c r="E415" s="6">
        <v>1273</v>
      </c>
      <c r="F415" s="6">
        <v>847</v>
      </c>
      <c r="G415" s="28">
        <v>1653928245</v>
      </c>
      <c r="H415" s="1">
        <v>172.41</v>
      </c>
      <c r="I415" s="1">
        <v>338.24</v>
      </c>
      <c r="J415" s="1">
        <v>2.1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</row>
    <row r="416" spans="1:16">
      <c r="A416" s="9">
        <v>45597</v>
      </c>
      <c r="B416" s="1">
        <f t="shared" si="3"/>
        <v>2024</v>
      </c>
      <c r="C416" s="1">
        <v>11</v>
      </c>
      <c r="D416" s="25" t="s">
        <v>15</v>
      </c>
      <c r="E416" s="6">
        <v>2936</v>
      </c>
      <c r="F416" s="6">
        <v>1913</v>
      </c>
      <c r="G416" s="28">
        <v>3651793925</v>
      </c>
      <c r="H416" s="1">
        <v>213.44</v>
      </c>
      <c r="I416" s="1">
        <v>451.2</v>
      </c>
      <c r="J416" s="1">
        <v>2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</row>
    <row r="417" spans="1:16">
      <c r="A417" s="9">
        <v>45597</v>
      </c>
      <c r="B417" s="1">
        <f t="shared" si="3"/>
        <v>2024</v>
      </c>
      <c r="C417" s="1">
        <v>11</v>
      </c>
      <c r="D417" s="25" t="s">
        <v>101</v>
      </c>
      <c r="E417" s="6">
        <v>1102</v>
      </c>
      <c r="F417" s="6">
        <v>759</v>
      </c>
      <c r="G417" s="28">
        <v>1421078123</v>
      </c>
      <c r="H417" s="1">
        <v>132.93</v>
      </c>
      <c r="I417" s="1">
        <v>277.55</v>
      </c>
      <c r="J417" s="1">
        <v>2.2000000000000002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</row>
    <row r="418" spans="1:16">
      <c r="A418" s="9">
        <v>45597</v>
      </c>
      <c r="B418" s="1">
        <f t="shared" si="3"/>
        <v>2024</v>
      </c>
      <c r="C418" s="1">
        <v>11</v>
      </c>
      <c r="D418" s="25" t="s">
        <v>19</v>
      </c>
      <c r="E418" s="6">
        <v>1325</v>
      </c>
      <c r="F418" s="6">
        <v>928</v>
      </c>
      <c r="G418" s="28">
        <v>1633039806</v>
      </c>
      <c r="H418" s="1">
        <v>113.25</v>
      </c>
      <c r="I418" s="1">
        <v>247</v>
      </c>
      <c r="J418" s="1">
        <v>2.2000000000000002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</row>
    <row r="419" spans="1:16">
      <c r="A419" s="9">
        <v>45597</v>
      </c>
      <c r="B419" s="1">
        <f t="shared" si="3"/>
        <v>2024</v>
      </c>
      <c r="C419" s="1">
        <v>11</v>
      </c>
      <c r="D419" s="25" t="s">
        <v>24</v>
      </c>
      <c r="E419" s="6">
        <v>652</v>
      </c>
      <c r="F419" s="6">
        <v>437</v>
      </c>
      <c r="G419" s="28">
        <v>836807024</v>
      </c>
      <c r="H419" s="1">
        <v>50.66</v>
      </c>
      <c r="I419" s="1">
        <v>44.76</v>
      </c>
      <c r="J419" s="1">
        <v>0.9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</row>
    <row r="420" spans="1:16">
      <c r="A420" s="9">
        <v>45597</v>
      </c>
      <c r="B420" s="1">
        <f t="shared" si="3"/>
        <v>2024</v>
      </c>
      <c r="C420" s="1">
        <v>11</v>
      </c>
      <c r="D420" s="25" t="s">
        <v>93</v>
      </c>
      <c r="E420" s="6">
        <v>118</v>
      </c>
      <c r="F420" s="6">
        <v>85</v>
      </c>
      <c r="G420" s="28">
        <v>147652930</v>
      </c>
      <c r="H420" s="1">
        <v>57.58</v>
      </c>
      <c r="I420" s="1">
        <v>44.7</v>
      </c>
      <c r="J420" s="1">
        <v>1.3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</row>
    <row r="421" spans="1:16">
      <c r="A421" s="9">
        <v>45597</v>
      </c>
      <c r="B421" s="1">
        <f t="shared" si="3"/>
        <v>2024</v>
      </c>
      <c r="C421" s="1">
        <v>11</v>
      </c>
      <c r="D421" s="25" t="s">
        <v>28</v>
      </c>
      <c r="E421" s="6">
        <v>231</v>
      </c>
      <c r="F421" s="6">
        <v>155</v>
      </c>
      <c r="G421" s="28">
        <v>268927283</v>
      </c>
      <c r="H421" s="1">
        <v>47.8</v>
      </c>
      <c r="I421" s="1">
        <v>24.26</v>
      </c>
      <c r="J421" s="1">
        <v>0.8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</row>
    <row r="422" spans="1:16">
      <c r="A422" s="179">
        <v>45627</v>
      </c>
      <c r="B422" s="178">
        <f t="shared" ref="B422:B656" si="5">YEAR(A422)</f>
        <v>2024</v>
      </c>
      <c r="C422" s="178">
        <f t="shared" ref="C422:C629" si="6">MONTH(A422)</f>
        <v>12</v>
      </c>
      <c r="D422" s="39" t="s">
        <v>7</v>
      </c>
      <c r="E422" s="40">
        <v>288469</v>
      </c>
      <c r="F422" s="40">
        <v>178531</v>
      </c>
      <c r="G422" s="41">
        <v>340040467321</v>
      </c>
      <c r="H422" s="42">
        <v>25</v>
      </c>
      <c r="I422" s="42">
        <v>55</v>
      </c>
      <c r="J422" s="3">
        <v>2.4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79">
        <v>45628</v>
      </c>
      <c r="B423" s="178">
        <f t="shared" si="5"/>
        <v>2024</v>
      </c>
      <c r="C423" s="178">
        <f t="shared" si="6"/>
        <v>12</v>
      </c>
      <c r="D423" s="39" t="s">
        <v>22</v>
      </c>
      <c r="E423" s="40">
        <v>240569</v>
      </c>
      <c r="F423" s="40">
        <v>161359</v>
      </c>
      <c r="G423" s="41">
        <v>287071450311</v>
      </c>
      <c r="H423" s="42">
        <v>27</v>
      </c>
      <c r="I423" s="42">
        <v>64</v>
      </c>
      <c r="J423" s="3">
        <v>2.5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79">
        <v>45629</v>
      </c>
      <c r="B424" s="178">
        <f t="shared" si="5"/>
        <v>2024</v>
      </c>
      <c r="C424" s="178">
        <f t="shared" si="6"/>
        <v>12</v>
      </c>
      <c r="D424" s="39" t="s">
        <v>9</v>
      </c>
      <c r="E424" s="40">
        <v>211877</v>
      </c>
      <c r="F424" s="40">
        <v>132139</v>
      </c>
      <c r="G424" s="41">
        <v>251546902253</v>
      </c>
      <c r="H424" s="42">
        <v>28</v>
      </c>
      <c r="I424" s="42">
        <v>72</v>
      </c>
      <c r="J424" s="3">
        <v>2.6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79">
        <v>45630</v>
      </c>
      <c r="B425" s="178">
        <f t="shared" si="5"/>
        <v>2024</v>
      </c>
      <c r="C425" s="178">
        <f t="shared" si="6"/>
        <v>12</v>
      </c>
      <c r="D425" s="39" t="s">
        <v>8</v>
      </c>
      <c r="E425" s="40">
        <v>190024</v>
      </c>
      <c r="F425" s="40">
        <v>123568</v>
      </c>
      <c r="G425" s="41">
        <v>220053018582</v>
      </c>
      <c r="H425" s="42">
        <v>25</v>
      </c>
      <c r="I425" s="42">
        <v>49</v>
      </c>
      <c r="J425" s="3">
        <v>1.8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79">
        <v>45631</v>
      </c>
      <c r="B426" s="178">
        <f t="shared" si="5"/>
        <v>2024</v>
      </c>
      <c r="C426" s="178">
        <f t="shared" si="6"/>
        <v>12</v>
      </c>
      <c r="D426" s="39" t="s">
        <v>10</v>
      </c>
      <c r="E426" s="40">
        <v>140638</v>
      </c>
      <c r="F426" s="40">
        <v>93949</v>
      </c>
      <c r="G426" s="41">
        <v>168986165233</v>
      </c>
      <c r="H426" s="42">
        <v>24</v>
      </c>
      <c r="I426" s="42">
        <v>52</v>
      </c>
      <c r="J426" s="3">
        <v>2.2000000000000002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</row>
    <row r="427" spans="1:16">
      <c r="A427" s="179">
        <v>45632</v>
      </c>
      <c r="B427" s="178">
        <f t="shared" si="5"/>
        <v>2024</v>
      </c>
      <c r="C427" s="178">
        <f t="shared" si="6"/>
        <v>12</v>
      </c>
      <c r="D427" s="39" t="s">
        <v>79</v>
      </c>
      <c r="E427" s="40">
        <v>117799</v>
      </c>
      <c r="F427" s="40">
        <v>76829</v>
      </c>
      <c r="G427" s="41">
        <v>139626259541</v>
      </c>
      <c r="H427" s="42">
        <v>28</v>
      </c>
      <c r="I427" s="42">
        <v>72</v>
      </c>
      <c r="J427" s="3">
        <v>2.4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</row>
    <row r="428" spans="1:16">
      <c r="A428" s="179">
        <v>45633</v>
      </c>
      <c r="B428" s="178">
        <f t="shared" si="5"/>
        <v>2024</v>
      </c>
      <c r="C428" s="178">
        <f t="shared" si="6"/>
        <v>12</v>
      </c>
      <c r="D428" s="39" t="s">
        <v>12</v>
      </c>
      <c r="E428" s="40">
        <v>64063</v>
      </c>
      <c r="F428" s="40">
        <v>41766</v>
      </c>
      <c r="G428" s="41">
        <v>79314424243</v>
      </c>
      <c r="H428" s="42">
        <v>21</v>
      </c>
      <c r="I428" s="42">
        <v>44</v>
      </c>
      <c r="J428" s="3">
        <v>2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</row>
    <row r="429" spans="1:16">
      <c r="A429" s="179">
        <v>45634</v>
      </c>
      <c r="B429" s="178">
        <f t="shared" si="5"/>
        <v>2024</v>
      </c>
      <c r="C429" s="178">
        <f t="shared" si="6"/>
        <v>12</v>
      </c>
      <c r="D429" s="39" t="s">
        <v>84</v>
      </c>
      <c r="E429" s="40">
        <v>48443</v>
      </c>
      <c r="F429" s="40">
        <v>32005</v>
      </c>
      <c r="G429" s="41">
        <v>61491938158</v>
      </c>
      <c r="H429" s="42">
        <v>21</v>
      </c>
      <c r="I429" s="42">
        <v>37</v>
      </c>
      <c r="J429" s="3">
        <v>1.7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</row>
    <row r="430" spans="1:16">
      <c r="A430" s="179">
        <v>45635</v>
      </c>
      <c r="B430" s="178">
        <f t="shared" si="5"/>
        <v>2024</v>
      </c>
      <c r="C430" s="178">
        <f t="shared" si="6"/>
        <v>12</v>
      </c>
      <c r="D430" s="39" t="s">
        <v>91</v>
      </c>
      <c r="E430" s="40">
        <v>43840</v>
      </c>
      <c r="F430" s="40">
        <v>29111</v>
      </c>
      <c r="G430" s="41">
        <v>51541590944</v>
      </c>
      <c r="H430" s="42">
        <v>25</v>
      </c>
      <c r="I430" s="42">
        <v>60</v>
      </c>
      <c r="J430" s="3">
        <v>2.2999999999999998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79">
        <v>45636</v>
      </c>
      <c r="B431" s="178">
        <f t="shared" si="5"/>
        <v>2024</v>
      </c>
      <c r="C431" s="178">
        <f t="shared" si="6"/>
        <v>12</v>
      </c>
      <c r="D431" s="43" t="s">
        <v>11</v>
      </c>
      <c r="E431" s="40">
        <v>38906</v>
      </c>
      <c r="F431" s="40">
        <v>25158</v>
      </c>
      <c r="G431" s="41">
        <v>46017255364</v>
      </c>
      <c r="H431" s="42">
        <v>25</v>
      </c>
      <c r="I431" s="42">
        <v>50</v>
      </c>
      <c r="J431" s="3">
        <v>1.9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79">
        <v>45637</v>
      </c>
      <c r="B432" s="178">
        <f t="shared" si="5"/>
        <v>2024</v>
      </c>
      <c r="C432" s="178">
        <f t="shared" si="6"/>
        <v>12</v>
      </c>
      <c r="D432" s="39" t="s">
        <v>88</v>
      </c>
      <c r="E432" s="40">
        <v>31720</v>
      </c>
      <c r="F432" s="40">
        <v>22179</v>
      </c>
      <c r="G432" s="41">
        <v>39877022798</v>
      </c>
      <c r="H432" s="42">
        <v>22</v>
      </c>
      <c r="I432" s="42">
        <v>39</v>
      </c>
      <c r="J432" s="3">
        <v>1.8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79">
        <v>45638</v>
      </c>
      <c r="B433" s="178">
        <f t="shared" si="5"/>
        <v>2024</v>
      </c>
      <c r="C433" s="178">
        <f t="shared" si="6"/>
        <v>12</v>
      </c>
      <c r="D433" s="39" t="s">
        <v>20</v>
      </c>
      <c r="E433" s="40">
        <v>22138</v>
      </c>
      <c r="F433" s="40">
        <v>15955</v>
      </c>
      <c r="G433" s="41">
        <v>26827636295</v>
      </c>
      <c r="H433" s="42">
        <v>24</v>
      </c>
      <c r="I433" s="42">
        <v>48</v>
      </c>
      <c r="J433" s="3">
        <v>1.8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79">
        <v>45639</v>
      </c>
      <c r="B434" s="178">
        <f t="shared" si="5"/>
        <v>2024</v>
      </c>
      <c r="C434" s="178">
        <f t="shared" si="6"/>
        <v>12</v>
      </c>
      <c r="D434" s="43" t="s">
        <v>32</v>
      </c>
      <c r="E434" s="40">
        <v>16809</v>
      </c>
      <c r="F434" s="40">
        <v>11103</v>
      </c>
      <c r="G434" s="41">
        <v>20014969926</v>
      </c>
      <c r="H434" s="42">
        <v>19</v>
      </c>
      <c r="I434" s="42">
        <v>39</v>
      </c>
      <c r="J434" s="3">
        <v>1.7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79">
        <v>45640</v>
      </c>
      <c r="B435" s="178">
        <f t="shared" si="5"/>
        <v>2024</v>
      </c>
      <c r="C435" s="178">
        <f t="shared" si="6"/>
        <v>12</v>
      </c>
      <c r="D435" s="39" t="s">
        <v>15</v>
      </c>
      <c r="E435" s="40">
        <v>17499</v>
      </c>
      <c r="F435" s="40">
        <v>11975</v>
      </c>
      <c r="G435" s="41">
        <v>22187043129</v>
      </c>
      <c r="H435" s="42">
        <v>23</v>
      </c>
      <c r="I435" s="42">
        <v>41</v>
      </c>
      <c r="J435" s="3">
        <v>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79">
        <v>45641</v>
      </c>
      <c r="B436" s="178">
        <f t="shared" si="5"/>
        <v>2024</v>
      </c>
      <c r="C436" s="178">
        <f t="shared" si="6"/>
        <v>12</v>
      </c>
      <c r="D436" s="43" t="s">
        <v>101</v>
      </c>
      <c r="E436" s="40">
        <v>15106</v>
      </c>
      <c r="F436" s="40">
        <v>10109</v>
      </c>
      <c r="G436" s="41">
        <v>18115498981</v>
      </c>
      <c r="H436" s="42">
        <v>21</v>
      </c>
      <c r="I436" s="42">
        <v>43</v>
      </c>
      <c r="J436" s="3">
        <v>1.6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79">
        <v>45642</v>
      </c>
      <c r="B437" s="178">
        <f t="shared" si="5"/>
        <v>2024</v>
      </c>
      <c r="C437" s="178">
        <f t="shared" si="6"/>
        <v>12</v>
      </c>
      <c r="D437" s="39" t="s">
        <v>19</v>
      </c>
      <c r="E437" s="40">
        <v>13515</v>
      </c>
      <c r="F437" s="40">
        <v>9387</v>
      </c>
      <c r="G437" s="41">
        <v>16234276521</v>
      </c>
      <c r="H437" s="42">
        <v>20</v>
      </c>
      <c r="I437" s="42">
        <v>45</v>
      </c>
      <c r="J437" s="3">
        <v>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79">
        <v>45643</v>
      </c>
      <c r="B438" s="178">
        <f t="shared" si="5"/>
        <v>2024</v>
      </c>
      <c r="C438" s="178">
        <f t="shared" si="6"/>
        <v>12</v>
      </c>
      <c r="D438" s="39" t="s">
        <v>24</v>
      </c>
      <c r="E438" s="40">
        <v>5762</v>
      </c>
      <c r="F438" s="40">
        <v>3857</v>
      </c>
      <c r="G438" s="41">
        <v>7222094624</v>
      </c>
      <c r="H438" s="42">
        <v>23</v>
      </c>
      <c r="I438" s="42">
        <v>17</v>
      </c>
      <c r="J438" s="3">
        <v>0.7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79">
        <v>45644</v>
      </c>
      <c r="B439" s="178">
        <f t="shared" si="5"/>
        <v>2024</v>
      </c>
      <c r="C439" s="178">
        <f t="shared" si="6"/>
        <v>12</v>
      </c>
      <c r="D439" s="43" t="s">
        <v>93</v>
      </c>
      <c r="E439" s="40">
        <v>3868</v>
      </c>
      <c r="F439" s="40">
        <v>2619</v>
      </c>
      <c r="G439" s="41">
        <v>4288025039</v>
      </c>
      <c r="H439" s="42">
        <v>23</v>
      </c>
      <c r="I439" s="42">
        <v>21</v>
      </c>
      <c r="J439" s="3">
        <v>1.3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79">
        <v>45645</v>
      </c>
      <c r="B440" s="178">
        <f t="shared" si="5"/>
        <v>2024</v>
      </c>
      <c r="C440" s="178">
        <f t="shared" si="6"/>
        <v>12</v>
      </c>
      <c r="D440" s="43" t="s">
        <v>28</v>
      </c>
      <c r="E440" s="40">
        <v>2319</v>
      </c>
      <c r="F440" s="40">
        <v>1547</v>
      </c>
      <c r="G440" s="41">
        <v>2573938641</v>
      </c>
      <c r="H440" s="42">
        <v>22</v>
      </c>
      <c r="I440" s="42">
        <v>18</v>
      </c>
      <c r="J440" s="3">
        <v>1.4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79">
        <v>45646</v>
      </c>
      <c r="B441" s="178">
        <f t="shared" si="5"/>
        <v>2024</v>
      </c>
      <c r="C441" s="178">
        <f t="shared" si="6"/>
        <v>12</v>
      </c>
      <c r="D441" s="39" t="s">
        <v>102</v>
      </c>
      <c r="E441" s="42">
        <v>518</v>
      </c>
      <c r="F441" s="40">
        <v>453</v>
      </c>
      <c r="G441" s="41">
        <v>633194545</v>
      </c>
      <c r="H441" s="42">
        <v>58</v>
      </c>
      <c r="I441" s="42">
        <v>57</v>
      </c>
      <c r="J441" s="3">
        <v>1.1000000000000001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79">
        <v>45647</v>
      </c>
      <c r="B442" s="178">
        <f t="shared" si="5"/>
        <v>2024</v>
      </c>
      <c r="C442" s="178">
        <f t="shared" si="6"/>
        <v>12</v>
      </c>
      <c r="D442" s="43" t="s">
        <v>23</v>
      </c>
      <c r="E442" s="42">
        <v>0</v>
      </c>
      <c r="F442" s="42">
        <v>0</v>
      </c>
      <c r="G442" s="44">
        <v>0</v>
      </c>
      <c r="H442" s="42">
        <v>0</v>
      </c>
      <c r="I442" s="42">
        <v>0</v>
      </c>
      <c r="J442" s="3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79">
        <v>45648</v>
      </c>
      <c r="B443" s="178">
        <f t="shared" si="5"/>
        <v>2024</v>
      </c>
      <c r="C443" s="178">
        <f t="shared" si="6"/>
        <v>12</v>
      </c>
      <c r="D443" s="43" t="s">
        <v>104</v>
      </c>
      <c r="E443" s="42">
        <v>0</v>
      </c>
      <c r="F443" s="42">
        <v>0</v>
      </c>
      <c r="G443" s="44">
        <v>0</v>
      </c>
      <c r="H443" s="42">
        <v>0</v>
      </c>
      <c r="I443" s="42">
        <v>0</v>
      </c>
      <c r="J443" s="3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79">
        <v>45649</v>
      </c>
      <c r="B444" s="178">
        <f t="shared" si="5"/>
        <v>2024</v>
      </c>
      <c r="C444" s="178">
        <f t="shared" si="6"/>
        <v>12</v>
      </c>
      <c r="D444" s="43" t="s">
        <v>26</v>
      </c>
      <c r="E444" s="42">
        <v>0</v>
      </c>
      <c r="F444" s="42">
        <v>0</v>
      </c>
      <c r="G444" s="44">
        <v>0</v>
      </c>
      <c r="H444" s="42">
        <v>0</v>
      </c>
      <c r="I444" s="42">
        <v>0</v>
      </c>
      <c r="J444" s="3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79">
        <v>45650</v>
      </c>
      <c r="B445" s="178">
        <f t="shared" si="5"/>
        <v>2024</v>
      </c>
      <c r="C445" s="178">
        <f t="shared" si="6"/>
        <v>12</v>
      </c>
      <c r="D445" s="39" t="s">
        <v>30</v>
      </c>
      <c r="E445" s="42">
        <v>0</v>
      </c>
      <c r="F445" s="42">
        <v>0</v>
      </c>
      <c r="G445" s="44">
        <v>0</v>
      </c>
      <c r="H445" s="42">
        <v>0</v>
      </c>
      <c r="I445" s="42">
        <v>0</v>
      </c>
      <c r="J445" s="3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79">
        <v>45651</v>
      </c>
      <c r="B446" s="178">
        <f t="shared" si="5"/>
        <v>2024</v>
      </c>
      <c r="C446" s="178">
        <f t="shared" si="6"/>
        <v>12</v>
      </c>
      <c r="D446" s="39" t="s">
        <v>105</v>
      </c>
      <c r="E446" s="42">
        <v>0</v>
      </c>
      <c r="F446" s="42">
        <v>0</v>
      </c>
      <c r="G446" s="44">
        <v>0</v>
      </c>
      <c r="H446" s="42">
        <v>0</v>
      </c>
      <c r="I446" s="42">
        <v>0</v>
      </c>
      <c r="J446" s="3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79">
        <v>45652</v>
      </c>
      <c r="B447" s="178">
        <f t="shared" si="5"/>
        <v>2024</v>
      </c>
      <c r="C447" s="178">
        <f t="shared" si="6"/>
        <v>12</v>
      </c>
      <c r="D447" s="43" t="s">
        <v>106</v>
      </c>
      <c r="E447" s="42">
        <v>0</v>
      </c>
      <c r="F447" s="42">
        <v>0</v>
      </c>
      <c r="G447" s="44">
        <v>0</v>
      </c>
      <c r="H447" s="42">
        <v>0</v>
      </c>
      <c r="I447" s="42">
        <v>0</v>
      </c>
      <c r="J447" s="3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80">
        <v>45658</v>
      </c>
      <c r="B448" s="178">
        <f t="shared" si="5"/>
        <v>2025</v>
      </c>
      <c r="C448" s="178">
        <f t="shared" si="6"/>
        <v>1</v>
      </c>
      <c r="D448" s="45" t="s">
        <v>105</v>
      </c>
      <c r="E448" s="46">
        <v>0</v>
      </c>
      <c r="F448" s="46">
        <v>0</v>
      </c>
      <c r="G448" s="46">
        <v>0</v>
      </c>
      <c r="H448" s="46">
        <v>0</v>
      </c>
      <c r="I448" s="46">
        <v>0</v>
      </c>
      <c r="J448" s="46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</row>
    <row r="449" spans="1:16">
      <c r="A449" s="180">
        <v>45659</v>
      </c>
      <c r="B449" s="178">
        <f t="shared" si="5"/>
        <v>2025</v>
      </c>
      <c r="C449" s="178">
        <f t="shared" si="6"/>
        <v>1</v>
      </c>
      <c r="D449" s="45" t="s">
        <v>24</v>
      </c>
      <c r="E449" s="47">
        <v>437</v>
      </c>
      <c r="F449" s="47">
        <v>293</v>
      </c>
      <c r="G449" s="48">
        <v>610600926</v>
      </c>
      <c r="H449" s="49">
        <v>24</v>
      </c>
      <c r="I449" s="49">
        <v>10</v>
      </c>
      <c r="J449" s="49">
        <v>0.79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</row>
    <row r="450" spans="1:16">
      <c r="A450" s="180">
        <v>45660</v>
      </c>
      <c r="B450" s="178">
        <f t="shared" si="5"/>
        <v>2025</v>
      </c>
      <c r="C450" s="178">
        <f t="shared" si="6"/>
        <v>1</v>
      </c>
      <c r="D450" s="50" t="s">
        <v>28</v>
      </c>
      <c r="E450" s="47">
        <v>87</v>
      </c>
      <c r="F450" s="47">
        <v>83</v>
      </c>
      <c r="G450" s="48">
        <v>112103061</v>
      </c>
      <c r="H450" s="49">
        <v>27</v>
      </c>
      <c r="I450" s="49">
        <v>15</v>
      </c>
      <c r="J450" s="49">
        <v>0.85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</row>
    <row r="451" spans="1:16">
      <c r="A451" s="180">
        <v>45661</v>
      </c>
      <c r="B451" s="178">
        <f t="shared" si="5"/>
        <v>2025</v>
      </c>
      <c r="C451" s="178">
        <f t="shared" si="6"/>
        <v>1</v>
      </c>
      <c r="D451" s="45" t="s">
        <v>7</v>
      </c>
      <c r="E451" s="47">
        <v>24830</v>
      </c>
      <c r="F451" s="47">
        <v>14836</v>
      </c>
      <c r="G451" s="48">
        <v>30489971505</v>
      </c>
      <c r="H451" s="49">
        <v>24</v>
      </c>
      <c r="I451" s="49">
        <v>49</v>
      </c>
      <c r="J451" s="49">
        <v>2.2000000000000002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</row>
    <row r="452" spans="1:16">
      <c r="A452" s="180">
        <v>45662</v>
      </c>
      <c r="B452" s="178">
        <f t="shared" si="5"/>
        <v>2025</v>
      </c>
      <c r="C452" s="178">
        <f t="shared" si="6"/>
        <v>1</v>
      </c>
      <c r="D452" s="45" t="s">
        <v>79</v>
      </c>
      <c r="E452" s="47">
        <v>13059</v>
      </c>
      <c r="F452" s="47">
        <v>8181</v>
      </c>
      <c r="G452" s="48">
        <v>16224612528</v>
      </c>
      <c r="H452" s="49">
        <v>26</v>
      </c>
      <c r="I452" s="49">
        <v>67</v>
      </c>
      <c r="J452" s="49">
        <v>2.59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</row>
    <row r="453" spans="1:16">
      <c r="A453" s="180">
        <v>45663</v>
      </c>
      <c r="B453" s="178">
        <f t="shared" si="5"/>
        <v>2025</v>
      </c>
      <c r="C453" s="178">
        <f t="shared" si="6"/>
        <v>1</v>
      </c>
      <c r="D453" s="45" t="s">
        <v>8</v>
      </c>
      <c r="E453" s="47">
        <v>14121</v>
      </c>
      <c r="F453" s="47">
        <v>8984</v>
      </c>
      <c r="G453" s="48">
        <v>17909297274</v>
      </c>
      <c r="H453" s="49">
        <v>23</v>
      </c>
      <c r="I453" s="49">
        <v>38</v>
      </c>
      <c r="J453" s="49">
        <v>1.83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</row>
    <row r="454" spans="1:16">
      <c r="A454" s="180">
        <v>45664</v>
      </c>
      <c r="B454" s="178">
        <f t="shared" si="5"/>
        <v>2025</v>
      </c>
      <c r="C454" s="178">
        <f t="shared" si="6"/>
        <v>1</v>
      </c>
      <c r="D454" s="50" t="s">
        <v>106</v>
      </c>
      <c r="E454" s="46">
        <v>0</v>
      </c>
      <c r="F454" s="46">
        <v>0</v>
      </c>
      <c r="G454" s="46">
        <v>0</v>
      </c>
      <c r="H454" s="46">
        <v>0</v>
      </c>
      <c r="I454" s="46">
        <v>0</v>
      </c>
      <c r="J454" s="46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16">
      <c r="A455" s="180">
        <v>45665</v>
      </c>
      <c r="B455" s="178">
        <f t="shared" si="5"/>
        <v>2025</v>
      </c>
      <c r="C455" s="178">
        <f t="shared" si="6"/>
        <v>1</v>
      </c>
      <c r="D455" s="45" t="s">
        <v>20</v>
      </c>
      <c r="E455" s="47">
        <v>1146</v>
      </c>
      <c r="F455" s="47">
        <v>795</v>
      </c>
      <c r="G455" s="48">
        <v>1448309400</v>
      </c>
      <c r="H455" s="49">
        <v>34</v>
      </c>
      <c r="I455" s="49">
        <v>66</v>
      </c>
      <c r="J455" s="49">
        <v>2.19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</row>
    <row r="456" spans="1:16">
      <c r="A456" s="180">
        <v>45666</v>
      </c>
      <c r="B456" s="178">
        <f t="shared" si="5"/>
        <v>2025</v>
      </c>
      <c r="C456" s="178">
        <f t="shared" si="6"/>
        <v>1</v>
      </c>
      <c r="D456" s="45" t="s">
        <v>102</v>
      </c>
      <c r="E456" s="46">
        <v>0</v>
      </c>
      <c r="F456" s="46">
        <v>0</v>
      </c>
      <c r="G456" s="46">
        <v>0</v>
      </c>
      <c r="H456" s="46">
        <v>0</v>
      </c>
      <c r="I456" s="46">
        <v>0</v>
      </c>
      <c r="J456" s="46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</row>
    <row r="457" spans="1:16">
      <c r="A457" s="180">
        <v>45667</v>
      </c>
      <c r="B457" s="178">
        <f t="shared" si="5"/>
        <v>2025</v>
      </c>
      <c r="C457" s="178">
        <f t="shared" si="6"/>
        <v>1</v>
      </c>
      <c r="D457" s="50" t="s">
        <v>104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</row>
    <row r="458" spans="1:16">
      <c r="A458" s="180">
        <v>45668</v>
      </c>
      <c r="B458" s="178">
        <f t="shared" si="5"/>
        <v>2025</v>
      </c>
      <c r="C458" s="178">
        <f t="shared" si="6"/>
        <v>1</v>
      </c>
      <c r="D458" s="45" t="s">
        <v>88</v>
      </c>
      <c r="E458" s="47">
        <v>2672</v>
      </c>
      <c r="F458" s="47">
        <v>1752</v>
      </c>
      <c r="G458" s="48">
        <v>3475561893</v>
      </c>
      <c r="H458" s="49">
        <v>19</v>
      </c>
      <c r="I458" s="49">
        <v>32</v>
      </c>
      <c r="J458" s="49">
        <v>1.99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</row>
    <row r="459" spans="1:16">
      <c r="A459" s="180">
        <v>45669</v>
      </c>
      <c r="B459" s="178">
        <f t="shared" si="5"/>
        <v>2025</v>
      </c>
      <c r="C459" s="178">
        <f t="shared" si="6"/>
        <v>1</v>
      </c>
      <c r="D459" s="45" t="s">
        <v>30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</row>
    <row r="460" spans="1:16">
      <c r="A460" s="180">
        <v>45670</v>
      </c>
      <c r="B460" s="178">
        <f t="shared" si="5"/>
        <v>2025</v>
      </c>
      <c r="C460" s="178">
        <f t="shared" si="6"/>
        <v>1</v>
      </c>
      <c r="D460" s="50" t="s">
        <v>93</v>
      </c>
      <c r="E460" s="47">
        <v>285</v>
      </c>
      <c r="F460" s="47">
        <v>244</v>
      </c>
      <c r="G460" s="48">
        <v>345970913</v>
      </c>
      <c r="H460" s="49">
        <v>17</v>
      </c>
      <c r="I460" s="49">
        <v>18</v>
      </c>
      <c r="J460" s="49">
        <v>1.1499999999999999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</row>
    <row r="461" spans="1:16">
      <c r="A461" s="180">
        <v>45671</v>
      </c>
      <c r="B461" s="178">
        <f t="shared" si="5"/>
        <v>2025</v>
      </c>
      <c r="C461" s="178">
        <f t="shared" si="6"/>
        <v>1</v>
      </c>
      <c r="D461" s="45" t="s">
        <v>10</v>
      </c>
      <c r="E461" s="47">
        <v>7862</v>
      </c>
      <c r="F461" s="47">
        <v>4942</v>
      </c>
      <c r="G461" s="48">
        <v>9886120752</v>
      </c>
      <c r="H461" s="49">
        <v>24</v>
      </c>
      <c r="I461" s="49">
        <v>47</v>
      </c>
      <c r="J461" s="49">
        <v>2.09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80">
        <v>45672</v>
      </c>
      <c r="B462" s="178">
        <f t="shared" si="5"/>
        <v>2025</v>
      </c>
      <c r="C462" s="178">
        <f t="shared" si="6"/>
        <v>1</v>
      </c>
      <c r="D462" s="45" t="s">
        <v>9</v>
      </c>
      <c r="E462" s="47">
        <v>13403</v>
      </c>
      <c r="F462" s="47">
        <v>8199</v>
      </c>
      <c r="G462" s="48">
        <v>16872604065</v>
      </c>
      <c r="H462" s="49">
        <v>25</v>
      </c>
      <c r="I462" s="49">
        <v>68</v>
      </c>
      <c r="J462" s="49">
        <v>2.71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80">
        <v>45673</v>
      </c>
      <c r="B463" s="178">
        <f t="shared" si="5"/>
        <v>2025</v>
      </c>
      <c r="C463" s="178">
        <f t="shared" si="6"/>
        <v>1</v>
      </c>
      <c r="D463" s="50" t="s">
        <v>101</v>
      </c>
      <c r="E463" s="47">
        <v>1237</v>
      </c>
      <c r="F463" s="47">
        <v>793</v>
      </c>
      <c r="G463" s="48">
        <v>1516139195</v>
      </c>
      <c r="H463" s="49">
        <v>25</v>
      </c>
      <c r="I463" s="49">
        <v>58</v>
      </c>
      <c r="J463" s="49">
        <v>2.5499999999999998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80">
        <v>45674</v>
      </c>
      <c r="B464" s="178">
        <f t="shared" si="5"/>
        <v>2025</v>
      </c>
      <c r="C464" s="178">
        <f t="shared" si="6"/>
        <v>1</v>
      </c>
      <c r="D464" s="50" t="s">
        <v>11</v>
      </c>
      <c r="E464" s="47">
        <v>2198</v>
      </c>
      <c r="F464" s="47">
        <v>1399</v>
      </c>
      <c r="G464" s="48">
        <v>2785069457</v>
      </c>
      <c r="H464" s="49">
        <v>22</v>
      </c>
      <c r="I464" s="49">
        <v>39</v>
      </c>
      <c r="J464" s="49">
        <v>1.81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80">
        <v>45675</v>
      </c>
      <c r="B465" s="178">
        <f t="shared" si="5"/>
        <v>2025</v>
      </c>
      <c r="C465" s="178">
        <f t="shared" si="6"/>
        <v>1</v>
      </c>
      <c r="D465" s="45" t="s">
        <v>91</v>
      </c>
      <c r="E465" s="47">
        <v>2710</v>
      </c>
      <c r="F465" s="47">
        <v>1708</v>
      </c>
      <c r="G465" s="48">
        <v>3456437276</v>
      </c>
      <c r="H465" s="49">
        <v>18</v>
      </c>
      <c r="I465" s="49">
        <v>55</v>
      </c>
      <c r="J465" s="49">
        <v>2.59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80">
        <v>45676</v>
      </c>
      <c r="B466" s="178">
        <f t="shared" si="5"/>
        <v>2025</v>
      </c>
      <c r="C466" s="178">
        <f t="shared" si="6"/>
        <v>1</v>
      </c>
      <c r="D466" s="50" t="s">
        <v>23</v>
      </c>
      <c r="E466" s="46">
        <v>0</v>
      </c>
      <c r="F466" s="46">
        <v>0</v>
      </c>
      <c r="G466" s="46">
        <v>0</v>
      </c>
      <c r="H466" s="46">
        <v>0</v>
      </c>
      <c r="I466" s="46">
        <v>0</v>
      </c>
      <c r="J466" s="46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80">
        <v>45677</v>
      </c>
      <c r="B467" s="178">
        <f t="shared" si="5"/>
        <v>2025</v>
      </c>
      <c r="C467" s="178">
        <f t="shared" si="6"/>
        <v>1</v>
      </c>
      <c r="D467" s="45" t="s">
        <v>15</v>
      </c>
      <c r="E467" s="47">
        <v>1257</v>
      </c>
      <c r="F467" s="49">
        <v>740</v>
      </c>
      <c r="G467" s="51">
        <v>1597745063</v>
      </c>
      <c r="H467" s="49">
        <v>14</v>
      </c>
      <c r="I467" s="49">
        <v>26</v>
      </c>
      <c r="J467" s="49">
        <v>1.79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>
      <c r="A468" s="180">
        <v>45678</v>
      </c>
      <c r="B468" s="178">
        <f t="shared" si="5"/>
        <v>2025</v>
      </c>
      <c r="C468" s="178">
        <f t="shared" si="6"/>
        <v>1</v>
      </c>
      <c r="D468" s="45" t="s">
        <v>84</v>
      </c>
      <c r="E468" s="47">
        <v>3938</v>
      </c>
      <c r="F468" s="47">
        <v>2549</v>
      </c>
      <c r="G468" s="51">
        <v>5144377744</v>
      </c>
      <c r="H468" s="49">
        <v>28</v>
      </c>
      <c r="I468" s="49">
        <v>38</v>
      </c>
      <c r="J468" s="49">
        <v>1.7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>
      <c r="A469" s="180">
        <v>45679</v>
      </c>
      <c r="B469" s="178">
        <f t="shared" si="5"/>
        <v>2025</v>
      </c>
      <c r="C469" s="178">
        <f t="shared" si="6"/>
        <v>1</v>
      </c>
      <c r="D469" s="45" t="s">
        <v>22</v>
      </c>
      <c r="E469" s="47">
        <v>16612</v>
      </c>
      <c r="F469" s="47">
        <v>11112</v>
      </c>
      <c r="G469" s="51">
        <v>21124299391</v>
      </c>
      <c r="H469" s="49">
        <v>29</v>
      </c>
      <c r="I469" s="49">
        <v>63</v>
      </c>
      <c r="J469" s="49">
        <v>2.29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</row>
    <row r="470" spans="1:16">
      <c r="A470" s="180">
        <v>45680</v>
      </c>
      <c r="B470" s="178">
        <f t="shared" si="5"/>
        <v>2025</v>
      </c>
      <c r="C470" s="178">
        <f t="shared" si="6"/>
        <v>1</v>
      </c>
      <c r="D470" s="50" t="s">
        <v>32</v>
      </c>
      <c r="E470" s="49">
        <v>889</v>
      </c>
      <c r="F470" s="49">
        <v>566</v>
      </c>
      <c r="G470" s="51">
        <v>1111047323</v>
      </c>
      <c r="H470" s="49">
        <v>21</v>
      </c>
      <c r="I470" s="49">
        <v>31</v>
      </c>
      <c r="J470" s="49">
        <v>1.64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</row>
    <row r="471" spans="1:16">
      <c r="A471" s="180">
        <v>45681</v>
      </c>
      <c r="B471" s="178">
        <f t="shared" si="5"/>
        <v>2025</v>
      </c>
      <c r="C471" s="178">
        <f t="shared" si="6"/>
        <v>1</v>
      </c>
      <c r="D471" s="45" t="s">
        <v>12</v>
      </c>
      <c r="E471" s="47">
        <v>6100</v>
      </c>
      <c r="F471" s="47">
        <v>3858</v>
      </c>
      <c r="G471" s="51">
        <v>8109484957</v>
      </c>
      <c r="H471" s="49">
        <v>22</v>
      </c>
      <c r="I471" s="49">
        <v>34</v>
      </c>
      <c r="J471" s="49">
        <v>1.87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</row>
    <row r="472" spans="1:16">
      <c r="A472" s="180">
        <v>45682</v>
      </c>
      <c r="B472" s="178">
        <f t="shared" si="5"/>
        <v>2025</v>
      </c>
      <c r="C472" s="178">
        <f t="shared" si="6"/>
        <v>1</v>
      </c>
      <c r="D472" s="50" t="s">
        <v>26</v>
      </c>
      <c r="E472" s="46">
        <v>0</v>
      </c>
      <c r="F472" s="46">
        <v>0</v>
      </c>
      <c r="G472" s="46">
        <v>0</v>
      </c>
      <c r="H472" s="46">
        <v>0</v>
      </c>
      <c r="I472" s="46">
        <v>0</v>
      </c>
      <c r="J472" s="46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</row>
    <row r="473" spans="1:16">
      <c r="A473" s="180">
        <v>45683</v>
      </c>
      <c r="B473" s="178">
        <f t="shared" si="5"/>
        <v>2025</v>
      </c>
      <c r="C473" s="178">
        <f t="shared" si="6"/>
        <v>1</v>
      </c>
      <c r="D473" s="45" t="s">
        <v>19</v>
      </c>
      <c r="E473" s="47">
        <v>2189</v>
      </c>
      <c r="F473" s="47">
        <v>1553</v>
      </c>
      <c r="G473" s="51">
        <v>2787132458</v>
      </c>
      <c r="H473" s="49">
        <v>20</v>
      </c>
      <c r="I473" s="49">
        <v>41</v>
      </c>
      <c r="J473" s="49">
        <v>2.21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</row>
    <row r="474" spans="1:16">
      <c r="A474" s="180">
        <v>45714</v>
      </c>
      <c r="B474" s="178">
        <f t="shared" si="5"/>
        <v>2025</v>
      </c>
      <c r="C474" s="178">
        <f t="shared" si="6"/>
        <v>2</v>
      </c>
      <c r="D474" s="39" t="s">
        <v>22</v>
      </c>
      <c r="E474" s="47">
        <v>46959</v>
      </c>
      <c r="F474" s="47">
        <v>31185</v>
      </c>
      <c r="G474" s="51">
        <v>59095243626</v>
      </c>
      <c r="H474" s="49">
        <v>28</v>
      </c>
      <c r="I474" s="49">
        <v>63</v>
      </c>
      <c r="J474" s="3">
        <v>2.4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</row>
    <row r="475" spans="1:16">
      <c r="A475" s="180">
        <v>45714</v>
      </c>
      <c r="B475" s="178">
        <f t="shared" si="5"/>
        <v>2025</v>
      </c>
      <c r="C475" s="178">
        <f t="shared" si="6"/>
        <v>2</v>
      </c>
      <c r="D475" s="39" t="s">
        <v>7</v>
      </c>
      <c r="E475" s="47">
        <v>43125</v>
      </c>
      <c r="F475" s="47">
        <v>25889</v>
      </c>
      <c r="G475" s="51">
        <v>53254815984</v>
      </c>
      <c r="H475" s="49">
        <v>23</v>
      </c>
      <c r="I475" s="49">
        <v>49</v>
      </c>
      <c r="J475" s="3">
        <v>1.9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</row>
    <row r="476" spans="1:16">
      <c r="A476" s="180">
        <v>45714</v>
      </c>
      <c r="B476" s="178">
        <f t="shared" si="5"/>
        <v>2025</v>
      </c>
      <c r="C476" s="178">
        <f t="shared" si="6"/>
        <v>2</v>
      </c>
      <c r="D476" s="39" t="s">
        <v>9</v>
      </c>
      <c r="E476" s="47">
        <v>28755</v>
      </c>
      <c r="F476" s="47">
        <v>17969</v>
      </c>
      <c r="G476" s="51">
        <v>36378375301</v>
      </c>
      <c r="H476" s="49">
        <v>26</v>
      </c>
      <c r="I476" s="49">
        <v>68</v>
      </c>
      <c r="J476" s="3">
        <v>2.1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</row>
    <row r="477" spans="1:16">
      <c r="A477" s="180">
        <v>45714</v>
      </c>
      <c r="B477" s="178">
        <f t="shared" si="5"/>
        <v>2025</v>
      </c>
      <c r="C477" s="178">
        <f t="shared" si="6"/>
        <v>2</v>
      </c>
      <c r="D477" s="39" t="s">
        <v>8</v>
      </c>
      <c r="E477" s="47">
        <v>27834</v>
      </c>
      <c r="F477" s="47">
        <v>17521</v>
      </c>
      <c r="G477" s="51">
        <v>35223920014</v>
      </c>
      <c r="H477" s="49">
        <v>25</v>
      </c>
      <c r="I477" s="49">
        <v>38</v>
      </c>
      <c r="J477" s="3">
        <v>1.8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</row>
    <row r="478" spans="1:16">
      <c r="A478" s="180">
        <v>45714</v>
      </c>
      <c r="B478" s="178">
        <f t="shared" si="5"/>
        <v>2025</v>
      </c>
      <c r="C478" s="178">
        <f t="shared" si="6"/>
        <v>2</v>
      </c>
      <c r="D478" s="39" t="s">
        <v>79</v>
      </c>
      <c r="E478" s="47">
        <v>22448</v>
      </c>
      <c r="F478" s="47">
        <v>14118</v>
      </c>
      <c r="G478" s="51">
        <v>27971876784</v>
      </c>
      <c r="H478" s="49">
        <v>27</v>
      </c>
      <c r="I478" s="49">
        <v>67</v>
      </c>
      <c r="J478" s="3">
        <v>2.6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</row>
    <row r="479" spans="1:16">
      <c r="A479" s="180">
        <v>45714</v>
      </c>
      <c r="B479" s="178">
        <f t="shared" si="5"/>
        <v>2025</v>
      </c>
      <c r="C479" s="178">
        <f t="shared" si="6"/>
        <v>2</v>
      </c>
      <c r="D479" s="39" t="s">
        <v>10</v>
      </c>
      <c r="E479" s="47">
        <v>18609</v>
      </c>
      <c r="F479" s="47">
        <v>11839</v>
      </c>
      <c r="G479" s="51">
        <v>23130752665</v>
      </c>
      <c r="H479" s="49">
        <v>24</v>
      </c>
      <c r="I479" s="49">
        <v>47</v>
      </c>
      <c r="J479" s="3">
        <v>2.1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</row>
    <row r="480" spans="1:16">
      <c r="A480" s="180">
        <v>45714</v>
      </c>
      <c r="B480" s="178">
        <f t="shared" si="5"/>
        <v>2025</v>
      </c>
      <c r="C480" s="178">
        <f t="shared" si="6"/>
        <v>2</v>
      </c>
      <c r="D480" s="39" t="s">
        <v>12</v>
      </c>
      <c r="E480" s="47">
        <v>9396</v>
      </c>
      <c r="F480" s="47">
        <v>5970</v>
      </c>
      <c r="G480" s="51">
        <v>12430742267</v>
      </c>
      <c r="H480" s="49">
        <v>21</v>
      </c>
      <c r="I480" s="49">
        <v>34</v>
      </c>
      <c r="J480" s="3">
        <v>1.8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</row>
    <row r="481" spans="1:16">
      <c r="A481" s="180">
        <v>45714</v>
      </c>
      <c r="B481" s="178">
        <f t="shared" si="5"/>
        <v>2025</v>
      </c>
      <c r="C481" s="178">
        <f t="shared" si="6"/>
        <v>2</v>
      </c>
      <c r="D481" s="39" t="s">
        <v>84</v>
      </c>
      <c r="E481" s="47">
        <v>7272</v>
      </c>
      <c r="F481" s="47">
        <v>4670</v>
      </c>
      <c r="G481" s="51">
        <v>9479673348</v>
      </c>
      <c r="H481" s="49">
        <v>24</v>
      </c>
      <c r="I481" s="49">
        <v>38</v>
      </c>
      <c r="J481" s="3">
        <v>1.6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</row>
    <row r="482" spans="1:16">
      <c r="A482" s="180">
        <v>45714</v>
      </c>
      <c r="B482" s="178">
        <f t="shared" si="5"/>
        <v>2025</v>
      </c>
      <c r="C482" s="178">
        <f t="shared" si="6"/>
        <v>2</v>
      </c>
      <c r="D482" s="45" t="s">
        <v>91</v>
      </c>
      <c r="E482" s="47">
        <v>7122</v>
      </c>
      <c r="F482" s="47">
        <v>4553</v>
      </c>
      <c r="G482" s="51">
        <v>8946605307</v>
      </c>
      <c r="H482" s="49">
        <v>23</v>
      </c>
      <c r="I482" s="49">
        <v>55</v>
      </c>
      <c r="J482" s="3">
        <v>2.1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</row>
    <row r="483" spans="1:16">
      <c r="A483" s="180">
        <v>45714</v>
      </c>
      <c r="B483" s="178">
        <f t="shared" si="5"/>
        <v>2025</v>
      </c>
      <c r="C483" s="178">
        <f t="shared" si="6"/>
        <v>2</v>
      </c>
      <c r="D483" s="45" t="s">
        <v>88</v>
      </c>
      <c r="E483" s="47">
        <v>4436</v>
      </c>
      <c r="F483" s="47">
        <v>3100</v>
      </c>
      <c r="G483" s="51">
        <v>5908800641</v>
      </c>
      <c r="H483" s="49">
        <v>22</v>
      </c>
      <c r="I483" s="49">
        <v>32</v>
      </c>
      <c r="J483" s="3">
        <v>1.8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</row>
    <row r="484" spans="1:16">
      <c r="A484" s="180">
        <v>45714</v>
      </c>
      <c r="B484" s="178">
        <f t="shared" si="5"/>
        <v>2025</v>
      </c>
      <c r="C484" s="178">
        <f t="shared" si="6"/>
        <v>2</v>
      </c>
      <c r="D484" s="50" t="s">
        <v>11</v>
      </c>
      <c r="E484" s="47">
        <v>3915</v>
      </c>
      <c r="F484" s="47">
        <v>2531</v>
      </c>
      <c r="G484" s="51">
        <v>5013177572</v>
      </c>
      <c r="H484" s="49">
        <v>21</v>
      </c>
      <c r="I484" s="49">
        <v>39</v>
      </c>
      <c r="J484" s="3">
        <v>2.2999999999999998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80">
        <v>45714</v>
      </c>
      <c r="B485" s="178">
        <f t="shared" si="5"/>
        <v>2025</v>
      </c>
      <c r="C485" s="178">
        <f t="shared" si="6"/>
        <v>2</v>
      </c>
      <c r="D485" s="45" t="s">
        <v>19</v>
      </c>
      <c r="E485" s="47">
        <v>3411</v>
      </c>
      <c r="F485" s="47">
        <v>2418</v>
      </c>
      <c r="G485" s="51">
        <v>4340978276</v>
      </c>
      <c r="H485" s="49">
        <v>20</v>
      </c>
      <c r="I485" s="49">
        <v>41</v>
      </c>
      <c r="J485" s="3">
        <v>2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80">
        <v>45714</v>
      </c>
      <c r="B486" s="178">
        <f t="shared" si="5"/>
        <v>2025</v>
      </c>
      <c r="C486" s="178">
        <f t="shared" si="6"/>
        <v>2</v>
      </c>
      <c r="D486" s="50" t="s">
        <v>101</v>
      </c>
      <c r="E486" s="47">
        <v>2761</v>
      </c>
      <c r="F486" s="47">
        <v>1823</v>
      </c>
      <c r="G486" s="51">
        <v>3505496314</v>
      </c>
      <c r="H486" s="49">
        <v>22</v>
      </c>
      <c r="I486" s="49">
        <v>58</v>
      </c>
      <c r="J486" s="3">
        <v>2.2000000000000002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</row>
    <row r="487" spans="1:16">
      <c r="A487" s="180">
        <v>45714</v>
      </c>
      <c r="B487" s="178">
        <f t="shared" si="5"/>
        <v>2025</v>
      </c>
      <c r="C487" s="178">
        <f t="shared" si="6"/>
        <v>2</v>
      </c>
      <c r="D487" s="45" t="s">
        <v>20</v>
      </c>
      <c r="E487" s="47">
        <v>2572</v>
      </c>
      <c r="F487" s="47">
        <v>1841</v>
      </c>
      <c r="G487" s="51">
        <v>3354326661</v>
      </c>
      <c r="H487" s="49">
        <v>28</v>
      </c>
      <c r="I487" s="49">
        <v>66</v>
      </c>
      <c r="J487" s="3">
        <v>1.7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</row>
    <row r="488" spans="1:16">
      <c r="A488" s="180">
        <v>45714</v>
      </c>
      <c r="B488" s="178">
        <f t="shared" si="5"/>
        <v>2025</v>
      </c>
      <c r="C488" s="178">
        <f t="shared" si="6"/>
        <v>2</v>
      </c>
      <c r="D488" s="45" t="s">
        <v>24</v>
      </c>
      <c r="E488" s="47">
        <v>1610</v>
      </c>
      <c r="F488" s="47">
        <v>1069</v>
      </c>
      <c r="G488" s="51">
        <v>2218344984</v>
      </c>
      <c r="H488" s="49">
        <v>24</v>
      </c>
      <c r="I488" s="49">
        <v>10</v>
      </c>
      <c r="J488" s="3">
        <v>1.2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>
      <c r="A489" s="180">
        <v>45714</v>
      </c>
      <c r="B489" s="178">
        <f t="shared" si="5"/>
        <v>2025</v>
      </c>
      <c r="C489" s="178">
        <f t="shared" si="6"/>
        <v>2</v>
      </c>
      <c r="D489" s="39" t="s">
        <v>15</v>
      </c>
      <c r="E489" s="47">
        <v>1257</v>
      </c>
      <c r="F489" s="49">
        <v>740</v>
      </c>
      <c r="G489" s="51">
        <v>1597745063</v>
      </c>
      <c r="H489" s="49">
        <v>14</v>
      </c>
      <c r="I489" s="49">
        <v>26</v>
      </c>
      <c r="J489" s="2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</row>
    <row r="490" spans="1:16">
      <c r="A490" s="180">
        <v>45714</v>
      </c>
      <c r="B490" s="178">
        <f t="shared" si="5"/>
        <v>2025</v>
      </c>
      <c r="C490" s="178">
        <f t="shared" si="6"/>
        <v>2</v>
      </c>
      <c r="D490" s="50" t="s">
        <v>32</v>
      </c>
      <c r="E490" s="49">
        <v>889</v>
      </c>
      <c r="F490" s="49">
        <v>566</v>
      </c>
      <c r="G490" s="51">
        <v>1111047323</v>
      </c>
      <c r="H490" s="49">
        <v>21</v>
      </c>
      <c r="I490" s="49">
        <v>31</v>
      </c>
      <c r="J490" s="2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</row>
    <row r="491" spans="1:16">
      <c r="A491" s="180">
        <v>45714</v>
      </c>
      <c r="B491" s="178">
        <f t="shared" si="5"/>
        <v>2025</v>
      </c>
      <c r="C491" s="178">
        <f t="shared" si="6"/>
        <v>2</v>
      </c>
      <c r="D491" s="50" t="s">
        <v>93</v>
      </c>
      <c r="E491" s="49">
        <v>428</v>
      </c>
      <c r="F491" s="49">
        <v>354</v>
      </c>
      <c r="G491" s="51">
        <v>532167764</v>
      </c>
      <c r="H491" s="49">
        <v>21</v>
      </c>
      <c r="I491" s="49">
        <v>18</v>
      </c>
      <c r="J491" s="3">
        <v>0.9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</row>
    <row r="492" spans="1:16">
      <c r="A492" s="180">
        <v>45714</v>
      </c>
      <c r="B492" s="178">
        <f t="shared" si="5"/>
        <v>2025</v>
      </c>
      <c r="C492" s="178">
        <f t="shared" si="6"/>
        <v>2</v>
      </c>
      <c r="D492" s="50" t="s">
        <v>28</v>
      </c>
      <c r="E492" s="49">
        <v>393</v>
      </c>
      <c r="F492" s="49">
        <v>339</v>
      </c>
      <c r="G492" s="51">
        <v>532246811</v>
      </c>
      <c r="H492" s="49">
        <v>24</v>
      </c>
      <c r="I492" s="49">
        <v>15</v>
      </c>
      <c r="J492" s="3">
        <v>1.1000000000000001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</row>
    <row r="493" spans="1:16">
      <c r="A493" s="180">
        <v>45715</v>
      </c>
      <c r="B493" s="178">
        <f t="shared" si="5"/>
        <v>2025</v>
      </c>
      <c r="C493" s="178">
        <f t="shared" si="6"/>
        <v>2</v>
      </c>
      <c r="D493" s="39" t="s">
        <v>102</v>
      </c>
      <c r="E493" s="1">
        <v>0</v>
      </c>
      <c r="F493" s="1">
        <v>0</v>
      </c>
      <c r="G493" s="28">
        <v>0</v>
      </c>
      <c r="H493" s="1">
        <v>0</v>
      </c>
      <c r="I493" s="1">
        <v>0</v>
      </c>
      <c r="J493" s="2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80">
        <v>45716</v>
      </c>
      <c r="B494" s="178">
        <f t="shared" si="5"/>
        <v>2025</v>
      </c>
      <c r="C494" s="178">
        <f t="shared" si="6"/>
        <v>2</v>
      </c>
      <c r="D494" s="50" t="s">
        <v>23</v>
      </c>
      <c r="E494" s="1">
        <v>0</v>
      </c>
      <c r="F494" s="1">
        <v>0</v>
      </c>
      <c r="G494" s="28">
        <v>0</v>
      </c>
      <c r="H494" s="1">
        <v>0</v>
      </c>
      <c r="I494" s="1">
        <v>0</v>
      </c>
      <c r="J494" s="2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80">
        <v>45716</v>
      </c>
      <c r="B495" s="178">
        <f t="shared" si="5"/>
        <v>2025</v>
      </c>
      <c r="C495" s="178">
        <f t="shared" si="6"/>
        <v>2</v>
      </c>
      <c r="D495" s="50" t="s">
        <v>104</v>
      </c>
      <c r="E495" s="1">
        <v>0</v>
      </c>
      <c r="F495" s="1">
        <v>0</v>
      </c>
      <c r="G495" s="28">
        <v>0</v>
      </c>
      <c r="H495" s="1">
        <v>0</v>
      </c>
      <c r="I495" s="1">
        <v>0</v>
      </c>
      <c r="J495" s="2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80">
        <v>45716</v>
      </c>
      <c r="B496" s="178">
        <f t="shared" si="5"/>
        <v>2025</v>
      </c>
      <c r="C496" s="178">
        <f t="shared" si="6"/>
        <v>2</v>
      </c>
      <c r="D496" s="50" t="s">
        <v>26</v>
      </c>
      <c r="E496" s="1">
        <v>0</v>
      </c>
      <c r="F496" s="1">
        <v>0</v>
      </c>
      <c r="G496" s="28">
        <v>0</v>
      </c>
      <c r="H496" s="1">
        <v>0</v>
      </c>
      <c r="I496" s="1">
        <v>0</v>
      </c>
      <c r="J496" s="2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</row>
    <row r="497" spans="1:16">
      <c r="A497" s="180">
        <v>45716</v>
      </c>
      <c r="B497" s="178">
        <f t="shared" si="5"/>
        <v>2025</v>
      </c>
      <c r="C497" s="178">
        <f t="shared" si="6"/>
        <v>2</v>
      </c>
      <c r="D497" s="39" t="s">
        <v>30</v>
      </c>
      <c r="E497" s="1">
        <v>0</v>
      </c>
      <c r="F497" s="1">
        <v>0</v>
      </c>
      <c r="G497" s="28">
        <v>0</v>
      </c>
      <c r="H497" s="1">
        <v>0</v>
      </c>
      <c r="I497" s="1">
        <v>0</v>
      </c>
      <c r="J497" s="2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80">
        <v>45716</v>
      </c>
      <c r="B498" s="178">
        <f t="shared" si="5"/>
        <v>2025</v>
      </c>
      <c r="C498" s="178">
        <f t="shared" si="6"/>
        <v>2</v>
      </c>
      <c r="D498" s="39" t="s">
        <v>105</v>
      </c>
      <c r="E498" s="1">
        <v>0</v>
      </c>
      <c r="F498" s="1">
        <v>0</v>
      </c>
      <c r="G498" s="28">
        <v>0</v>
      </c>
      <c r="H498" s="1">
        <v>0</v>
      </c>
      <c r="I498" s="1">
        <v>0</v>
      </c>
      <c r="J498" s="2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</row>
    <row r="499" spans="1:16">
      <c r="A499" s="180">
        <v>45716</v>
      </c>
      <c r="B499" s="178">
        <f t="shared" si="5"/>
        <v>2025</v>
      </c>
      <c r="C499" s="178">
        <f t="shared" si="6"/>
        <v>2</v>
      </c>
      <c r="D499" s="50" t="s">
        <v>106</v>
      </c>
      <c r="E499" s="1">
        <v>0</v>
      </c>
      <c r="F499" s="1">
        <v>0</v>
      </c>
      <c r="G499" s="28">
        <v>0</v>
      </c>
      <c r="H499" s="1">
        <v>0</v>
      </c>
      <c r="I499" s="1">
        <v>0</v>
      </c>
      <c r="J499" s="2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</row>
    <row r="500" spans="1:16">
      <c r="A500" s="180">
        <v>45742</v>
      </c>
      <c r="B500" s="178">
        <f t="shared" si="5"/>
        <v>2025</v>
      </c>
      <c r="C500" s="178">
        <f t="shared" si="6"/>
        <v>3</v>
      </c>
      <c r="D500" s="45" t="s">
        <v>7</v>
      </c>
      <c r="E500" s="47">
        <v>65124</v>
      </c>
      <c r="F500" s="47">
        <v>39398</v>
      </c>
      <c r="G500" s="52">
        <v>81900467113</v>
      </c>
      <c r="H500" s="53">
        <v>23</v>
      </c>
      <c r="I500" s="53">
        <v>47</v>
      </c>
      <c r="J500" s="54">
        <v>2.09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80">
        <v>45742</v>
      </c>
      <c r="B501" s="178">
        <f t="shared" si="5"/>
        <v>2025</v>
      </c>
      <c r="C501" s="178">
        <f t="shared" si="6"/>
        <v>3</v>
      </c>
      <c r="D501" s="45" t="s">
        <v>22</v>
      </c>
      <c r="E501" s="47">
        <v>63449</v>
      </c>
      <c r="F501" s="47">
        <v>42224</v>
      </c>
      <c r="G501" s="52">
        <v>79920236351</v>
      </c>
      <c r="H501" s="53">
        <v>28</v>
      </c>
      <c r="I501" s="53">
        <v>61</v>
      </c>
      <c r="J501" s="54">
        <v>2.23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</row>
    <row r="502" spans="1:16">
      <c r="A502" s="180">
        <v>45742</v>
      </c>
      <c r="B502" s="178">
        <f t="shared" si="5"/>
        <v>2025</v>
      </c>
      <c r="C502" s="178">
        <f t="shared" si="6"/>
        <v>3</v>
      </c>
      <c r="D502" s="45" t="s">
        <v>9</v>
      </c>
      <c r="E502" s="47">
        <v>49466</v>
      </c>
      <c r="F502" s="47">
        <v>31458</v>
      </c>
      <c r="G502" s="52">
        <v>63630382416</v>
      </c>
      <c r="H502" s="53">
        <v>26</v>
      </c>
      <c r="I502" s="53">
        <v>60</v>
      </c>
      <c r="J502" s="54">
        <v>1.76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</row>
    <row r="503" spans="1:16">
      <c r="A503" s="180">
        <v>45742</v>
      </c>
      <c r="B503" s="178">
        <f t="shared" si="5"/>
        <v>2025</v>
      </c>
      <c r="C503" s="178">
        <f t="shared" si="6"/>
        <v>3</v>
      </c>
      <c r="D503" s="45" t="s">
        <v>8</v>
      </c>
      <c r="E503" s="47">
        <v>42968</v>
      </c>
      <c r="F503" s="47">
        <v>26943</v>
      </c>
      <c r="G503" s="52">
        <v>54567768181</v>
      </c>
      <c r="H503" s="53">
        <v>24</v>
      </c>
      <c r="I503" s="53">
        <v>38</v>
      </c>
      <c r="J503" s="54">
        <v>1.72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</row>
    <row r="504" spans="1:16">
      <c r="A504" s="180">
        <v>45742</v>
      </c>
      <c r="B504" s="178">
        <f t="shared" si="5"/>
        <v>2025</v>
      </c>
      <c r="C504" s="178">
        <f t="shared" si="6"/>
        <v>3</v>
      </c>
      <c r="D504" s="45" t="s">
        <v>10</v>
      </c>
      <c r="E504" s="47">
        <v>34247</v>
      </c>
      <c r="F504" s="47">
        <v>21975</v>
      </c>
      <c r="G504" s="52">
        <v>42206962776</v>
      </c>
      <c r="H504" s="53">
        <v>25</v>
      </c>
      <c r="I504" s="53">
        <v>49</v>
      </c>
      <c r="J504" s="54">
        <v>2.02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</row>
    <row r="505" spans="1:16">
      <c r="A505" s="180">
        <v>45742</v>
      </c>
      <c r="B505" s="178">
        <f t="shared" si="5"/>
        <v>2025</v>
      </c>
      <c r="C505" s="178">
        <f t="shared" si="6"/>
        <v>3</v>
      </c>
      <c r="D505" s="45" t="s">
        <v>79</v>
      </c>
      <c r="E505" s="47">
        <v>31810</v>
      </c>
      <c r="F505" s="47">
        <v>20060</v>
      </c>
      <c r="G505" s="52">
        <v>39761914513</v>
      </c>
      <c r="H505" s="53">
        <v>28</v>
      </c>
      <c r="I505" s="53">
        <v>65</v>
      </c>
      <c r="J505" s="54">
        <v>2.33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80">
        <v>45742</v>
      </c>
      <c r="B506" s="178">
        <f t="shared" si="5"/>
        <v>2025</v>
      </c>
      <c r="C506" s="178">
        <f t="shared" si="6"/>
        <v>3</v>
      </c>
      <c r="D506" s="45" t="s">
        <v>12</v>
      </c>
      <c r="E506" s="47">
        <v>16331</v>
      </c>
      <c r="F506" s="47">
        <v>10411</v>
      </c>
      <c r="G506" s="52">
        <v>21602281953</v>
      </c>
      <c r="H506" s="53">
        <v>20</v>
      </c>
      <c r="I506" s="53">
        <v>37</v>
      </c>
      <c r="J506" s="54">
        <v>1.93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80">
        <v>45742</v>
      </c>
      <c r="B507" s="178">
        <f t="shared" si="5"/>
        <v>2025</v>
      </c>
      <c r="C507" s="178">
        <f t="shared" si="6"/>
        <v>3</v>
      </c>
      <c r="D507" s="45" t="s">
        <v>84</v>
      </c>
      <c r="E507" s="47">
        <v>11673</v>
      </c>
      <c r="F507" s="47">
        <v>7480</v>
      </c>
      <c r="G507" s="52">
        <v>15415423484</v>
      </c>
      <c r="H507" s="53">
        <v>23</v>
      </c>
      <c r="I507" s="53">
        <v>36</v>
      </c>
      <c r="J507" s="54">
        <v>1.6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</row>
    <row r="508" spans="1:16">
      <c r="A508" s="180">
        <v>45742</v>
      </c>
      <c r="B508" s="178">
        <f t="shared" si="5"/>
        <v>2025</v>
      </c>
      <c r="C508" s="178">
        <f t="shared" si="6"/>
        <v>3</v>
      </c>
      <c r="D508" s="45" t="s">
        <v>91</v>
      </c>
      <c r="E508" s="47">
        <v>10374</v>
      </c>
      <c r="F508" s="47">
        <v>6644</v>
      </c>
      <c r="G508" s="52">
        <v>13069908833</v>
      </c>
      <c r="H508" s="53">
        <v>24</v>
      </c>
      <c r="I508" s="53">
        <v>52</v>
      </c>
      <c r="J508" s="54">
        <v>1.95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</row>
    <row r="509" spans="1:16">
      <c r="A509" s="180">
        <v>45742</v>
      </c>
      <c r="B509" s="178">
        <f t="shared" si="5"/>
        <v>2025</v>
      </c>
      <c r="C509" s="178">
        <f t="shared" si="6"/>
        <v>3</v>
      </c>
      <c r="D509" s="45" t="s">
        <v>88</v>
      </c>
      <c r="E509" s="47">
        <v>6622</v>
      </c>
      <c r="F509" s="47">
        <v>4657</v>
      </c>
      <c r="G509" s="52">
        <v>8903759822</v>
      </c>
      <c r="H509" s="53">
        <v>21</v>
      </c>
      <c r="I509" s="53">
        <v>31</v>
      </c>
      <c r="J509" s="54">
        <v>1.78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</row>
    <row r="510" spans="1:16">
      <c r="A510" s="180">
        <v>45742</v>
      </c>
      <c r="B510" s="178">
        <f t="shared" si="5"/>
        <v>2025</v>
      </c>
      <c r="C510" s="178">
        <f t="shared" si="6"/>
        <v>3</v>
      </c>
      <c r="D510" s="45" t="s">
        <v>11</v>
      </c>
      <c r="E510" s="47">
        <v>6113</v>
      </c>
      <c r="F510" s="47">
        <v>3951</v>
      </c>
      <c r="G510" s="52">
        <v>7861193828</v>
      </c>
      <c r="H510" s="53">
        <v>19</v>
      </c>
      <c r="I510" s="53">
        <v>37</v>
      </c>
      <c r="J510" s="54">
        <v>2.09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</row>
    <row r="511" spans="1:16">
      <c r="A511" s="180">
        <v>45742</v>
      </c>
      <c r="B511" s="178">
        <f t="shared" si="5"/>
        <v>2025</v>
      </c>
      <c r="C511" s="178">
        <f t="shared" si="6"/>
        <v>3</v>
      </c>
      <c r="D511" s="45" t="s">
        <v>19</v>
      </c>
      <c r="E511" s="47">
        <v>5665</v>
      </c>
      <c r="F511" s="47">
        <v>4051</v>
      </c>
      <c r="G511" s="52">
        <v>7270711901</v>
      </c>
      <c r="H511" s="53">
        <v>19</v>
      </c>
      <c r="I511" s="53">
        <v>39</v>
      </c>
      <c r="J511" s="54">
        <v>1.8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</row>
    <row r="512" spans="1:16">
      <c r="A512" s="180">
        <v>45742</v>
      </c>
      <c r="B512" s="178">
        <f t="shared" si="5"/>
        <v>2025</v>
      </c>
      <c r="C512" s="178">
        <f t="shared" si="6"/>
        <v>3</v>
      </c>
      <c r="D512" s="45" t="s">
        <v>20</v>
      </c>
      <c r="E512" s="47">
        <v>5485</v>
      </c>
      <c r="F512" s="47">
        <v>3919</v>
      </c>
      <c r="G512" s="52">
        <v>7188216936</v>
      </c>
      <c r="H512" s="53">
        <v>26</v>
      </c>
      <c r="I512" s="53">
        <v>58</v>
      </c>
      <c r="J512" s="54">
        <v>1.99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80">
        <v>45742</v>
      </c>
      <c r="B513" s="178">
        <f t="shared" si="5"/>
        <v>2025</v>
      </c>
      <c r="C513" s="178">
        <f t="shared" si="6"/>
        <v>3</v>
      </c>
      <c r="D513" s="45" t="s">
        <v>101</v>
      </c>
      <c r="E513" s="47">
        <v>4304</v>
      </c>
      <c r="F513" s="47">
        <v>2791</v>
      </c>
      <c r="G513" s="52">
        <v>5512560054</v>
      </c>
      <c r="H513" s="53">
        <v>20</v>
      </c>
      <c r="I513" s="53">
        <v>49</v>
      </c>
      <c r="J513" s="54">
        <v>1.75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80">
        <v>45742</v>
      </c>
      <c r="B514" s="178">
        <f t="shared" si="5"/>
        <v>2025</v>
      </c>
      <c r="C514" s="178">
        <f t="shared" si="6"/>
        <v>3</v>
      </c>
      <c r="D514" s="45" t="s">
        <v>24</v>
      </c>
      <c r="E514" s="47">
        <v>2527</v>
      </c>
      <c r="F514" s="47">
        <v>1599</v>
      </c>
      <c r="G514" s="52">
        <v>3329226095</v>
      </c>
      <c r="H514" s="53">
        <v>23</v>
      </c>
      <c r="I514" s="53">
        <v>12</v>
      </c>
      <c r="J514" s="54">
        <v>0.96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</row>
    <row r="515" spans="1:16">
      <c r="A515" s="180">
        <v>45742</v>
      </c>
      <c r="B515" s="178">
        <f t="shared" si="5"/>
        <v>2025</v>
      </c>
      <c r="C515" s="178">
        <f t="shared" si="6"/>
        <v>3</v>
      </c>
      <c r="D515" s="45" t="s">
        <v>32</v>
      </c>
      <c r="E515" s="47">
        <v>2448</v>
      </c>
      <c r="F515" s="47">
        <v>1582</v>
      </c>
      <c r="G515" s="52">
        <v>3144592746</v>
      </c>
      <c r="H515" s="53">
        <v>20</v>
      </c>
      <c r="I515" s="53">
        <v>32</v>
      </c>
      <c r="J515" s="54">
        <v>1.78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</row>
    <row r="516" spans="1:16">
      <c r="A516" s="180">
        <v>45742</v>
      </c>
      <c r="B516" s="178">
        <f t="shared" si="5"/>
        <v>2025</v>
      </c>
      <c r="C516" s="178">
        <f t="shared" si="6"/>
        <v>3</v>
      </c>
      <c r="D516" s="45" t="s">
        <v>15</v>
      </c>
      <c r="E516" s="47">
        <v>2067</v>
      </c>
      <c r="F516" s="47">
        <v>1252</v>
      </c>
      <c r="G516" s="52">
        <v>2659311287</v>
      </c>
      <c r="H516" s="53">
        <v>20</v>
      </c>
      <c r="I516" s="53">
        <v>29</v>
      </c>
      <c r="J516" s="54">
        <v>1.77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80">
        <v>45742</v>
      </c>
      <c r="B517" s="178">
        <f t="shared" si="5"/>
        <v>2025</v>
      </c>
      <c r="C517" s="178">
        <f t="shared" si="6"/>
        <v>3</v>
      </c>
      <c r="D517" s="45" t="s">
        <v>93</v>
      </c>
      <c r="E517" s="47">
        <v>923</v>
      </c>
      <c r="F517" s="47">
        <v>714</v>
      </c>
      <c r="G517" s="52">
        <v>1179149348</v>
      </c>
      <c r="H517" s="53">
        <v>20</v>
      </c>
      <c r="I517" s="53">
        <v>17</v>
      </c>
      <c r="J517" s="54">
        <v>0.88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80">
        <v>45742</v>
      </c>
      <c r="B518" s="178">
        <f t="shared" si="5"/>
        <v>2025</v>
      </c>
      <c r="C518" s="178">
        <f t="shared" si="6"/>
        <v>3</v>
      </c>
      <c r="D518" s="45" t="s">
        <v>28</v>
      </c>
      <c r="E518" s="47">
        <v>496</v>
      </c>
      <c r="F518" s="47">
        <v>420</v>
      </c>
      <c r="G518" s="52">
        <v>657189237</v>
      </c>
      <c r="H518" s="53">
        <v>24</v>
      </c>
      <c r="I518" s="53">
        <v>15</v>
      </c>
      <c r="J518" s="54">
        <v>1.4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</row>
    <row r="519" spans="1:16">
      <c r="A519" s="180">
        <v>45742</v>
      </c>
      <c r="B519" s="178">
        <f t="shared" si="5"/>
        <v>2025</v>
      </c>
      <c r="C519" s="178">
        <f t="shared" si="6"/>
        <v>3</v>
      </c>
      <c r="D519" s="45" t="s">
        <v>102</v>
      </c>
      <c r="E519" s="47" t="s">
        <v>107</v>
      </c>
      <c r="F519" s="47" t="s">
        <v>107</v>
      </c>
      <c r="G519" s="52">
        <v>0</v>
      </c>
      <c r="H519" s="53" t="s">
        <v>107</v>
      </c>
      <c r="I519" s="53" t="s">
        <v>107</v>
      </c>
      <c r="J519" s="3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</row>
    <row r="520" spans="1:16">
      <c r="A520" s="180">
        <v>45742</v>
      </c>
      <c r="B520" s="178">
        <f t="shared" si="5"/>
        <v>2025</v>
      </c>
      <c r="C520" s="178">
        <f t="shared" si="6"/>
        <v>3</v>
      </c>
      <c r="D520" s="45" t="s">
        <v>23</v>
      </c>
      <c r="E520" s="47" t="s">
        <v>107</v>
      </c>
      <c r="F520" s="47" t="s">
        <v>107</v>
      </c>
      <c r="G520" s="52">
        <v>0</v>
      </c>
      <c r="H520" s="53" t="s">
        <v>107</v>
      </c>
      <c r="I520" s="53" t="s">
        <v>107</v>
      </c>
      <c r="J520" s="3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</row>
    <row r="521" spans="1:16">
      <c r="A521" s="180">
        <v>45742</v>
      </c>
      <c r="B521" s="178">
        <f t="shared" si="5"/>
        <v>2025</v>
      </c>
      <c r="C521" s="178">
        <f t="shared" si="6"/>
        <v>3</v>
      </c>
      <c r="D521" s="45" t="s">
        <v>104</v>
      </c>
      <c r="E521" s="47" t="s">
        <v>107</v>
      </c>
      <c r="F521" s="47" t="s">
        <v>107</v>
      </c>
      <c r="G521" s="52">
        <v>0</v>
      </c>
      <c r="H521" s="53" t="s">
        <v>107</v>
      </c>
      <c r="I521" s="53" t="s">
        <v>107</v>
      </c>
      <c r="J521" s="3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</row>
    <row r="522" spans="1:16">
      <c r="A522" s="180">
        <v>45742</v>
      </c>
      <c r="B522" s="178">
        <f t="shared" si="5"/>
        <v>2025</v>
      </c>
      <c r="C522" s="178">
        <f t="shared" si="6"/>
        <v>3</v>
      </c>
      <c r="D522" s="45" t="s">
        <v>26</v>
      </c>
      <c r="E522" s="47" t="s">
        <v>107</v>
      </c>
      <c r="F522" s="47" t="s">
        <v>107</v>
      </c>
      <c r="G522" s="52">
        <v>0</v>
      </c>
      <c r="H522" s="53" t="s">
        <v>107</v>
      </c>
      <c r="I522" s="53" t="s">
        <v>107</v>
      </c>
      <c r="J522" s="3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</row>
    <row r="523" spans="1:16">
      <c r="A523" s="180">
        <v>45742</v>
      </c>
      <c r="B523" s="178">
        <f t="shared" si="5"/>
        <v>2025</v>
      </c>
      <c r="C523" s="178">
        <f t="shared" si="6"/>
        <v>3</v>
      </c>
      <c r="D523" s="45" t="s">
        <v>30</v>
      </c>
      <c r="E523" s="47" t="s">
        <v>107</v>
      </c>
      <c r="F523" s="47" t="s">
        <v>107</v>
      </c>
      <c r="G523" s="52">
        <v>0</v>
      </c>
      <c r="H523" s="53" t="s">
        <v>107</v>
      </c>
      <c r="I523" s="53" t="s">
        <v>107</v>
      </c>
      <c r="J523" s="3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>
      <c r="A524" s="180">
        <v>45742</v>
      </c>
      <c r="B524" s="178">
        <f t="shared" si="5"/>
        <v>2025</v>
      </c>
      <c r="C524" s="178">
        <f t="shared" si="6"/>
        <v>3</v>
      </c>
      <c r="D524" s="45" t="s">
        <v>105</v>
      </c>
      <c r="E524" s="47" t="s">
        <v>107</v>
      </c>
      <c r="F524" s="47" t="s">
        <v>107</v>
      </c>
      <c r="G524" s="52">
        <v>0</v>
      </c>
      <c r="H524" s="53" t="s">
        <v>107</v>
      </c>
      <c r="I524" s="53" t="s">
        <v>107</v>
      </c>
      <c r="J524" s="3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</row>
    <row r="525" spans="1:16">
      <c r="A525" s="180">
        <v>45742</v>
      </c>
      <c r="B525" s="178">
        <f t="shared" si="5"/>
        <v>2025</v>
      </c>
      <c r="C525" s="178">
        <f t="shared" si="6"/>
        <v>3</v>
      </c>
      <c r="D525" s="45" t="s">
        <v>106</v>
      </c>
      <c r="E525" s="47" t="s">
        <v>107</v>
      </c>
      <c r="F525" s="47" t="s">
        <v>107</v>
      </c>
      <c r="G525" s="52">
        <v>0</v>
      </c>
      <c r="H525" s="53" t="s">
        <v>107</v>
      </c>
      <c r="I525" s="53" t="s">
        <v>107</v>
      </c>
      <c r="J525" s="3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</row>
    <row r="526" spans="1:16">
      <c r="A526" s="180">
        <v>45773</v>
      </c>
      <c r="B526" s="178">
        <f t="shared" si="5"/>
        <v>2025</v>
      </c>
      <c r="C526" s="178">
        <f t="shared" si="6"/>
        <v>4</v>
      </c>
      <c r="D526" s="39" t="s">
        <v>7</v>
      </c>
      <c r="E526" s="47">
        <v>86479</v>
      </c>
      <c r="F526" s="47">
        <v>52481</v>
      </c>
      <c r="G526" s="51">
        <v>108803545119</v>
      </c>
      <c r="H526" s="49">
        <v>24</v>
      </c>
      <c r="I526" s="49">
        <v>49</v>
      </c>
      <c r="J526" s="55">
        <v>1.326666667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80">
        <v>45773</v>
      </c>
      <c r="B527" s="178">
        <f t="shared" si="5"/>
        <v>2025</v>
      </c>
      <c r="C527" s="178">
        <f t="shared" si="6"/>
        <v>4</v>
      </c>
      <c r="D527" s="39" t="s">
        <v>22</v>
      </c>
      <c r="E527" s="47">
        <v>83668</v>
      </c>
      <c r="F527" s="47">
        <v>55985</v>
      </c>
      <c r="G527" s="51">
        <v>106821990990</v>
      </c>
      <c r="H527" s="49">
        <v>28</v>
      </c>
      <c r="I527" s="49">
        <v>61</v>
      </c>
      <c r="J527" s="49">
        <v>2.0350000000000001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</row>
    <row r="528" spans="1:16">
      <c r="A528" s="180">
        <v>45773</v>
      </c>
      <c r="B528" s="178">
        <f t="shared" si="5"/>
        <v>2025</v>
      </c>
      <c r="C528" s="178">
        <f t="shared" si="6"/>
        <v>4</v>
      </c>
      <c r="D528" s="39" t="s">
        <v>9</v>
      </c>
      <c r="E528" s="47">
        <v>68853</v>
      </c>
      <c r="F528" s="47">
        <v>43518</v>
      </c>
      <c r="G528" s="51">
        <v>88499771971</v>
      </c>
      <c r="H528" s="49">
        <v>26</v>
      </c>
      <c r="I528" s="49">
        <v>60</v>
      </c>
      <c r="J528" s="49">
        <v>2.0350000000000001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80">
        <v>45773</v>
      </c>
      <c r="B529" s="178">
        <f t="shared" si="5"/>
        <v>2025</v>
      </c>
      <c r="C529" s="178">
        <f t="shared" si="6"/>
        <v>4</v>
      </c>
      <c r="D529" s="39" t="s">
        <v>8</v>
      </c>
      <c r="E529" s="47">
        <v>55667</v>
      </c>
      <c r="F529" s="47">
        <v>34832</v>
      </c>
      <c r="G529" s="51">
        <v>71141893582</v>
      </c>
      <c r="H529" s="49">
        <v>24</v>
      </c>
      <c r="I529" s="49">
        <v>38</v>
      </c>
      <c r="J529" s="49">
        <v>2.52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</row>
    <row r="530" spans="1:16">
      <c r="A530" s="180">
        <v>45773</v>
      </c>
      <c r="B530" s="178">
        <f t="shared" si="5"/>
        <v>2025</v>
      </c>
      <c r="C530" s="178">
        <f t="shared" si="6"/>
        <v>4</v>
      </c>
      <c r="D530" s="39" t="s">
        <v>10</v>
      </c>
      <c r="E530" s="47">
        <v>46530</v>
      </c>
      <c r="F530" s="47">
        <v>29816</v>
      </c>
      <c r="G530" s="51">
        <v>58277562445</v>
      </c>
      <c r="H530" s="49">
        <v>24</v>
      </c>
      <c r="I530" s="49">
        <v>50</v>
      </c>
      <c r="J530" s="49">
        <v>2.0350000000000001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</row>
    <row r="531" spans="1:16">
      <c r="A531" s="180">
        <v>45773</v>
      </c>
      <c r="B531" s="178">
        <f t="shared" si="5"/>
        <v>2025</v>
      </c>
      <c r="C531" s="178">
        <f t="shared" si="6"/>
        <v>4</v>
      </c>
      <c r="D531" s="39" t="s">
        <v>79</v>
      </c>
      <c r="E531" s="47">
        <v>39926</v>
      </c>
      <c r="F531" s="47">
        <v>25097</v>
      </c>
      <c r="G531" s="51">
        <v>49689418657</v>
      </c>
      <c r="H531" s="49">
        <v>28</v>
      </c>
      <c r="I531" s="49">
        <v>67</v>
      </c>
      <c r="J531" s="49">
        <v>2.52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</row>
    <row r="532" spans="1:16">
      <c r="A532" s="180">
        <v>45773</v>
      </c>
      <c r="B532" s="178">
        <f t="shared" si="5"/>
        <v>2025</v>
      </c>
      <c r="C532" s="178">
        <f t="shared" si="6"/>
        <v>4</v>
      </c>
      <c r="D532" s="39" t="s">
        <v>12</v>
      </c>
      <c r="E532" s="47">
        <v>20470</v>
      </c>
      <c r="F532" s="47">
        <v>13055</v>
      </c>
      <c r="G532" s="51">
        <v>27183168586</v>
      </c>
      <c r="H532" s="49">
        <v>21</v>
      </c>
      <c r="I532" s="49">
        <v>37</v>
      </c>
      <c r="J532" s="49">
        <v>2.4540000000000002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</row>
    <row r="533" spans="1:16">
      <c r="A533" s="180">
        <v>45773</v>
      </c>
      <c r="B533" s="178">
        <f t="shared" si="5"/>
        <v>2025</v>
      </c>
      <c r="C533" s="178">
        <f t="shared" si="6"/>
        <v>4</v>
      </c>
      <c r="D533" s="39" t="s">
        <v>84</v>
      </c>
      <c r="E533" s="47">
        <v>13341</v>
      </c>
      <c r="F533" s="47">
        <v>8580</v>
      </c>
      <c r="G533" s="51">
        <v>17810938784</v>
      </c>
      <c r="H533" s="49">
        <v>22</v>
      </c>
      <c r="I533" s="49">
        <v>34</v>
      </c>
      <c r="J533" s="49">
        <v>2.0350000000000001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</row>
    <row r="534" spans="1:16">
      <c r="A534" s="180">
        <v>45773</v>
      </c>
      <c r="B534" s="178">
        <f t="shared" si="5"/>
        <v>2025</v>
      </c>
      <c r="C534" s="178">
        <f t="shared" si="6"/>
        <v>4</v>
      </c>
      <c r="D534" s="45" t="s">
        <v>91</v>
      </c>
      <c r="E534" s="47">
        <v>12852</v>
      </c>
      <c r="F534" s="47">
        <v>8127</v>
      </c>
      <c r="G534" s="51">
        <v>16090432202</v>
      </c>
      <c r="H534" s="49">
        <v>24</v>
      </c>
      <c r="I534" s="49">
        <v>53</v>
      </c>
      <c r="J534" s="49">
        <v>2.0350000000000001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</row>
    <row r="535" spans="1:16">
      <c r="A535" s="180">
        <v>45773</v>
      </c>
      <c r="B535" s="178">
        <f t="shared" si="5"/>
        <v>2025</v>
      </c>
      <c r="C535" s="178">
        <f t="shared" si="6"/>
        <v>4</v>
      </c>
      <c r="D535" s="50" t="s">
        <v>11</v>
      </c>
      <c r="E535" s="47">
        <v>9040</v>
      </c>
      <c r="F535" s="47">
        <v>5821</v>
      </c>
      <c r="G535" s="51">
        <v>11738638591</v>
      </c>
      <c r="H535" s="49">
        <v>21</v>
      </c>
      <c r="I535" s="49">
        <v>40</v>
      </c>
      <c r="J535" s="49">
        <v>2.0350000000000001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80">
        <v>45773</v>
      </c>
      <c r="B536" s="178">
        <f t="shared" si="5"/>
        <v>2025</v>
      </c>
      <c r="C536" s="178">
        <f t="shared" si="6"/>
        <v>4</v>
      </c>
      <c r="D536" s="45" t="s">
        <v>88</v>
      </c>
      <c r="E536" s="47">
        <v>8578</v>
      </c>
      <c r="F536" s="47">
        <v>6106</v>
      </c>
      <c r="G536" s="51">
        <v>11617582679</v>
      </c>
      <c r="H536" s="49">
        <v>20</v>
      </c>
      <c r="I536" s="49">
        <v>32</v>
      </c>
      <c r="J536" s="49">
        <v>2.0350000000000001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>
      <c r="A537" s="180">
        <v>45773</v>
      </c>
      <c r="B537" s="178">
        <f t="shared" si="5"/>
        <v>2025</v>
      </c>
      <c r="C537" s="178">
        <f t="shared" si="6"/>
        <v>4</v>
      </c>
      <c r="D537" s="45" t="s">
        <v>20</v>
      </c>
      <c r="E537" s="47">
        <v>6939</v>
      </c>
      <c r="F537" s="47">
        <v>4931</v>
      </c>
      <c r="G537" s="51">
        <v>9108396433</v>
      </c>
      <c r="H537" s="49">
        <v>24</v>
      </c>
      <c r="I537" s="49">
        <v>53</v>
      </c>
      <c r="J537" s="49">
        <v>2.0350000000000001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80">
        <v>45773</v>
      </c>
      <c r="B538" s="178">
        <f t="shared" si="5"/>
        <v>2025</v>
      </c>
      <c r="C538" s="178">
        <f t="shared" si="6"/>
        <v>4</v>
      </c>
      <c r="D538" s="45" t="s">
        <v>19</v>
      </c>
      <c r="E538" s="47">
        <v>6803</v>
      </c>
      <c r="F538" s="47">
        <v>4844</v>
      </c>
      <c r="G538" s="51">
        <v>8767185816</v>
      </c>
      <c r="H538" s="49">
        <v>20</v>
      </c>
      <c r="I538" s="49">
        <v>40</v>
      </c>
      <c r="J538" s="49">
        <v>1.74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</row>
    <row r="539" spans="1:16">
      <c r="A539" s="180">
        <v>45773</v>
      </c>
      <c r="B539" s="178">
        <f t="shared" si="5"/>
        <v>2025</v>
      </c>
      <c r="C539" s="178">
        <f t="shared" si="6"/>
        <v>4</v>
      </c>
      <c r="D539" s="50" t="s">
        <v>101</v>
      </c>
      <c r="E539" s="47">
        <v>5788</v>
      </c>
      <c r="F539" s="47">
        <v>3777</v>
      </c>
      <c r="G539" s="51">
        <v>7519975491</v>
      </c>
      <c r="H539" s="49">
        <v>20</v>
      </c>
      <c r="I539" s="49">
        <v>45</v>
      </c>
      <c r="J539" s="49">
        <v>2.0350000000000001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</row>
    <row r="540" spans="1:16">
      <c r="A540" s="180">
        <v>45773</v>
      </c>
      <c r="B540" s="178">
        <f t="shared" si="5"/>
        <v>2025</v>
      </c>
      <c r="C540" s="178">
        <f t="shared" si="6"/>
        <v>4</v>
      </c>
      <c r="D540" s="50" t="s">
        <v>32</v>
      </c>
      <c r="E540" s="47">
        <v>3377</v>
      </c>
      <c r="F540" s="47">
        <v>2187</v>
      </c>
      <c r="G540" s="51">
        <v>4338164664</v>
      </c>
      <c r="H540" s="49">
        <v>25</v>
      </c>
      <c r="I540" s="49">
        <v>39</v>
      </c>
      <c r="J540" s="49">
        <v>2.4540000000000002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>
      <c r="A541" s="180">
        <v>45773</v>
      </c>
      <c r="B541" s="178">
        <f t="shared" si="5"/>
        <v>2025</v>
      </c>
      <c r="C541" s="178">
        <f t="shared" si="6"/>
        <v>4</v>
      </c>
      <c r="D541" s="45" t="s">
        <v>24</v>
      </c>
      <c r="E541" s="47">
        <v>3349</v>
      </c>
      <c r="F541" s="47">
        <v>2086</v>
      </c>
      <c r="G541" s="51">
        <v>4377800876</v>
      </c>
      <c r="H541" s="49">
        <v>23</v>
      </c>
      <c r="I541" s="49">
        <v>15</v>
      </c>
      <c r="J541" s="56">
        <v>1.27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</row>
    <row r="542" spans="1:16">
      <c r="A542" s="180">
        <v>45773</v>
      </c>
      <c r="B542" s="178">
        <f t="shared" si="5"/>
        <v>2025</v>
      </c>
      <c r="C542" s="178">
        <f t="shared" si="6"/>
        <v>4</v>
      </c>
      <c r="D542" s="39" t="s">
        <v>15</v>
      </c>
      <c r="E542" s="47">
        <v>2907</v>
      </c>
      <c r="F542" s="47">
        <v>1787</v>
      </c>
      <c r="G542" s="51">
        <v>3760721801</v>
      </c>
      <c r="H542" s="49">
        <v>20</v>
      </c>
      <c r="I542" s="49">
        <v>32</v>
      </c>
      <c r="J542" s="49">
        <v>2.0350000000000001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</row>
    <row r="543" spans="1:16">
      <c r="A543" s="180">
        <v>45773</v>
      </c>
      <c r="B543" s="178">
        <f t="shared" si="5"/>
        <v>2025</v>
      </c>
      <c r="C543" s="178">
        <f t="shared" si="6"/>
        <v>4</v>
      </c>
      <c r="D543" s="50" t="s">
        <v>93</v>
      </c>
      <c r="E543" s="47">
        <v>1265</v>
      </c>
      <c r="F543" s="49">
        <v>999</v>
      </c>
      <c r="G543" s="51">
        <v>1607231758</v>
      </c>
      <c r="H543" s="49">
        <v>21</v>
      </c>
      <c r="I543" s="49">
        <v>18</v>
      </c>
      <c r="J543" s="49">
        <v>2.0350000000000001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</row>
    <row r="544" spans="1:16">
      <c r="A544" s="180">
        <v>45773</v>
      </c>
      <c r="B544" s="178">
        <f t="shared" si="5"/>
        <v>2025</v>
      </c>
      <c r="C544" s="178">
        <f t="shared" si="6"/>
        <v>4</v>
      </c>
      <c r="D544" s="50" t="s">
        <v>28</v>
      </c>
      <c r="E544" s="49">
        <v>788</v>
      </c>
      <c r="F544" s="49">
        <v>645</v>
      </c>
      <c r="G544" s="51">
        <v>1035767263</v>
      </c>
      <c r="H544" s="49">
        <v>25</v>
      </c>
      <c r="I544" s="49">
        <v>17</v>
      </c>
      <c r="J544" s="49">
        <v>1.326666667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</row>
    <row r="545" spans="1:16">
      <c r="A545" s="180">
        <v>45773</v>
      </c>
      <c r="B545" s="178">
        <f t="shared" si="5"/>
        <v>2025</v>
      </c>
      <c r="C545" s="178">
        <f t="shared" si="6"/>
        <v>4</v>
      </c>
      <c r="D545" s="39" t="s">
        <v>102</v>
      </c>
      <c r="E545" s="49" t="s">
        <v>107</v>
      </c>
      <c r="F545" s="49" t="s">
        <v>107</v>
      </c>
      <c r="G545" s="51" t="s">
        <v>108</v>
      </c>
      <c r="H545" s="49" t="s">
        <v>107</v>
      </c>
      <c r="I545" s="49" t="s">
        <v>107</v>
      </c>
      <c r="J545" s="49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</row>
    <row r="546" spans="1:16">
      <c r="A546" s="180">
        <v>45773</v>
      </c>
      <c r="B546" s="178">
        <f t="shared" si="5"/>
        <v>2025</v>
      </c>
      <c r="C546" s="178">
        <f t="shared" si="6"/>
        <v>4</v>
      </c>
      <c r="D546" s="50" t="s">
        <v>23</v>
      </c>
      <c r="E546" s="49" t="s">
        <v>107</v>
      </c>
      <c r="F546" s="49" t="s">
        <v>107</v>
      </c>
      <c r="G546" s="51" t="s">
        <v>108</v>
      </c>
      <c r="H546" s="49" t="s">
        <v>107</v>
      </c>
      <c r="I546" s="49" t="s">
        <v>107</v>
      </c>
      <c r="J546" s="49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</row>
    <row r="547" spans="1:16">
      <c r="A547" s="180">
        <v>45773</v>
      </c>
      <c r="B547" s="178">
        <f t="shared" si="5"/>
        <v>2025</v>
      </c>
      <c r="C547" s="178">
        <f t="shared" si="6"/>
        <v>4</v>
      </c>
      <c r="D547" s="50" t="s">
        <v>104</v>
      </c>
      <c r="E547" s="49" t="s">
        <v>107</v>
      </c>
      <c r="F547" s="49" t="s">
        <v>107</v>
      </c>
      <c r="G547" s="51" t="s">
        <v>108</v>
      </c>
      <c r="H547" s="49" t="s">
        <v>107</v>
      </c>
      <c r="I547" s="49" t="s">
        <v>107</v>
      </c>
      <c r="J547" s="49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>
      <c r="A548" s="180">
        <v>45773</v>
      </c>
      <c r="B548" s="178">
        <f t="shared" si="5"/>
        <v>2025</v>
      </c>
      <c r="C548" s="178">
        <f t="shared" si="6"/>
        <v>4</v>
      </c>
      <c r="D548" s="50" t="s">
        <v>26</v>
      </c>
      <c r="E548" s="49" t="s">
        <v>107</v>
      </c>
      <c r="F548" s="49" t="s">
        <v>107</v>
      </c>
      <c r="G548" s="51" t="s">
        <v>108</v>
      </c>
      <c r="H548" s="49" t="s">
        <v>107</v>
      </c>
      <c r="I548" s="49" t="s">
        <v>107</v>
      </c>
      <c r="J548" s="49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</row>
    <row r="549" spans="1:16">
      <c r="A549" s="180">
        <v>45773</v>
      </c>
      <c r="B549" s="178">
        <f t="shared" si="5"/>
        <v>2025</v>
      </c>
      <c r="C549" s="178">
        <f t="shared" si="6"/>
        <v>4</v>
      </c>
      <c r="D549" s="39" t="s">
        <v>30</v>
      </c>
      <c r="E549" s="49" t="s">
        <v>107</v>
      </c>
      <c r="F549" s="49" t="s">
        <v>107</v>
      </c>
      <c r="G549" s="51" t="s">
        <v>108</v>
      </c>
      <c r="H549" s="49" t="s">
        <v>107</v>
      </c>
      <c r="I549" s="49" t="s">
        <v>107</v>
      </c>
      <c r="J549" s="49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</row>
    <row r="550" spans="1:16">
      <c r="A550" s="180">
        <v>45773</v>
      </c>
      <c r="B550" s="178">
        <f t="shared" si="5"/>
        <v>2025</v>
      </c>
      <c r="C550" s="178">
        <f t="shared" si="6"/>
        <v>4</v>
      </c>
      <c r="D550" s="39" t="s">
        <v>105</v>
      </c>
      <c r="E550" s="49" t="s">
        <v>107</v>
      </c>
      <c r="F550" s="49" t="s">
        <v>107</v>
      </c>
      <c r="G550" s="51" t="s">
        <v>108</v>
      </c>
      <c r="H550" s="49" t="s">
        <v>107</v>
      </c>
      <c r="I550" s="49" t="s">
        <v>107</v>
      </c>
      <c r="J550" s="56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</row>
    <row r="551" spans="1:16">
      <c r="A551" s="180">
        <v>45773</v>
      </c>
      <c r="B551" s="178">
        <f t="shared" si="5"/>
        <v>2025</v>
      </c>
      <c r="C551" s="178">
        <f t="shared" si="6"/>
        <v>4</v>
      </c>
      <c r="D551" s="50" t="s">
        <v>106</v>
      </c>
      <c r="E551" s="49" t="s">
        <v>107</v>
      </c>
      <c r="F551" s="49" t="s">
        <v>107</v>
      </c>
      <c r="G551" s="51" t="s">
        <v>108</v>
      </c>
      <c r="H551" s="49" t="s">
        <v>107</v>
      </c>
      <c r="I551" s="49" t="s">
        <v>107</v>
      </c>
      <c r="J551" s="49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>
      <c r="A552" s="180">
        <v>45803</v>
      </c>
      <c r="B552" s="178">
        <f t="shared" si="5"/>
        <v>2025</v>
      </c>
      <c r="C552" s="178">
        <f t="shared" si="6"/>
        <v>5</v>
      </c>
      <c r="D552" s="50" t="s">
        <v>7</v>
      </c>
      <c r="E552" s="47">
        <v>112701</v>
      </c>
      <c r="F552" s="47">
        <v>68766</v>
      </c>
      <c r="G552" s="51">
        <v>141779091316</v>
      </c>
      <c r="H552" s="49">
        <v>23</v>
      </c>
      <c r="I552" s="49">
        <v>49</v>
      </c>
      <c r="J552" s="49">
        <v>2.3199999999999998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>
      <c r="A553" s="180">
        <v>45804</v>
      </c>
      <c r="B553" s="178">
        <f t="shared" si="5"/>
        <v>2025</v>
      </c>
      <c r="C553" s="178">
        <f t="shared" si="6"/>
        <v>5</v>
      </c>
      <c r="D553" s="50" t="s">
        <v>22</v>
      </c>
      <c r="E553" s="47">
        <v>104397</v>
      </c>
      <c r="F553" s="47">
        <v>69619</v>
      </c>
      <c r="G553" s="51">
        <v>132692575684</v>
      </c>
      <c r="H553" s="49">
        <v>27</v>
      </c>
      <c r="I553" s="49">
        <v>60</v>
      </c>
      <c r="J553" s="49">
        <v>2.44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</row>
    <row r="554" spans="1:16">
      <c r="A554" s="180">
        <v>45805</v>
      </c>
      <c r="B554" s="178">
        <f t="shared" si="5"/>
        <v>2025</v>
      </c>
      <c r="C554" s="178">
        <f t="shared" si="6"/>
        <v>5</v>
      </c>
      <c r="D554" s="50" t="s">
        <v>9</v>
      </c>
      <c r="E554" s="47">
        <v>86872</v>
      </c>
      <c r="F554" s="47">
        <v>55062</v>
      </c>
      <c r="G554" s="51">
        <v>112022225158</v>
      </c>
      <c r="H554" s="49">
        <v>25</v>
      </c>
      <c r="I554" s="49">
        <v>57</v>
      </c>
      <c r="J554" s="49">
        <v>2.12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>
      <c r="A555" s="180">
        <v>45806</v>
      </c>
      <c r="B555" s="178">
        <f t="shared" si="5"/>
        <v>2025</v>
      </c>
      <c r="C555" s="178">
        <f t="shared" si="6"/>
        <v>5</v>
      </c>
      <c r="D555" s="50" t="s">
        <v>8</v>
      </c>
      <c r="E555" s="47">
        <v>73200</v>
      </c>
      <c r="F555" s="47">
        <v>45841</v>
      </c>
      <c r="G555" s="51">
        <v>93782846154</v>
      </c>
      <c r="H555" s="49">
        <v>24</v>
      </c>
      <c r="I555" s="49">
        <v>39</v>
      </c>
      <c r="J555" s="49">
        <v>2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>
      <c r="A556" s="180">
        <v>45807</v>
      </c>
      <c r="B556" s="178">
        <f t="shared" si="5"/>
        <v>2025</v>
      </c>
      <c r="C556" s="178">
        <f t="shared" si="6"/>
        <v>5</v>
      </c>
      <c r="D556" s="50" t="s">
        <v>10</v>
      </c>
      <c r="E556" s="47">
        <v>56271</v>
      </c>
      <c r="F556" s="47">
        <v>36405</v>
      </c>
      <c r="G556" s="51">
        <v>71226766602</v>
      </c>
      <c r="H556" s="49">
        <v>24</v>
      </c>
      <c r="I556" s="49">
        <v>48</v>
      </c>
      <c r="J556" s="49">
        <v>1.7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</row>
    <row r="557" spans="1:16">
      <c r="A557" s="180">
        <v>45808</v>
      </c>
      <c r="B557" s="178">
        <f t="shared" si="5"/>
        <v>2025</v>
      </c>
      <c r="C557" s="178">
        <f t="shared" si="6"/>
        <v>5</v>
      </c>
      <c r="D557" s="50" t="s">
        <v>79</v>
      </c>
      <c r="E557" s="47">
        <v>47515</v>
      </c>
      <c r="F557" s="47">
        <v>30009</v>
      </c>
      <c r="G557" s="51">
        <v>59637853538</v>
      </c>
      <c r="H557" s="49">
        <v>27</v>
      </c>
      <c r="I557" s="49">
        <v>65</v>
      </c>
      <c r="J557" s="49">
        <v>2.33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</row>
    <row r="558" spans="1:16">
      <c r="A558" s="180">
        <v>45808</v>
      </c>
      <c r="B558" s="178">
        <f t="shared" si="5"/>
        <v>2025</v>
      </c>
      <c r="C558" s="178">
        <f t="shared" si="6"/>
        <v>5</v>
      </c>
      <c r="D558" s="50" t="s">
        <v>12</v>
      </c>
      <c r="E558" s="47">
        <v>26156</v>
      </c>
      <c r="F558" s="47">
        <v>16856</v>
      </c>
      <c r="G558" s="51">
        <v>35093409543</v>
      </c>
      <c r="H558" s="49">
        <v>21</v>
      </c>
      <c r="I558" s="49">
        <v>38</v>
      </c>
      <c r="J558" s="49">
        <v>2.09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>
      <c r="A559" s="180">
        <v>45808</v>
      </c>
      <c r="B559" s="178">
        <f t="shared" si="5"/>
        <v>2025</v>
      </c>
      <c r="C559" s="178">
        <f t="shared" si="6"/>
        <v>5</v>
      </c>
      <c r="D559" s="50" t="s">
        <v>84</v>
      </c>
      <c r="E559" s="47">
        <v>19584</v>
      </c>
      <c r="F559" s="47">
        <v>12723</v>
      </c>
      <c r="G559" s="51">
        <v>26264491689</v>
      </c>
      <c r="H559" s="49">
        <v>21</v>
      </c>
      <c r="I559" s="49">
        <v>35</v>
      </c>
      <c r="J559" s="49">
        <v>2.0499999999999998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</row>
    <row r="560" spans="1:16">
      <c r="A560" s="180">
        <v>45808</v>
      </c>
      <c r="B560" s="178">
        <f t="shared" si="5"/>
        <v>2025</v>
      </c>
      <c r="C560" s="178">
        <f t="shared" si="6"/>
        <v>5</v>
      </c>
      <c r="D560" s="50" t="s">
        <v>91</v>
      </c>
      <c r="E560" s="47">
        <v>17780</v>
      </c>
      <c r="F560" s="47">
        <v>11105</v>
      </c>
      <c r="G560" s="51">
        <v>22238355389</v>
      </c>
      <c r="H560" s="49">
        <v>23</v>
      </c>
      <c r="I560" s="49">
        <v>51</v>
      </c>
      <c r="J560" s="49">
        <v>2.06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</row>
    <row r="561" spans="1:16">
      <c r="A561" s="180">
        <v>45808</v>
      </c>
      <c r="B561" s="178">
        <f t="shared" si="5"/>
        <v>2025</v>
      </c>
      <c r="C561" s="178">
        <f t="shared" si="6"/>
        <v>5</v>
      </c>
      <c r="D561" s="50" t="s">
        <v>11</v>
      </c>
      <c r="E561" s="47">
        <v>11617</v>
      </c>
      <c r="F561" s="47">
        <v>7559</v>
      </c>
      <c r="G561" s="51">
        <v>15174476510</v>
      </c>
      <c r="H561" s="49">
        <v>21</v>
      </c>
      <c r="I561" s="49">
        <v>40</v>
      </c>
      <c r="J561" s="49">
        <v>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>
      <c r="A562" s="180">
        <v>45808</v>
      </c>
      <c r="B562" s="178">
        <f t="shared" si="5"/>
        <v>2025</v>
      </c>
      <c r="C562" s="178">
        <f t="shared" si="6"/>
        <v>5</v>
      </c>
      <c r="D562" s="50" t="s">
        <v>88</v>
      </c>
      <c r="E562" s="47">
        <v>10412</v>
      </c>
      <c r="F562" s="47">
        <v>7362</v>
      </c>
      <c r="G562" s="51">
        <v>14023960562</v>
      </c>
      <c r="H562" s="49">
        <v>20</v>
      </c>
      <c r="I562" s="49">
        <v>30</v>
      </c>
      <c r="J562" s="49">
        <v>1.59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</row>
    <row r="563" spans="1:16">
      <c r="A563" s="180">
        <v>45808</v>
      </c>
      <c r="B563" s="178">
        <f t="shared" si="5"/>
        <v>2025</v>
      </c>
      <c r="C563" s="178">
        <f t="shared" si="6"/>
        <v>5</v>
      </c>
      <c r="D563" s="50" t="s">
        <v>20</v>
      </c>
      <c r="E563" s="47">
        <v>8146</v>
      </c>
      <c r="F563" s="47">
        <v>5809</v>
      </c>
      <c r="G563" s="51">
        <v>10705081515</v>
      </c>
      <c r="H563" s="49">
        <v>23</v>
      </c>
      <c r="I563" s="49">
        <v>51</v>
      </c>
      <c r="J563" s="49">
        <v>2.16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</row>
    <row r="564" spans="1:16">
      <c r="A564" s="180">
        <v>45808</v>
      </c>
      <c r="B564" s="178">
        <f t="shared" si="5"/>
        <v>2025</v>
      </c>
      <c r="C564" s="178">
        <f t="shared" si="6"/>
        <v>5</v>
      </c>
      <c r="D564" s="50" t="s">
        <v>19</v>
      </c>
      <c r="E564" s="47">
        <v>7976</v>
      </c>
      <c r="F564" s="47">
        <v>5611</v>
      </c>
      <c r="G564" s="51">
        <v>10239485596</v>
      </c>
      <c r="H564" s="49">
        <v>19</v>
      </c>
      <c r="I564" s="49">
        <v>39</v>
      </c>
      <c r="J564" s="49">
        <v>2.09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</row>
    <row r="565" spans="1:16">
      <c r="A565" s="180">
        <v>45808</v>
      </c>
      <c r="B565" s="178">
        <f t="shared" si="5"/>
        <v>2025</v>
      </c>
      <c r="C565" s="178">
        <f t="shared" si="6"/>
        <v>5</v>
      </c>
      <c r="D565" s="50" t="s">
        <v>101</v>
      </c>
      <c r="E565" s="47">
        <v>7117</v>
      </c>
      <c r="F565" s="47">
        <v>4761</v>
      </c>
      <c r="G565" s="51">
        <v>9263357706</v>
      </c>
      <c r="H565" s="49">
        <v>22</v>
      </c>
      <c r="I565" s="49">
        <v>48</v>
      </c>
      <c r="J565" s="49">
        <v>1.92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</row>
    <row r="566" spans="1:16">
      <c r="A566" s="180">
        <v>45808</v>
      </c>
      <c r="B566" s="178">
        <f t="shared" si="5"/>
        <v>2025</v>
      </c>
      <c r="C566" s="178">
        <f t="shared" si="6"/>
        <v>5</v>
      </c>
      <c r="D566" s="50" t="s">
        <v>32</v>
      </c>
      <c r="E566" s="47">
        <v>4815</v>
      </c>
      <c r="F566" s="47">
        <v>3146</v>
      </c>
      <c r="G566" s="51">
        <v>6281610428</v>
      </c>
      <c r="H566" s="49">
        <v>22</v>
      </c>
      <c r="I566" s="49">
        <v>39</v>
      </c>
      <c r="J566" s="49">
        <v>2.4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</row>
    <row r="567" spans="1:16">
      <c r="A567" s="180">
        <v>45808</v>
      </c>
      <c r="B567" s="178">
        <f t="shared" si="5"/>
        <v>2025</v>
      </c>
      <c r="C567" s="178">
        <f t="shared" si="6"/>
        <v>5</v>
      </c>
      <c r="D567" s="50" t="s">
        <v>15</v>
      </c>
      <c r="E567" s="47">
        <v>3989</v>
      </c>
      <c r="F567" s="47">
        <v>2477</v>
      </c>
      <c r="G567" s="51">
        <v>5211080725</v>
      </c>
      <c r="H567" s="49">
        <v>19</v>
      </c>
      <c r="I567" s="49">
        <v>32</v>
      </c>
      <c r="J567" s="49">
        <v>2.1800000000000002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</row>
    <row r="568" spans="1:16">
      <c r="A568" s="180">
        <v>45808</v>
      </c>
      <c r="B568" s="178">
        <f t="shared" si="5"/>
        <v>2025</v>
      </c>
      <c r="C568" s="178">
        <f t="shared" si="6"/>
        <v>5</v>
      </c>
      <c r="D568" s="50" t="s">
        <v>24</v>
      </c>
      <c r="E568" s="47">
        <v>3791</v>
      </c>
      <c r="F568" s="47">
        <v>2384</v>
      </c>
      <c r="G568" s="51">
        <v>4976291038</v>
      </c>
      <c r="H568" s="49">
        <v>24</v>
      </c>
      <c r="I568" s="49">
        <v>14</v>
      </c>
      <c r="J568" s="49">
        <v>0.75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</row>
    <row r="569" spans="1:16">
      <c r="A569" s="180">
        <v>45808</v>
      </c>
      <c r="B569" s="178">
        <f t="shared" si="5"/>
        <v>2025</v>
      </c>
      <c r="C569" s="178">
        <f t="shared" si="6"/>
        <v>5</v>
      </c>
      <c r="D569" s="50" t="s">
        <v>93</v>
      </c>
      <c r="E569" s="47">
        <v>1484</v>
      </c>
      <c r="F569" s="47">
        <v>1157</v>
      </c>
      <c r="G569" s="51">
        <v>1863827147</v>
      </c>
      <c r="H569" s="49">
        <v>20</v>
      </c>
      <c r="I569" s="49">
        <v>19</v>
      </c>
      <c r="J569" s="49">
        <v>1.87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>
      <c r="A570" s="180">
        <v>45808</v>
      </c>
      <c r="B570" s="178">
        <f t="shared" si="5"/>
        <v>2025</v>
      </c>
      <c r="C570" s="178">
        <f t="shared" si="6"/>
        <v>5</v>
      </c>
      <c r="D570" s="50" t="s">
        <v>28</v>
      </c>
      <c r="E570" s="49">
        <v>957</v>
      </c>
      <c r="F570" s="49">
        <v>787</v>
      </c>
      <c r="G570" s="51">
        <v>1248330958</v>
      </c>
      <c r="H570" s="49">
        <v>25</v>
      </c>
      <c r="I570" s="49">
        <v>16</v>
      </c>
      <c r="J570" s="49">
        <v>0.86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</row>
    <row r="571" spans="1:16">
      <c r="A571" s="180">
        <v>45808</v>
      </c>
      <c r="B571" s="178">
        <f t="shared" si="5"/>
        <v>2025</v>
      </c>
      <c r="C571" s="178">
        <f t="shared" si="6"/>
        <v>5</v>
      </c>
      <c r="D571" s="50" t="s">
        <v>102</v>
      </c>
      <c r="E571" s="49" t="s">
        <v>107</v>
      </c>
      <c r="F571" s="49" t="s">
        <v>107</v>
      </c>
      <c r="G571" s="51" t="s">
        <v>109</v>
      </c>
      <c r="H571" s="49" t="s">
        <v>107</v>
      </c>
      <c r="I571" s="49" t="s">
        <v>107</v>
      </c>
      <c r="J571" s="49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</row>
    <row r="572" spans="1:16">
      <c r="A572" s="180">
        <v>45808</v>
      </c>
      <c r="B572" s="178">
        <f t="shared" si="5"/>
        <v>2025</v>
      </c>
      <c r="C572" s="178">
        <f t="shared" si="6"/>
        <v>5</v>
      </c>
      <c r="D572" s="50" t="s">
        <v>23</v>
      </c>
      <c r="E572" s="49" t="s">
        <v>107</v>
      </c>
      <c r="F572" s="49" t="s">
        <v>107</v>
      </c>
      <c r="G572" s="51" t="s">
        <v>109</v>
      </c>
      <c r="H572" s="49" t="s">
        <v>107</v>
      </c>
      <c r="I572" s="49" t="s">
        <v>107</v>
      </c>
      <c r="J572" s="49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</row>
    <row r="573" spans="1:16">
      <c r="A573" s="180">
        <v>45808</v>
      </c>
      <c r="B573" s="178">
        <f t="shared" si="5"/>
        <v>2025</v>
      </c>
      <c r="C573" s="178">
        <f t="shared" si="6"/>
        <v>5</v>
      </c>
      <c r="D573" s="50" t="s">
        <v>104</v>
      </c>
      <c r="E573" s="49" t="s">
        <v>107</v>
      </c>
      <c r="F573" s="49" t="s">
        <v>107</v>
      </c>
      <c r="G573" s="51" t="s">
        <v>109</v>
      </c>
      <c r="H573" s="49" t="s">
        <v>107</v>
      </c>
      <c r="I573" s="49" t="s">
        <v>107</v>
      </c>
      <c r="J573" s="49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</row>
    <row r="574" spans="1:16">
      <c r="A574" s="180">
        <v>45808</v>
      </c>
      <c r="B574" s="178">
        <f t="shared" si="5"/>
        <v>2025</v>
      </c>
      <c r="C574" s="178">
        <f t="shared" si="6"/>
        <v>5</v>
      </c>
      <c r="D574" s="50" t="s">
        <v>26</v>
      </c>
      <c r="E574" s="49" t="s">
        <v>107</v>
      </c>
      <c r="F574" s="49" t="s">
        <v>107</v>
      </c>
      <c r="G574" s="51" t="s">
        <v>109</v>
      </c>
      <c r="H574" s="49" t="s">
        <v>107</v>
      </c>
      <c r="I574" s="49" t="s">
        <v>107</v>
      </c>
      <c r="J574" s="49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</row>
    <row r="575" spans="1:16">
      <c r="A575" s="180">
        <v>45808</v>
      </c>
      <c r="B575" s="178">
        <f t="shared" si="5"/>
        <v>2025</v>
      </c>
      <c r="C575" s="178">
        <f t="shared" si="6"/>
        <v>5</v>
      </c>
      <c r="D575" s="50" t="s">
        <v>30</v>
      </c>
      <c r="E575" s="49" t="s">
        <v>107</v>
      </c>
      <c r="F575" s="49" t="s">
        <v>107</v>
      </c>
      <c r="G575" s="51" t="s">
        <v>109</v>
      </c>
      <c r="H575" s="49" t="s">
        <v>107</v>
      </c>
      <c r="I575" s="49" t="s">
        <v>107</v>
      </c>
      <c r="J575" s="49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</row>
    <row r="576" spans="1:16">
      <c r="A576" s="180">
        <v>45808</v>
      </c>
      <c r="B576" s="178">
        <f t="shared" si="5"/>
        <v>2025</v>
      </c>
      <c r="C576" s="178">
        <f t="shared" si="6"/>
        <v>5</v>
      </c>
      <c r="D576" s="50" t="s">
        <v>105</v>
      </c>
      <c r="E576" s="49" t="s">
        <v>107</v>
      </c>
      <c r="F576" s="49" t="s">
        <v>107</v>
      </c>
      <c r="G576" s="51" t="s">
        <v>109</v>
      </c>
      <c r="H576" s="49" t="s">
        <v>107</v>
      </c>
      <c r="I576" s="49" t="s">
        <v>107</v>
      </c>
      <c r="J576" s="49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</row>
    <row r="577" spans="1:16">
      <c r="A577" s="180">
        <v>45808</v>
      </c>
      <c r="B577" s="178">
        <f t="shared" si="5"/>
        <v>2025</v>
      </c>
      <c r="C577" s="178">
        <f t="shared" si="6"/>
        <v>5</v>
      </c>
      <c r="D577" s="50" t="s">
        <v>106</v>
      </c>
      <c r="E577" s="49" t="s">
        <v>107</v>
      </c>
      <c r="F577" s="49" t="s">
        <v>107</v>
      </c>
      <c r="G577" s="51" t="s">
        <v>109</v>
      </c>
      <c r="H577" s="49" t="s">
        <v>107</v>
      </c>
      <c r="I577" s="49" t="s">
        <v>107</v>
      </c>
      <c r="J577" s="49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</row>
    <row r="578" spans="1:16">
      <c r="A578" s="180">
        <v>45838</v>
      </c>
      <c r="B578" s="178">
        <f t="shared" si="5"/>
        <v>2025</v>
      </c>
      <c r="C578" s="178">
        <f t="shared" si="6"/>
        <v>6</v>
      </c>
      <c r="D578" s="25" t="s">
        <v>7</v>
      </c>
      <c r="E578" s="6">
        <v>138919</v>
      </c>
      <c r="F578" s="6">
        <v>84837</v>
      </c>
      <c r="G578" s="28">
        <v>174326999137</v>
      </c>
      <c r="H578" s="1">
        <v>24</v>
      </c>
      <c r="I578" s="1">
        <v>49</v>
      </c>
      <c r="J578" s="1">
        <v>2.12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</row>
    <row r="579" spans="1:16">
      <c r="A579" s="180">
        <v>45810</v>
      </c>
      <c r="B579" s="178">
        <f t="shared" si="5"/>
        <v>2025</v>
      </c>
      <c r="C579" s="178">
        <f t="shared" si="6"/>
        <v>6</v>
      </c>
      <c r="D579" s="25" t="s">
        <v>22</v>
      </c>
      <c r="E579" s="6">
        <v>122517</v>
      </c>
      <c r="F579" s="6">
        <v>81896</v>
      </c>
      <c r="G579" s="28">
        <v>155689826518</v>
      </c>
      <c r="H579" s="1">
        <v>26</v>
      </c>
      <c r="I579" s="1">
        <v>58</v>
      </c>
      <c r="J579" s="1">
        <v>2.54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</row>
    <row r="580" spans="1:16">
      <c r="A580" s="180">
        <v>45811</v>
      </c>
      <c r="B580" s="178">
        <f t="shared" si="5"/>
        <v>2025</v>
      </c>
      <c r="C580" s="178">
        <f t="shared" si="6"/>
        <v>6</v>
      </c>
      <c r="D580" s="25" t="s">
        <v>9</v>
      </c>
      <c r="E580" s="6">
        <v>107370</v>
      </c>
      <c r="F580" s="6">
        <v>67927</v>
      </c>
      <c r="G580" s="28">
        <v>137661007828</v>
      </c>
      <c r="H580" s="1">
        <v>25</v>
      </c>
      <c r="I580" s="1">
        <v>57</v>
      </c>
      <c r="J580" s="1">
        <v>2.29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</row>
    <row r="581" spans="1:16">
      <c r="A581" s="180">
        <v>45812</v>
      </c>
      <c r="B581" s="178">
        <f t="shared" si="5"/>
        <v>2025</v>
      </c>
      <c r="C581" s="178">
        <f t="shared" si="6"/>
        <v>6</v>
      </c>
      <c r="D581" s="25" t="s">
        <v>8</v>
      </c>
      <c r="E581" s="6">
        <v>85432</v>
      </c>
      <c r="F581" s="6">
        <v>53622</v>
      </c>
      <c r="G581" s="28">
        <v>109455883942</v>
      </c>
      <c r="H581" s="1">
        <v>24</v>
      </c>
      <c r="I581" s="1">
        <v>41</v>
      </c>
      <c r="J581" s="1">
        <v>2.09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>
      <c r="A582" s="180">
        <v>45813</v>
      </c>
      <c r="B582" s="178">
        <f t="shared" si="5"/>
        <v>2025</v>
      </c>
      <c r="C582" s="178">
        <f t="shared" si="6"/>
        <v>6</v>
      </c>
      <c r="D582" s="25" t="s">
        <v>10</v>
      </c>
      <c r="E582" s="6">
        <v>71051</v>
      </c>
      <c r="F582" s="6">
        <v>46029</v>
      </c>
      <c r="G582" s="28">
        <v>89870376944</v>
      </c>
      <c r="H582" s="1">
        <v>24</v>
      </c>
      <c r="I582" s="1">
        <v>48</v>
      </c>
      <c r="J582" s="1">
        <v>2.27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</row>
    <row r="583" spans="1:16">
      <c r="A583" s="180">
        <v>45814</v>
      </c>
      <c r="B583" s="178">
        <f t="shared" si="5"/>
        <v>2025</v>
      </c>
      <c r="C583" s="178">
        <f t="shared" si="6"/>
        <v>6</v>
      </c>
      <c r="D583" s="25" t="s">
        <v>79</v>
      </c>
      <c r="E583" s="6">
        <v>58214</v>
      </c>
      <c r="F583" s="6">
        <v>36902</v>
      </c>
      <c r="G583" s="28">
        <v>73099020150</v>
      </c>
      <c r="H583" s="1">
        <v>26</v>
      </c>
      <c r="I583" s="1">
        <v>63</v>
      </c>
      <c r="J583" s="1">
        <v>2.4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>
      <c r="A584" s="180">
        <v>45815</v>
      </c>
      <c r="B584" s="178">
        <f t="shared" si="5"/>
        <v>2025</v>
      </c>
      <c r="C584" s="178">
        <f t="shared" si="6"/>
        <v>6</v>
      </c>
      <c r="D584" s="25" t="s">
        <v>12</v>
      </c>
      <c r="E584" s="6">
        <v>30935</v>
      </c>
      <c r="F584" s="6">
        <v>19963</v>
      </c>
      <c r="G584" s="28">
        <v>41545274074</v>
      </c>
      <c r="H584" s="1">
        <v>20</v>
      </c>
      <c r="I584" s="1">
        <v>37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</row>
    <row r="585" spans="1:16">
      <c r="A585" s="180">
        <v>45816</v>
      </c>
      <c r="B585" s="178">
        <f t="shared" si="5"/>
        <v>2025</v>
      </c>
      <c r="C585" s="178">
        <f t="shared" si="6"/>
        <v>6</v>
      </c>
      <c r="D585" s="25" t="s">
        <v>84</v>
      </c>
      <c r="E585" s="6">
        <v>24337</v>
      </c>
      <c r="F585" s="6">
        <v>15948</v>
      </c>
      <c r="G585" s="28">
        <v>32788063770</v>
      </c>
      <c r="H585" s="1">
        <v>20</v>
      </c>
      <c r="I585" s="1">
        <v>33</v>
      </c>
      <c r="J585" s="1">
        <v>1.62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>
      <c r="A586" s="180">
        <v>45817</v>
      </c>
      <c r="B586" s="178">
        <f t="shared" si="5"/>
        <v>2025</v>
      </c>
      <c r="C586" s="178">
        <f t="shared" si="6"/>
        <v>6</v>
      </c>
      <c r="D586" s="25" t="s">
        <v>91</v>
      </c>
      <c r="E586" s="6">
        <v>22562</v>
      </c>
      <c r="F586" s="6">
        <v>14042</v>
      </c>
      <c r="G586" s="28">
        <v>27945245466</v>
      </c>
      <c r="H586" s="1">
        <v>23</v>
      </c>
      <c r="I586" s="1">
        <v>51</v>
      </c>
      <c r="J586" s="1">
        <v>2.5499999999999998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</row>
    <row r="587" spans="1:16">
      <c r="A587" s="180">
        <v>45812</v>
      </c>
      <c r="B587" s="178">
        <f t="shared" si="5"/>
        <v>2025</v>
      </c>
      <c r="C587" s="178">
        <f t="shared" si="6"/>
        <v>6</v>
      </c>
      <c r="D587" s="25" t="s">
        <v>11</v>
      </c>
      <c r="E587" s="6">
        <v>14258</v>
      </c>
      <c r="F587" s="6">
        <v>9398</v>
      </c>
      <c r="G587" s="28">
        <v>18580848579</v>
      </c>
      <c r="H587" s="1">
        <v>22</v>
      </c>
      <c r="I587" s="1">
        <v>40</v>
      </c>
      <c r="J587" s="1">
        <v>1.78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>
      <c r="A588" s="180">
        <v>45813</v>
      </c>
      <c r="B588" s="178">
        <f t="shared" si="5"/>
        <v>2025</v>
      </c>
      <c r="C588" s="178">
        <f t="shared" si="6"/>
        <v>6</v>
      </c>
      <c r="D588" s="25" t="s">
        <v>88</v>
      </c>
      <c r="E588" s="6">
        <v>12196</v>
      </c>
      <c r="F588" s="6">
        <v>8637</v>
      </c>
      <c r="G588" s="28">
        <v>16400406108</v>
      </c>
      <c r="H588" s="1">
        <v>19</v>
      </c>
      <c r="I588" s="1">
        <v>31</v>
      </c>
      <c r="J588" s="1">
        <v>2.06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80">
        <v>45814</v>
      </c>
      <c r="B589" s="178">
        <f t="shared" si="5"/>
        <v>2025</v>
      </c>
      <c r="C589" s="178">
        <f t="shared" si="6"/>
        <v>6</v>
      </c>
      <c r="D589" s="25" t="s">
        <v>20</v>
      </c>
      <c r="E589" s="6">
        <v>9565</v>
      </c>
      <c r="F589" s="6">
        <v>6830</v>
      </c>
      <c r="G589" s="28">
        <v>12617512286</v>
      </c>
      <c r="H589" s="1">
        <v>21</v>
      </c>
      <c r="I589" s="1">
        <v>48</v>
      </c>
      <c r="J589" s="1">
        <v>1.88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80">
        <v>45815</v>
      </c>
      <c r="B590" s="178">
        <f t="shared" si="5"/>
        <v>2025</v>
      </c>
      <c r="C590" s="178">
        <f t="shared" si="6"/>
        <v>6</v>
      </c>
      <c r="D590" s="25" t="s">
        <v>19</v>
      </c>
      <c r="E590" s="6">
        <v>9223</v>
      </c>
      <c r="F590" s="6">
        <v>6443</v>
      </c>
      <c r="G590" s="28">
        <v>11823671477</v>
      </c>
      <c r="H590" s="1">
        <v>19</v>
      </c>
      <c r="I590" s="1">
        <v>40</v>
      </c>
      <c r="J590" s="1">
        <v>2.4300000000000002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>
      <c r="A591" s="180">
        <v>45816</v>
      </c>
      <c r="B591" s="178">
        <f t="shared" si="5"/>
        <v>2025</v>
      </c>
      <c r="C591" s="178">
        <f t="shared" si="6"/>
        <v>6</v>
      </c>
      <c r="D591" s="25" t="s">
        <v>101</v>
      </c>
      <c r="E591" s="6">
        <v>8511</v>
      </c>
      <c r="F591" s="6">
        <v>5691</v>
      </c>
      <c r="G591" s="28">
        <v>11052323596</v>
      </c>
      <c r="H591" s="1">
        <v>22</v>
      </c>
      <c r="I591" s="1">
        <v>47</v>
      </c>
      <c r="J591" s="1">
        <v>2.23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</row>
    <row r="592" spans="1:16">
      <c r="A592" s="180">
        <v>45817</v>
      </c>
      <c r="B592" s="178">
        <f t="shared" si="5"/>
        <v>2025</v>
      </c>
      <c r="C592" s="178">
        <f t="shared" si="6"/>
        <v>6</v>
      </c>
      <c r="D592" s="25" t="s">
        <v>32</v>
      </c>
      <c r="E592" s="6">
        <v>6456</v>
      </c>
      <c r="F592" s="6">
        <v>4166</v>
      </c>
      <c r="G592" s="28">
        <v>8334757795</v>
      </c>
      <c r="H592" s="1">
        <v>22</v>
      </c>
      <c r="I592" s="1">
        <v>40</v>
      </c>
      <c r="J592" s="1">
        <v>2.2799999999999998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</row>
    <row r="593" spans="1:16">
      <c r="A593" s="180">
        <v>45818</v>
      </c>
      <c r="B593" s="178">
        <f t="shared" si="5"/>
        <v>2025</v>
      </c>
      <c r="C593" s="178">
        <f t="shared" si="6"/>
        <v>6</v>
      </c>
      <c r="D593" s="25" t="s">
        <v>15</v>
      </c>
      <c r="E593" s="6">
        <v>5195</v>
      </c>
      <c r="F593" s="6">
        <v>3300</v>
      </c>
      <c r="G593" s="28">
        <v>6792083860</v>
      </c>
      <c r="H593" s="1">
        <v>20</v>
      </c>
      <c r="I593" s="1">
        <v>34</v>
      </c>
      <c r="J593" s="1">
        <v>1.87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</row>
    <row r="594" spans="1:16">
      <c r="A594" s="180">
        <v>45819</v>
      </c>
      <c r="B594" s="178">
        <f t="shared" si="5"/>
        <v>2025</v>
      </c>
      <c r="C594" s="178">
        <f t="shared" si="6"/>
        <v>6</v>
      </c>
      <c r="D594" s="25" t="s">
        <v>24</v>
      </c>
      <c r="E594" s="6">
        <v>4956</v>
      </c>
      <c r="F594" s="6">
        <v>3081</v>
      </c>
      <c r="G594" s="28">
        <v>6504992758</v>
      </c>
      <c r="H594" s="1">
        <v>23</v>
      </c>
      <c r="I594" s="1">
        <v>14</v>
      </c>
      <c r="J594" s="1">
        <v>1.05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</row>
    <row r="595" spans="1:16">
      <c r="A595" s="180">
        <v>45820</v>
      </c>
      <c r="B595" s="178">
        <f t="shared" si="5"/>
        <v>2025</v>
      </c>
      <c r="C595" s="178">
        <f t="shared" si="6"/>
        <v>6</v>
      </c>
      <c r="D595" s="25" t="s">
        <v>28</v>
      </c>
      <c r="E595" s="6">
        <v>2057</v>
      </c>
      <c r="F595" s="6">
        <v>1634</v>
      </c>
      <c r="G595" s="28">
        <v>2633508964</v>
      </c>
      <c r="H595" s="1">
        <v>24</v>
      </c>
      <c r="I595" s="1">
        <v>18</v>
      </c>
      <c r="J595" s="1">
        <v>1.66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80">
        <v>45821</v>
      </c>
      <c r="B596" s="178">
        <f t="shared" si="5"/>
        <v>2025</v>
      </c>
      <c r="C596" s="178">
        <f t="shared" si="6"/>
        <v>6</v>
      </c>
      <c r="D596" s="25" t="s">
        <v>93</v>
      </c>
      <c r="E596" s="6">
        <v>1947</v>
      </c>
      <c r="F596" s="6">
        <v>1501</v>
      </c>
      <c r="G596" s="28">
        <v>2420585906</v>
      </c>
      <c r="H596" s="1">
        <v>20</v>
      </c>
      <c r="I596" s="1">
        <v>19</v>
      </c>
      <c r="J596" s="1">
        <v>1.1100000000000001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</row>
    <row r="597" spans="1:16">
      <c r="A597" s="180">
        <v>45822</v>
      </c>
      <c r="B597" s="178">
        <f t="shared" si="5"/>
        <v>2025</v>
      </c>
      <c r="C597" s="178">
        <f t="shared" si="6"/>
        <v>6</v>
      </c>
      <c r="D597" s="25" t="s">
        <v>102</v>
      </c>
      <c r="E597" s="1" t="s">
        <v>107</v>
      </c>
      <c r="F597" s="1" t="s">
        <v>107</v>
      </c>
      <c r="G597" s="28" t="s">
        <v>109</v>
      </c>
      <c r="H597" s="1" t="s">
        <v>107</v>
      </c>
      <c r="I597" s="1" t="s">
        <v>107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</row>
    <row r="598" spans="1:16">
      <c r="A598" s="180">
        <v>45823</v>
      </c>
      <c r="B598" s="178">
        <f t="shared" si="5"/>
        <v>2025</v>
      </c>
      <c r="C598" s="178">
        <f t="shared" si="6"/>
        <v>6</v>
      </c>
      <c r="D598" s="25" t="s">
        <v>23</v>
      </c>
      <c r="E598" s="1" t="s">
        <v>107</v>
      </c>
      <c r="F598" s="1" t="s">
        <v>107</v>
      </c>
      <c r="G598" s="28" t="s">
        <v>109</v>
      </c>
      <c r="H598" s="1" t="s">
        <v>107</v>
      </c>
      <c r="I598" s="1" t="s">
        <v>107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</row>
    <row r="599" spans="1:16">
      <c r="A599" s="180">
        <v>45824</v>
      </c>
      <c r="B599" s="178">
        <f t="shared" si="5"/>
        <v>2025</v>
      </c>
      <c r="C599" s="178">
        <f t="shared" si="6"/>
        <v>6</v>
      </c>
      <c r="D599" s="25" t="s">
        <v>104</v>
      </c>
      <c r="E599" s="1" t="s">
        <v>107</v>
      </c>
      <c r="F599" s="1" t="s">
        <v>107</v>
      </c>
      <c r="G599" s="28" t="s">
        <v>109</v>
      </c>
      <c r="H599" s="1" t="s">
        <v>107</v>
      </c>
      <c r="I599" s="1" t="s">
        <v>107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</row>
    <row r="600" spans="1:16">
      <c r="A600" s="180">
        <v>45825</v>
      </c>
      <c r="B600" s="178">
        <f t="shared" si="5"/>
        <v>2025</v>
      </c>
      <c r="C600" s="178">
        <f t="shared" si="6"/>
        <v>6</v>
      </c>
      <c r="D600" s="25" t="s">
        <v>26</v>
      </c>
      <c r="E600" s="1" t="s">
        <v>107</v>
      </c>
      <c r="F600" s="1" t="s">
        <v>107</v>
      </c>
      <c r="G600" s="28" t="s">
        <v>109</v>
      </c>
      <c r="H600" s="1" t="s">
        <v>107</v>
      </c>
      <c r="I600" s="1" t="s">
        <v>107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</row>
    <row r="601" spans="1:16">
      <c r="A601" s="180">
        <v>45826</v>
      </c>
      <c r="B601" s="178">
        <f t="shared" si="5"/>
        <v>2025</v>
      </c>
      <c r="C601" s="178">
        <f t="shared" si="6"/>
        <v>6</v>
      </c>
      <c r="D601" s="25" t="s">
        <v>30</v>
      </c>
      <c r="E601" s="1" t="s">
        <v>107</v>
      </c>
      <c r="F601" s="1" t="s">
        <v>107</v>
      </c>
      <c r="G601" s="28" t="s">
        <v>109</v>
      </c>
      <c r="H601" s="1" t="s">
        <v>107</v>
      </c>
      <c r="I601" s="1" t="s">
        <v>107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</row>
    <row r="602" spans="1:16">
      <c r="A602" s="180">
        <v>45827</v>
      </c>
      <c r="B602" s="178">
        <f t="shared" si="5"/>
        <v>2025</v>
      </c>
      <c r="C602" s="178">
        <f t="shared" si="6"/>
        <v>6</v>
      </c>
      <c r="D602" s="25" t="s">
        <v>105</v>
      </c>
      <c r="E602" s="1" t="s">
        <v>107</v>
      </c>
      <c r="F602" s="1" t="s">
        <v>107</v>
      </c>
      <c r="G602" s="28" t="s">
        <v>109</v>
      </c>
      <c r="H602" s="1" t="s">
        <v>107</v>
      </c>
      <c r="I602" s="1" t="s">
        <v>107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</row>
    <row r="603" spans="1:16">
      <c r="A603" s="180">
        <v>45827</v>
      </c>
      <c r="B603" s="178">
        <f t="shared" si="5"/>
        <v>2025</v>
      </c>
      <c r="C603" s="178">
        <f t="shared" si="6"/>
        <v>6</v>
      </c>
      <c r="D603" s="25" t="s">
        <v>106</v>
      </c>
      <c r="E603" s="1" t="s">
        <v>107</v>
      </c>
      <c r="F603" s="1" t="s">
        <v>107</v>
      </c>
      <c r="G603" s="28" t="s">
        <v>109</v>
      </c>
      <c r="H603" s="1" t="s">
        <v>107</v>
      </c>
      <c r="I603" s="1" t="s">
        <v>107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</row>
    <row r="604" spans="1:16">
      <c r="A604" s="9">
        <v>45839</v>
      </c>
      <c r="B604" s="178">
        <f t="shared" si="5"/>
        <v>2025</v>
      </c>
      <c r="C604" s="178">
        <f t="shared" si="6"/>
        <v>7</v>
      </c>
      <c r="D604" s="39" t="s">
        <v>7</v>
      </c>
      <c r="E604" s="47">
        <v>159201</v>
      </c>
      <c r="F604" s="47">
        <v>97737</v>
      </c>
      <c r="G604" s="51">
        <v>199709949596</v>
      </c>
      <c r="H604" s="49">
        <v>23</v>
      </c>
      <c r="I604" s="49">
        <v>48</v>
      </c>
      <c r="J604" s="49">
        <v>7.08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</row>
    <row r="605" spans="1:16">
      <c r="A605" s="9">
        <v>45840</v>
      </c>
      <c r="B605" s="178">
        <f t="shared" si="5"/>
        <v>2025</v>
      </c>
      <c r="C605" s="178">
        <f t="shared" si="6"/>
        <v>7</v>
      </c>
      <c r="D605" s="39" t="s">
        <v>22</v>
      </c>
      <c r="E605" s="47">
        <v>147788</v>
      </c>
      <c r="F605" s="47">
        <v>98555</v>
      </c>
      <c r="G605" s="51">
        <v>186954677288</v>
      </c>
      <c r="H605" s="49">
        <v>25</v>
      </c>
      <c r="I605" s="49">
        <v>58</v>
      </c>
      <c r="J605" s="49">
        <v>5.48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</row>
    <row r="606" spans="1:16">
      <c r="A606" s="9">
        <v>45841</v>
      </c>
      <c r="B606" s="178">
        <f t="shared" si="5"/>
        <v>2025</v>
      </c>
      <c r="C606" s="178">
        <f t="shared" si="6"/>
        <v>7</v>
      </c>
      <c r="D606" s="39" t="s">
        <v>9</v>
      </c>
      <c r="E606" s="47">
        <v>127500</v>
      </c>
      <c r="F606" s="47">
        <v>80342</v>
      </c>
      <c r="G606" s="51">
        <v>162800576811</v>
      </c>
      <c r="H606" s="49">
        <v>25</v>
      </c>
      <c r="I606" s="49">
        <v>56</v>
      </c>
      <c r="J606" s="49">
        <v>4.82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</row>
    <row r="607" spans="1:16">
      <c r="A607" s="9">
        <v>45842</v>
      </c>
      <c r="B607" s="178">
        <f t="shared" si="5"/>
        <v>2025</v>
      </c>
      <c r="C607" s="178">
        <f t="shared" si="6"/>
        <v>7</v>
      </c>
      <c r="D607" s="39" t="s">
        <v>8</v>
      </c>
      <c r="E607" s="47">
        <v>103404</v>
      </c>
      <c r="F607" s="47">
        <v>64860</v>
      </c>
      <c r="G607" s="51">
        <v>132167784019</v>
      </c>
      <c r="H607" s="49">
        <v>23</v>
      </c>
      <c r="I607" s="49">
        <v>41</v>
      </c>
      <c r="J607" s="49">
        <v>8.9700000000000006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</row>
    <row r="608" spans="1:16">
      <c r="A608" s="9">
        <v>45843</v>
      </c>
      <c r="B608" s="178">
        <f t="shared" si="5"/>
        <v>2025</v>
      </c>
      <c r="C608" s="178">
        <f t="shared" si="6"/>
        <v>7</v>
      </c>
      <c r="D608" s="39" t="s">
        <v>10</v>
      </c>
      <c r="E608" s="47">
        <v>82670</v>
      </c>
      <c r="F608" s="47">
        <v>53798</v>
      </c>
      <c r="G608" s="51">
        <v>104859432476</v>
      </c>
      <c r="H608" s="49">
        <v>23</v>
      </c>
      <c r="I608" s="49">
        <v>47</v>
      </c>
      <c r="J608" s="49">
        <v>4.72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</row>
    <row r="609" spans="1:16">
      <c r="A609" s="9">
        <v>45844</v>
      </c>
      <c r="B609" s="178">
        <f t="shared" si="5"/>
        <v>2025</v>
      </c>
      <c r="C609" s="178">
        <f t="shared" si="6"/>
        <v>7</v>
      </c>
      <c r="D609" s="39" t="s">
        <v>79</v>
      </c>
      <c r="E609" s="47">
        <v>64321</v>
      </c>
      <c r="F609" s="47">
        <v>41001</v>
      </c>
      <c r="G609" s="51">
        <v>80898306552</v>
      </c>
      <c r="H609" s="49">
        <v>26</v>
      </c>
      <c r="I609" s="49">
        <v>62</v>
      </c>
      <c r="J609" s="49">
        <v>5.33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</row>
    <row r="610" spans="1:16">
      <c r="A610" s="9">
        <v>45845</v>
      </c>
      <c r="B610" s="178">
        <f t="shared" si="5"/>
        <v>2025</v>
      </c>
      <c r="C610" s="178">
        <f t="shared" si="6"/>
        <v>7</v>
      </c>
      <c r="D610" s="39" t="s">
        <v>12</v>
      </c>
      <c r="E610" s="47">
        <v>36075</v>
      </c>
      <c r="F610" s="47">
        <v>23379</v>
      </c>
      <c r="G610" s="51">
        <v>48514142222</v>
      </c>
      <c r="H610" s="49">
        <v>20</v>
      </c>
      <c r="I610" s="49">
        <v>37</v>
      </c>
      <c r="J610" s="49">
        <v>4.3600000000000003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9">
        <v>45846</v>
      </c>
      <c r="B611" s="178">
        <f t="shared" si="5"/>
        <v>2025</v>
      </c>
      <c r="C611" s="178">
        <f t="shared" si="6"/>
        <v>7</v>
      </c>
      <c r="D611" s="39" t="s">
        <v>84</v>
      </c>
      <c r="E611" s="47">
        <v>28252</v>
      </c>
      <c r="F611" s="47">
        <v>18571</v>
      </c>
      <c r="G611" s="51">
        <v>38030796871</v>
      </c>
      <c r="H611" s="49">
        <v>20</v>
      </c>
      <c r="I611" s="49">
        <v>34</v>
      </c>
      <c r="J611" s="49">
        <v>4.32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</row>
    <row r="612" spans="1:16">
      <c r="A612" s="9">
        <v>45847</v>
      </c>
      <c r="B612" s="178">
        <f t="shared" si="5"/>
        <v>2025</v>
      </c>
      <c r="C612" s="178">
        <f t="shared" si="6"/>
        <v>7</v>
      </c>
      <c r="D612" s="45" t="s">
        <v>91</v>
      </c>
      <c r="E612" s="47">
        <v>28403</v>
      </c>
      <c r="F612" s="47">
        <v>17746</v>
      </c>
      <c r="G612" s="51">
        <v>35228020961</v>
      </c>
      <c r="H612" s="49">
        <v>22</v>
      </c>
      <c r="I612" s="49">
        <v>50</v>
      </c>
      <c r="J612" s="49">
        <v>6.9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</row>
    <row r="613" spans="1:16">
      <c r="A613" s="9">
        <v>45848</v>
      </c>
      <c r="B613" s="178">
        <f t="shared" si="5"/>
        <v>2025</v>
      </c>
      <c r="C613" s="178">
        <f t="shared" si="6"/>
        <v>7</v>
      </c>
      <c r="D613" s="50" t="s">
        <v>11</v>
      </c>
      <c r="E613" s="47">
        <v>18081</v>
      </c>
      <c r="F613" s="47">
        <v>11839</v>
      </c>
      <c r="G613" s="51">
        <v>23442766138</v>
      </c>
      <c r="H613" s="49">
        <v>21</v>
      </c>
      <c r="I613" s="49">
        <v>41</v>
      </c>
      <c r="J613" s="49">
        <v>4.76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</row>
    <row r="614" spans="1:16">
      <c r="A614" s="9">
        <v>45849</v>
      </c>
      <c r="B614" s="178">
        <f t="shared" si="5"/>
        <v>2025</v>
      </c>
      <c r="C614" s="178">
        <f t="shared" si="6"/>
        <v>7</v>
      </c>
      <c r="D614" s="45" t="s">
        <v>88</v>
      </c>
      <c r="E614" s="47">
        <v>13362</v>
      </c>
      <c r="F614" s="47">
        <v>9455</v>
      </c>
      <c r="G614" s="51">
        <v>17958774524</v>
      </c>
      <c r="H614" s="49">
        <v>20</v>
      </c>
      <c r="I614" s="49">
        <v>31</v>
      </c>
      <c r="J614" s="49">
        <v>1.7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9">
        <v>45850</v>
      </c>
      <c r="B615" s="178">
        <f t="shared" si="5"/>
        <v>2025</v>
      </c>
      <c r="C615" s="178">
        <f t="shared" si="6"/>
        <v>7</v>
      </c>
      <c r="D615" s="45" t="s">
        <v>20</v>
      </c>
      <c r="E615" s="47">
        <v>10818</v>
      </c>
      <c r="F615" s="47">
        <v>7710</v>
      </c>
      <c r="G615" s="51">
        <v>14225546008</v>
      </c>
      <c r="H615" s="49">
        <v>22</v>
      </c>
      <c r="I615" s="49">
        <v>48</v>
      </c>
      <c r="J615" s="49">
        <v>2.1800000000000002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9">
        <v>45851</v>
      </c>
      <c r="B616" s="178">
        <f t="shared" si="5"/>
        <v>2025</v>
      </c>
      <c r="C616" s="178">
        <f t="shared" si="6"/>
        <v>7</v>
      </c>
      <c r="D616" s="45" t="s">
        <v>19</v>
      </c>
      <c r="E616" s="47">
        <v>9223</v>
      </c>
      <c r="F616" s="47">
        <v>6443</v>
      </c>
      <c r="G616" s="51">
        <v>11823671477</v>
      </c>
      <c r="H616" s="49">
        <v>19</v>
      </c>
      <c r="I616" s="49">
        <v>40</v>
      </c>
      <c r="J616" s="57" t="s">
        <v>107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</row>
    <row r="617" spans="1:16">
      <c r="A617" s="9">
        <v>45852</v>
      </c>
      <c r="B617" s="178">
        <f t="shared" si="5"/>
        <v>2025</v>
      </c>
      <c r="C617" s="178">
        <f t="shared" si="6"/>
        <v>7</v>
      </c>
      <c r="D617" s="50" t="s">
        <v>101</v>
      </c>
      <c r="E617" s="47">
        <v>9960</v>
      </c>
      <c r="F617" s="47">
        <v>6732</v>
      </c>
      <c r="G617" s="51">
        <v>12948902870</v>
      </c>
      <c r="H617" s="49">
        <v>21</v>
      </c>
      <c r="I617" s="49">
        <v>46</v>
      </c>
      <c r="J617" s="49">
        <v>2.5299999999999998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</row>
    <row r="618" spans="1:16">
      <c r="A618" s="9">
        <v>45853</v>
      </c>
      <c r="B618" s="178">
        <f t="shared" si="5"/>
        <v>2025</v>
      </c>
      <c r="C618" s="178">
        <f t="shared" si="6"/>
        <v>7</v>
      </c>
      <c r="D618" s="50" t="s">
        <v>32</v>
      </c>
      <c r="E618" s="47">
        <v>7999</v>
      </c>
      <c r="F618" s="47">
        <v>5173</v>
      </c>
      <c r="G618" s="51">
        <v>10320636410</v>
      </c>
      <c r="H618" s="49">
        <v>21</v>
      </c>
      <c r="I618" s="49">
        <v>39</v>
      </c>
      <c r="J618" s="49">
        <v>2.09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>
      <c r="A619" s="9">
        <v>45854</v>
      </c>
      <c r="B619" s="178">
        <f t="shared" si="5"/>
        <v>2025</v>
      </c>
      <c r="C619" s="178">
        <f t="shared" si="6"/>
        <v>7</v>
      </c>
      <c r="D619" s="39" t="s">
        <v>15</v>
      </c>
      <c r="E619" s="47">
        <v>6304</v>
      </c>
      <c r="F619" s="47">
        <v>4029</v>
      </c>
      <c r="G619" s="51">
        <v>8195680818</v>
      </c>
      <c r="H619" s="49">
        <v>20</v>
      </c>
      <c r="I619" s="49">
        <v>36</v>
      </c>
      <c r="J619" s="49">
        <v>2.64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9">
        <v>45855</v>
      </c>
      <c r="B620" s="178">
        <f t="shared" si="5"/>
        <v>2025</v>
      </c>
      <c r="C620" s="178">
        <f t="shared" si="6"/>
        <v>7</v>
      </c>
      <c r="D620" s="45" t="s">
        <v>24</v>
      </c>
      <c r="E620" s="47">
        <v>6010</v>
      </c>
      <c r="F620" s="47">
        <v>3759</v>
      </c>
      <c r="G620" s="51">
        <v>7738452409</v>
      </c>
      <c r="H620" s="49">
        <v>23</v>
      </c>
      <c r="I620" s="49">
        <v>16</v>
      </c>
      <c r="J620" s="49">
        <v>2.79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9">
        <v>45856</v>
      </c>
      <c r="B621" s="178">
        <f t="shared" si="5"/>
        <v>2025</v>
      </c>
      <c r="C621" s="178">
        <f t="shared" si="6"/>
        <v>7</v>
      </c>
      <c r="D621" s="50" t="s">
        <v>28</v>
      </c>
      <c r="E621" s="47">
        <v>2552</v>
      </c>
      <c r="F621" s="47">
        <v>2049</v>
      </c>
      <c r="G621" s="51">
        <v>3249214523</v>
      </c>
      <c r="H621" s="49">
        <v>24</v>
      </c>
      <c r="I621" s="49">
        <v>18</v>
      </c>
      <c r="J621" s="49">
        <v>1.21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9">
        <v>45857</v>
      </c>
      <c r="B622" s="178">
        <f t="shared" si="5"/>
        <v>2025</v>
      </c>
      <c r="C622" s="178">
        <f t="shared" si="6"/>
        <v>7</v>
      </c>
      <c r="D622" s="50" t="s">
        <v>93</v>
      </c>
      <c r="E622" s="47">
        <v>2139</v>
      </c>
      <c r="F622" s="47">
        <v>1664</v>
      </c>
      <c r="G622" s="51">
        <v>2671986260</v>
      </c>
      <c r="H622" s="49">
        <v>19</v>
      </c>
      <c r="I622" s="49">
        <v>19</v>
      </c>
      <c r="J622" s="49">
        <v>1.25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9">
        <v>45858</v>
      </c>
      <c r="B623" s="178">
        <f t="shared" si="5"/>
        <v>2025</v>
      </c>
      <c r="C623" s="178">
        <f t="shared" si="6"/>
        <v>7</v>
      </c>
      <c r="D623" s="39" t="s">
        <v>102</v>
      </c>
      <c r="E623" s="49" t="s">
        <v>107</v>
      </c>
      <c r="F623" s="49" t="s">
        <v>107</v>
      </c>
      <c r="G623" s="51" t="s">
        <v>108</v>
      </c>
      <c r="H623" s="49" t="s">
        <v>107</v>
      </c>
      <c r="I623" s="49" t="s">
        <v>107</v>
      </c>
      <c r="J623" s="36" t="s">
        <v>107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9">
        <v>45859</v>
      </c>
      <c r="B624" s="178">
        <f t="shared" si="5"/>
        <v>2025</v>
      </c>
      <c r="C624" s="178">
        <f t="shared" si="6"/>
        <v>7</v>
      </c>
      <c r="D624" s="50" t="s">
        <v>23</v>
      </c>
      <c r="E624" s="47">
        <v>4109</v>
      </c>
      <c r="F624" s="47">
        <v>2843</v>
      </c>
      <c r="G624" s="51">
        <v>5527944407</v>
      </c>
      <c r="H624" s="49">
        <v>24</v>
      </c>
      <c r="I624" s="49">
        <v>54</v>
      </c>
      <c r="J624" s="58">
        <v>2.23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</row>
    <row r="625" spans="1:16">
      <c r="A625" s="9">
        <v>45860</v>
      </c>
      <c r="B625" s="178">
        <f t="shared" si="5"/>
        <v>2025</v>
      </c>
      <c r="C625" s="178">
        <f t="shared" si="6"/>
        <v>7</v>
      </c>
      <c r="D625" s="50" t="s">
        <v>104</v>
      </c>
      <c r="E625" s="49" t="s">
        <v>107</v>
      </c>
      <c r="F625" s="49" t="s">
        <v>107</v>
      </c>
      <c r="G625" s="51" t="s">
        <v>108</v>
      </c>
      <c r="H625" s="49" t="s">
        <v>107</v>
      </c>
      <c r="I625" s="49" t="s">
        <v>107</v>
      </c>
      <c r="J625" s="36" t="s">
        <v>107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9">
        <v>45861</v>
      </c>
      <c r="B626" s="178">
        <f t="shared" si="5"/>
        <v>2025</v>
      </c>
      <c r="C626" s="178">
        <f t="shared" si="6"/>
        <v>7</v>
      </c>
      <c r="D626" s="50" t="s">
        <v>26</v>
      </c>
      <c r="E626" s="47">
        <v>1055</v>
      </c>
      <c r="F626" s="49">
        <v>711</v>
      </c>
      <c r="G626" s="51">
        <v>1420152732</v>
      </c>
      <c r="H626" s="49">
        <v>16</v>
      </c>
      <c r="I626" s="49">
        <v>39</v>
      </c>
      <c r="J626" s="49">
        <v>2.62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9">
        <v>45862</v>
      </c>
      <c r="B627" s="178">
        <f t="shared" si="5"/>
        <v>2025</v>
      </c>
      <c r="C627" s="178">
        <f t="shared" si="6"/>
        <v>7</v>
      </c>
      <c r="D627" s="39" t="s">
        <v>30</v>
      </c>
      <c r="E627" s="49" t="s">
        <v>107</v>
      </c>
      <c r="F627" s="49" t="s">
        <v>107</v>
      </c>
      <c r="G627" s="51" t="s">
        <v>108</v>
      </c>
      <c r="H627" s="49" t="s">
        <v>107</v>
      </c>
      <c r="I627" s="49" t="s">
        <v>107</v>
      </c>
      <c r="J627" s="36" t="s">
        <v>107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9">
        <v>45863</v>
      </c>
      <c r="B628" s="178">
        <f t="shared" si="5"/>
        <v>2025</v>
      </c>
      <c r="C628" s="178">
        <f t="shared" si="6"/>
        <v>7</v>
      </c>
      <c r="D628" s="39" t="s">
        <v>105</v>
      </c>
      <c r="E628" s="49" t="s">
        <v>107</v>
      </c>
      <c r="F628" s="49" t="s">
        <v>107</v>
      </c>
      <c r="G628" s="51" t="s">
        <v>108</v>
      </c>
      <c r="H628" s="49" t="s">
        <v>107</v>
      </c>
      <c r="I628" s="49" t="s">
        <v>107</v>
      </c>
      <c r="J628" s="36" t="s">
        <v>107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9">
        <v>45864</v>
      </c>
      <c r="B629" s="178">
        <f t="shared" si="5"/>
        <v>2025</v>
      </c>
      <c r="C629" s="178">
        <f t="shared" si="6"/>
        <v>7</v>
      </c>
      <c r="D629" s="59" t="s">
        <v>106</v>
      </c>
      <c r="E629" s="60" t="s">
        <v>107</v>
      </c>
      <c r="F629" s="60" t="s">
        <v>107</v>
      </c>
      <c r="G629" s="61" t="s">
        <v>108</v>
      </c>
      <c r="H629" s="60" t="s">
        <v>107</v>
      </c>
      <c r="I629" s="60" t="s">
        <v>107</v>
      </c>
      <c r="J629" s="36" t="s">
        <v>107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</row>
    <row r="630" spans="1:16">
      <c r="A630" s="9">
        <v>45870</v>
      </c>
      <c r="B630" s="178">
        <f t="shared" si="5"/>
        <v>2025</v>
      </c>
      <c r="C630" s="1">
        <v>8</v>
      </c>
      <c r="D630" s="62" t="s">
        <v>7</v>
      </c>
      <c r="E630" s="47">
        <v>175722</v>
      </c>
      <c r="F630" s="47">
        <v>108019</v>
      </c>
      <c r="G630" s="51">
        <v>220312756634</v>
      </c>
      <c r="H630" s="49">
        <v>23</v>
      </c>
      <c r="I630" s="49">
        <v>48</v>
      </c>
      <c r="J630" s="49">
        <v>2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</row>
    <row r="631" spans="1:16">
      <c r="A631" s="9">
        <v>45871</v>
      </c>
      <c r="B631" s="178">
        <f t="shared" si="5"/>
        <v>2025</v>
      </c>
      <c r="C631" s="1">
        <v>8</v>
      </c>
      <c r="D631" s="62" t="s">
        <v>22</v>
      </c>
      <c r="E631" s="47">
        <v>166221</v>
      </c>
      <c r="F631" s="47">
        <v>110476</v>
      </c>
      <c r="G631" s="51">
        <v>209577661020</v>
      </c>
      <c r="H631" s="49">
        <v>24</v>
      </c>
      <c r="I631" s="49">
        <v>57</v>
      </c>
      <c r="J631" s="49">
        <v>6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>
      <c r="A632" s="9">
        <v>45872</v>
      </c>
      <c r="B632" s="178">
        <f t="shared" si="5"/>
        <v>2025</v>
      </c>
      <c r="C632" s="1">
        <v>8</v>
      </c>
      <c r="D632" s="62" t="s">
        <v>9</v>
      </c>
      <c r="E632" s="47">
        <v>146874</v>
      </c>
      <c r="F632" s="47">
        <v>92451</v>
      </c>
      <c r="G632" s="51">
        <v>187064048235</v>
      </c>
      <c r="H632" s="49">
        <v>25</v>
      </c>
      <c r="I632" s="49">
        <v>57</v>
      </c>
      <c r="J632" s="49">
        <v>5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</row>
    <row r="633" spans="1:16">
      <c r="A633" s="9">
        <v>45873</v>
      </c>
      <c r="B633" s="178">
        <f t="shared" si="5"/>
        <v>2025</v>
      </c>
      <c r="C633" s="1">
        <v>8</v>
      </c>
      <c r="D633" s="62" t="s">
        <v>8</v>
      </c>
      <c r="E633" s="47">
        <v>118712</v>
      </c>
      <c r="F633" s="47">
        <v>74516</v>
      </c>
      <c r="G633" s="51">
        <v>151719479483</v>
      </c>
      <c r="H633" s="49">
        <v>24</v>
      </c>
      <c r="I633" s="49">
        <v>42</v>
      </c>
      <c r="J633" s="49">
        <v>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</row>
    <row r="634" spans="1:16">
      <c r="A634" s="9">
        <v>45874</v>
      </c>
      <c r="B634" s="178">
        <f t="shared" si="5"/>
        <v>2025</v>
      </c>
      <c r="C634" s="1">
        <v>8</v>
      </c>
      <c r="D634" s="62" t="s">
        <v>10</v>
      </c>
      <c r="E634" s="47">
        <v>93584</v>
      </c>
      <c r="F634" s="47">
        <v>61061</v>
      </c>
      <c r="G634" s="51">
        <v>119162078468</v>
      </c>
      <c r="H634" s="49">
        <v>23</v>
      </c>
      <c r="I634" s="49">
        <v>47</v>
      </c>
      <c r="J634" s="49">
        <v>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9">
        <v>45875</v>
      </c>
      <c r="B635" s="178">
        <f t="shared" si="5"/>
        <v>2025</v>
      </c>
      <c r="C635" s="1">
        <v>8</v>
      </c>
      <c r="D635" s="62" t="s">
        <v>79</v>
      </c>
      <c r="E635" s="47">
        <v>71988</v>
      </c>
      <c r="F635" s="47">
        <v>46053</v>
      </c>
      <c r="G635" s="51">
        <v>90355428471</v>
      </c>
      <c r="H635" s="49">
        <v>26</v>
      </c>
      <c r="I635" s="49">
        <v>64</v>
      </c>
      <c r="J635" s="49">
        <v>6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9">
        <v>45876</v>
      </c>
      <c r="B636" s="178">
        <f t="shared" si="5"/>
        <v>2025</v>
      </c>
      <c r="C636" s="1">
        <v>8</v>
      </c>
      <c r="D636" s="62" t="s">
        <v>12</v>
      </c>
      <c r="E636" s="47">
        <v>41015</v>
      </c>
      <c r="F636" s="47">
        <v>26574</v>
      </c>
      <c r="G636" s="51">
        <v>54985397529</v>
      </c>
      <c r="H636" s="49">
        <v>20</v>
      </c>
      <c r="I636" s="49">
        <v>38</v>
      </c>
      <c r="J636" s="49">
        <v>2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9">
        <v>45877</v>
      </c>
      <c r="B637" s="178">
        <f t="shared" si="5"/>
        <v>2025</v>
      </c>
      <c r="C637" s="1">
        <v>8</v>
      </c>
      <c r="D637" s="56" t="s">
        <v>91</v>
      </c>
      <c r="E637" s="47">
        <v>35929</v>
      </c>
      <c r="F637" s="47">
        <v>22736</v>
      </c>
      <c r="G637" s="51">
        <v>44885558530</v>
      </c>
      <c r="H637" s="49">
        <v>22</v>
      </c>
      <c r="I637" s="49">
        <v>49</v>
      </c>
      <c r="J637" s="49">
        <v>7.1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9">
        <v>45878</v>
      </c>
      <c r="B638" s="178">
        <f t="shared" si="5"/>
        <v>2025</v>
      </c>
      <c r="C638" s="1">
        <v>8</v>
      </c>
      <c r="D638" s="62" t="s">
        <v>84</v>
      </c>
      <c r="E638" s="47">
        <v>32300</v>
      </c>
      <c r="F638" s="47">
        <v>21236</v>
      </c>
      <c r="G638" s="51">
        <v>43489468241</v>
      </c>
      <c r="H638" s="49">
        <v>20</v>
      </c>
      <c r="I638" s="49">
        <v>34</v>
      </c>
      <c r="J638" s="49">
        <v>4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9">
        <v>45879</v>
      </c>
      <c r="B639" s="178">
        <f t="shared" si="5"/>
        <v>2025</v>
      </c>
      <c r="C639" s="1">
        <v>8</v>
      </c>
      <c r="D639" s="63" t="s">
        <v>11</v>
      </c>
      <c r="E639" s="47">
        <v>20448</v>
      </c>
      <c r="F639" s="47">
        <v>13457</v>
      </c>
      <c r="G639" s="51">
        <v>26484804419</v>
      </c>
      <c r="H639" s="49">
        <v>22</v>
      </c>
      <c r="I639" s="49">
        <v>42</v>
      </c>
      <c r="J639" s="49">
        <v>4.3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9">
        <v>45880</v>
      </c>
      <c r="B640" s="178">
        <f t="shared" si="5"/>
        <v>2025</v>
      </c>
      <c r="C640" s="1">
        <v>8</v>
      </c>
      <c r="D640" s="56" t="s">
        <v>88</v>
      </c>
      <c r="E640" s="47">
        <v>15193</v>
      </c>
      <c r="F640" s="47">
        <v>10774</v>
      </c>
      <c r="G640" s="51">
        <v>20363838500</v>
      </c>
      <c r="H640" s="49">
        <v>20</v>
      </c>
      <c r="I640" s="49">
        <v>33</v>
      </c>
      <c r="J640" s="49">
        <v>2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9">
        <v>45881</v>
      </c>
      <c r="B641" s="178">
        <f t="shared" si="5"/>
        <v>2025</v>
      </c>
      <c r="C641" s="1">
        <v>8</v>
      </c>
      <c r="D641" s="56" t="s">
        <v>20</v>
      </c>
      <c r="E641" s="47">
        <v>12265</v>
      </c>
      <c r="F641" s="47">
        <v>8723</v>
      </c>
      <c r="G641" s="51">
        <v>16112187621</v>
      </c>
      <c r="H641" s="49">
        <v>22</v>
      </c>
      <c r="I641" s="49">
        <v>48</v>
      </c>
      <c r="J641" s="49">
        <v>2.2999999999999998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9">
        <v>45882</v>
      </c>
      <c r="B642" s="178">
        <f t="shared" si="5"/>
        <v>2025</v>
      </c>
      <c r="C642" s="1">
        <v>8</v>
      </c>
      <c r="D642" s="63" t="s">
        <v>101</v>
      </c>
      <c r="E642" s="47">
        <v>11285</v>
      </c>
      <c r="F642" s="47">
        <v>7626</v>
      </c>
      <c r="G642" s="51">
        <v>14682715794</v>
      </c>
      <c r="H642" s="49">
        <v>20</v>
      </c>
      <c r="I642" s="49">
        <v>45</v>
      </c>
      <c r="J642" s="58">
        <v>2.6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</row>
    <row r="643" spans="1:16">
      <c r="A643" s="9">
        <v>45883</v>
      </c>
      <c r="B643" s="178">
        <f t="shared" si="5"/>
        <v>2025</v>
      </c>
      <c r="C643" s="1">
        <v>8</v>
      </c>
      <c r="D643" s="63" t="s">
        <v>32</v>
      </c>
      <c r="E643" s="47">
        <v>10763</v>
      </c>
      <c r="F643" s="47">
        <v>7054</v>
      </c>
      <c r="G643" s="51">
        <v>13958305855</v>
      </c>
      <c r="H643" s="49">
        <v>21</v>
      </c>
      <c r="I643" s="49">
        <v>39</v>
      </c>
      <c r="J643" s="49">
        <v>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9">
        <v>45884</v>
      </c>
      <c r="B644" s="178">
        <f t="shared" si="5"/>
        <v>2025</v>
      </c>
      <c r="C644" s="1">
        <v>8</v>
      </c>
      <c r="D644" s="56" t="s">
        <v>19</v>
      </c>
      <c r="E644" s="47">
        <v>10341</v>
      </c>
      <c r="F644" s="47">
        <v>7244</v>
      </c>
      <c r="G644" s="51">
        <v>13222901649</v>
      </c>
      <c r="H644" s="49">
        <v>20</v>
      </c>
      <c r="I644" s="49">
        <v>43</v>
      </c>
      <c r="J644" s="49">
        <v>3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</row>
    <row r="645" spans="1:16">
      <c r="A645" s="9">
        <v>45885</v>
      </c>
      <c r="B645" s="178">
        <f t="shared" si="5"/>
        <v>2025</v>
      </c>
      <c r="C645" s="1">
        <v>8</v>
      </c>
      <c r="D645" s="62" t="s">
        <v>15</v>
      </c>
      <c r="E645" s="47">
        <v>7278</v>
      </c>
      <c r="F645" s="47">
        <v>4689</v>
      </c>
      <c r="G645" s="51">
        <v>9485030659</v>
      </c>
      <c r="H645" s="49">
        <v>20</v>
      </c>
      <c r="I645" s="49">
        <v>37</v>
      </c>
      <c r="J645" s="49">
        <v>2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</row>
    <row r="646" spans="1:16">
      <c r="A646" s="9">
        <v>45886</v>
      </c>
      <c r="B646" s="178">
        <f t="shared" si="5"/>
        <v>2025</v>
      </c>
      <c r="C646" s="1">
        <v>8</v>
      </c>
      <c r="D646" s="56" t="s">
        <v>24</v>
      </c>
      <c r="E646" s="47">
        <v>6657</v>
      </c>
      <c r="F646" s="47">
        <v>4270</v>
      </c>
      <c r="G646" s="51">
        <v>8572976154</v>
      </c>
      <c r="H646" s="49">
        <v>22</v>
      </c>
      <c r="I646" s="49">
        <v>16</v>
      </c>
      <c r="J646" s="49">
        <v>3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9">
        <v>45887</v>
      </c>
      <c r="B647" s="178">
        <f t="shared" si="5"/>
        <v>2025</v>
      </c>
      <c r="C647" s="1">
        <v>8</v>
      </c>
      <c r="D647" s="63" t="s">
        <v>23</v>
      </c>
      <c r="E647" s="47">
        <v>6056</v>
      </c>
      <c r="F647" s="47">
        <v>4163</v>
      </c>
      <c r="G647" s="51">
        <v>8046953272</v>
      </c>
      <c r="H647" s="49">
        <v>26</v>
      </c>
      <c r="I647" s="49">
        <v>57</v>
      </c>
      <c r="J647" s="58">
        <v>1.8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</row>
    <row r="648" spans="1:16">
      <c r="A648" s="9">
        <v>45888</v>
      </c>
      <c r="B648" s="178">
        <f t="shared" si="5"/>
        <v>2025</v>
      </c>
      <c r="C648" s="1">
        <v>8</v>
      </c>
      <c r="D648" s="63" t="s">
        <v>28</v>
      </c>
      <c r="E648" s="47">
        <v>2757</v>
      </c>
      <c r="F648" s="47">
        <v>2209</v>
      </c>
      <c r="G648" s="51">
        <v>3510517759</v>
      </c>
      <c r="H648" s="49">
        <v>22</v>
      </c>
      <c r="I648" s="49">
        <v>18</v>
      </c>
      <c r="J648" s="49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</row>
    <row r="649" spans="1:16">
      <c r="A649" s="9">
        <v>45889</v>
      </c>
      <c r="B649" s="178">
        <f t="shared" si="5"/>
        <v>2025</v>
      </c>
      <c r="C649" s="1">
        <v>8</v>
      </c>
      <c r="D649" s="63" t="s">
        <v>93</v>
      </c>
      <c r="E649" s="47">
        <v>2494</v>
      </c>
      <c r="F649" s="47">
        <v>1941</v>
      </c>
      <c r="G649" s="51">
        <v>3136783476</v>
      </c>
      <c r="H649" s="49">
        <v>19</v>
      </c>
      <c r="I649" s="49">
        <v>19</v>
      </c>
      <c r="J649" s="49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</row>
    <row r="650" spans="1:16">
      <c r="A650" s="9">
        <v>45890</v>
      </c>
      <c r="B650" s="178">
        <f t="shared" si="5"/>
        <v>2025</v>
      </c>
      <c r="C650" s="1">
        <v>8</v>
      </c>
      <c r="D650" s="63" t="s">
        <v>25</v>
      </c>
      <c r="E650" s="47">
        <v>1590</v>
      </c>
      <c r="F650" s="47">
        <v>1029</v>
      </c>
      <c r="G650" s="51">
        <v>2142399608</v>
      </c>
      <c r="H650" s="49">
        <v>27</v>
      </c>
      <c r="I650" s="49">
        <v>48</v>
      </c>
      <c r="J650" s="58">
        <v>2.7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</row>
    <row r="651" spans="1:16">
      <c r="A651" s="9">
        <v>45891</v>
      </c>
      <c r="B651" s="178">
        <f t="shared" si="5"/>
        <v>2025</v>
      </c>
      <c r="C651" s="1">
        <v>8</v>
      </c>
      <c r="D651" s="63" t="s">
        <v>26</v>
      </c>
      <c r="E651" s="47">
        <v>1055</v>
      </c>
      <c r="F651" s="49">
        <v>711</v>
      </c>
      <c r="G651" s="51">
        <v>1420152732</v>
      </c>
      <c r="H651" s="49">
        <v>16</v>
      </c>
      <c r="I651" s="49">
        <v>39</v>
      </c>
      <c r="J651" s="36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9">
        <v>45892</v>
      </c>
      <c r="B652" s="178">
        <f t="shared" si="5"/>
        <v>2025</v>
      </c>
      <c r="C652" s="1">
        <v>8</v>
      </c>
      <c r="D652" s="62" t="s">
        <v>102</v>
      </c>
      <c r="E652" s="49" t="s">
        <v>107</v>
      </c>
      <c r="F652" s="49" t="s">
        <v>107</v>
      </c>
      <c r="G652" s="51" t="s">
        <v>108</v>
      </c>
      <c r="H652" s="49" t="s">
        <v>107</v>
      </c>
      <c r="I652" s="49" t="s">
        <v>107</v>
      </c>
      <c r="J652" s="36" t="s">
        <v>107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</row>
    <row r="653" spans="1:16">
      <c r="A653" s="9">
        <v>45893</v>
      </c>
      <c r="B653" s="178">
        <f t="shared" si="5"/>
        <v>2025</v>
      </c>
      <c r="C653" s="1">
        <v>8</v>
      </c>
      <c r="D653" s="63" t="s">
        <v>104</v>
      </c>
      <c r="E653" s="49" t="s">
        <v>107</v>
      </c>
      <c r="F653" s="49" t="s">
        <v>107</v>
      </c>
      <c r="G653" s="51" t="s">
        <v>108</v>
      </c>
      <c r="H653" s="49" t="s">
        <v>107</v>
      </c>
      <c r="I653" s="49" t="s">
        <v>107</v>
      </c>
      <c r="J653" s="36" t="s">
        <v>107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9">
        <v>45894</v>
      </c>
      <c r="B654" s="178">
        <f t="shared" si="5"/>
        <v>2025</v>
      </c>
      <c r="C654" s="1">
        <v>8</v>
      </c>
      <c r="D654" s="62" t="s">
        <v>30</v>
      </c>
      <c r="E654" s="49" t="s">
        <v>107</v>
      </c>
      <c r="F654" s="49" t="s">
        <v>107</v>
      </c>
      <c r="G654" s="51" t="s">
        <v>108</v>
      </c>
      <c r="H654" s="49" t="s">
        <v>107</v>
      </c>
      <c r="I654" s="49" t="s">
        <v>107</v>
      </c>
      <c r="J654" s="36" t="s">
        <v>107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</row>
    <row r="655" spans="1:16">
      <c r="A655" s="9">
        <v>45895</v>
      </c>
      <c r="B655" s="178">
        <f t="shared" si="5"/>
        <v>2025</v>
      </c>
      <c r="C655" s="1">
        <v>8</v>
      </c>
      <c r="D655" s="62" t="s">
        <v>105</v>
      </c>
      <c r="E655" s="49" t="s">
        <v>107</v>
      </c>
      <c r="F655" s="49" t="s">
        <v>107</v>
      </c>
      <c r="G655" s="51" t="s">
        <v>108</v>
      </c>
      <c r="H655" s="49" t="s">
        <v>107</v>
      </c>
      <c r="I655" s="49" t="s">
        <v>107</v>
      </c>
      <c r="J655" s="36" t="s">
        <v>107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</row>
    <row r="656" spans="1:16">
      <c r="A656" s="9">
        <v>45896</v>
      </c>
      <c r="B656" s="178">
        <f t="shared" si="5"/>
        <v>2025</v>
      </c>
      <c r="C656" s="1">
        <v>8</v>
      </c>
      <c r="D656" s="63" t="s">
        <v>106</v>
      </c>
      <c r="E656" s="49" t="s">
        <v>107</v>
      </c>
      <c r="F656" s="49" t="s">
        <v>107</v>
      </c>
      <c r="G656" s="51" t="s">
        <v>108</v>
      </c>
      <c r="H656" s="49" t="s">
        <v>107</v>
      </c>
      <c r="I656" s="49" t="s">
        <v>107</v>
      </c>
      <c r="J656" s="36" t="s">
        <v>107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</row>
    <row r="657" spans="1:16">
      <c r="A657" s="9">
        <v>45901</v>
      </c>
      <c r="B657" s="1">
        <v>2025</v>
      </c>
      <c r="C657" s="1">
        <v>9</v>
      </c>
      <c r="D657" s="64" t="s">
        <v>7</v>
      </c>
      <c r="E657" s="6">
        <v>192255</v>
      </c>
      <c r="F657" s="6">
        <v>118332</v>
      </c>
      <c r="G657" s="28">
        <v>241512687122</v>
      </c>
      <c r="H657" s="1">
        <v>22</v>
      </c>
      <c r="I657" s="1">
        <v>48</v>
      </c>
      <c r="J657" s="1"/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</row>
    <row r="658" spans="1:16">
      <c r="A658" s="9">
        <v>45901</v>
      </c>
      <c r="B658" s="1">
        <v>2025</v>
      </c>
      <c r="C658" s="1">
        <v>9</v>
      </c>
      <c r="D658" s="64" t="s">
        <v>22</v>
      </c>
      <c r="E658" s="6">
        <v>182147</v>
      </c>
      <c r="F658" s="6">
        <v>120535</v>
      </c>
      <c r="G658" s="28">
        <v>229151805870</v>
      </c>
      <c r="H658" s="1">
        <v>24</v>
      </c>
      <c r="I658" s="1">
        <v>57</v>
      </c>
      <c r="J658" s="1"/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</row>
    <row r="659" spans="1:16">
      <c r="A659" s="9">
        <v>45901</v>
      </c>
      <c r="B659" s="1">
        <v>2025</v>
      </c>
      <c r="C659" s="1">
        <v>9</v>
      </c>
      <c r="D659" s="64" t="s">
        <v>9</v>
      </c>
      <c r="E659" s="6">
        <v>168954</v>
      </c>
      <c r="F659" s="6">
        <v>106169</v>
      </c>
      <c r="G659" s="28">
        <v>214917664118</v>
      </c>
      <c r="H659" s="1">
        <v>25</v>
      </c>
      <c r="I659" s="1">
        <v>57</v>
      </c>
      <c r="J659" s="1"/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</row>
    <row r="660" spans="1:16">
      <c r="A660" s="9">
        <v>45901</v>
      </c>
      <c r="B660" s="1">
        <v>2025</v>
      </c>
      <c r="C660" s="1">
        <v>9</v>
      </c>
      <c r="D660" s="64" t="s">
        <v>8</v>
      </c>
      <c r="E660" s="6">
        <v>132377</v>
      </c>
      <c r="F660" s="6">
        <v>83010</v>
      </c>
      <c r="G660" s="28">
        <v>169257206395</v>
      </c>
      <c r="H660" s="1">
        <v>24</v>
      </c>
      <c r="I660" s="1">
        <v>43</v>
      </c>
      <c r="J660" s="1"/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</row>
    <row r="661" spans="1:16">
      <c r="A661" s="9">
        <v>45901</v>
      </c>
      <c r="B661" s="1">
        <v>2025</v>
      </c>
      <c r="C661" s="1">
        <v>9</v>
      </c>
      <c r="D661" s="64" t="s">
        <v>10</v>
      </c>
      <c r="E661" s="6">
        <v>105144</v>
      </c>
      <c r="F661" s="6">
        <v>69136</v>
      </c>
      <c r="G661" s="28">
        <v>134696567551</v>
      </c>
      <c r="H661" s="1">
        <v>23</v>
      </c>
      <c r="I661" s="1">
        <v>47</v>
      </c>
      <c r="J661" s="1"/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</row>
    <row r="662" spans="1:16">
      <c r="A662" s="9">
        <v>45901</v>
      </c>
      <c r="B662" s="1">
        <v>2025</v>
      </c>
      <c r="C662" s="1">
        <v>9</v>
      </c>
      <c r="D662" s="64" t="s">
        <v>79</v>
      </c>
      <c r="E662" s="6">
        <v>81077</v>
      </c>
      <c r="F662" s="6">
        <v>52047</v>
      </c>
      <c r="G662" s="28">
        <v>102043101246</v>
      </c>
      <c r="H662" s="1">
        <v>26</v>
      </c>
      <c r="I662" s="1">
        <v>65</v>
      </c>
      <c r="J662" s="1"/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>
      <c r="A663" s="9">
        <v>45901</v>
      </c>
      <c r="B663" s="1">
        <v>2025</v>
      </c>
      <c r="C663" s="1">
        <v>9</v>
      </c>
      <c r="D663" s="64" t="s">
        <v>12</v>
      </c>
      <c r="E663" s="6">
        <v>45695</v>
      </c>
      <c r="F663" s="6">
        <v>29665</v>
      </c>
      <c r="G663" s="28">
        <v>61233779494</v>
      </c>
      <c r="H663" s="1">
        <v>20</v>
      </c>
      <c r="I663" s="1">
        <v>40</v>
      </c>
      <c r="J663" s="1"/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</row>
    <row r="664" spans="1:16">
      <c r="A664" s="9">
        <v>45901</v>
      </c>
      <c r="B664" s="1">
        <v>2025</v>
      </c>
      <c r="C664" s="1">
        <v>9</v>
      </c>
      <c r="D664" s="64" t="s">
        <v>91</v>
      </c>
      <c r="E664" s="6">
        <v>43695</v>
      </c>
      <c r="F664" s="6">
        <v>27978</v>
      </c>
      <c r="G664" s="28">
        <v>55135677982</v>
      </c>
      <c r="H664" s="1">
        <v>22</v>
      </c>
      <c r="I664" s="1">
        <v>49</v>
      </c>
      <c r="J664" s="1"/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9">
        <v>45901</v>
      </c>
      <c r="B665" s="1">
        <v>2025</v>
      </c>
      <c r="C665" s="1">
        <v>9</v>
      </c>
      <c r="D665" s="64" t="s">
        <v>84</v>
      </c>
      <c r="E665" s="6">
        <v>36517</v>
      </c>
      <c r="F665" s="6">
        <v>24198</v>
      </c>
      <c r="G665" s="28">
        <v>49420184761</v>
      </c>
      <c r="H665" s="1">
        <v>20</v>
      </c>
      <c r="I665" s="1">
        <v>37</v>
      </c>
      <c r="J665" s="1"/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</row>
    <row r="666" spans="1:16">
      <c r="A666" s="9">
        <v>45901</v>
      </c>
      <c r="B666" s="1">
        <v>2025</v>
      </c>
      <c r="C666" s="1">
        <v>9</v>
      </c>
      <c r="D666" s="64" t="s">
        <v>11</v>
      </c>
      <c r="E666" s="6">
        <v>23077</v>
      </c>
      <c r="F666" s="6">
        <v>15174</v>
      </c>
      <c r="G666" s="28">
        <v>29899542059</v>
      </c>
      <c r="H666" s="1">
        <v>22</v>
      </c>
      <c r="I666" s="1">
        <v>42</v>
      </c>
      <c r="J666" s="1"/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9">
        <v>45901</v>
      </c>
      <c r="B667" s="1">
        <v>2025</v>
      </c>
      <c r="C667" s="1">
        <v>9</v>
      </c>
      <c r="D667" s="64" t="s">
        <v>88</v>
      </c>
      <c r="E667" s="6">
        <v>17166</v>
      </c>
      <c r="F667" s="6">
        <v>12194</v>
      </c>
      <c r="G667" s="28">
        <v>23042814621</v>
      </c>
      <c r="H667" s="1">
        <v>20</v>
      </c>
      <c r="I667" s="1">
        <v>34</v>
      </c>
      <c r="J667" s="1"/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</row>
    <row r="668" spans="1:16">
      <c r="A668" s="9">
        <v>45901</v>
      </c>
      <c r="B668" s="1">
        <v>2025</v>
      </c>
      <c r="C668" s="1">
        <v>9</v>
      </c>
      <c r="D668" s="64" t="s">
        <v>20</v>
      </c>
      <c r="E668" s="6">
        <v>15252</v>
      </c>
      <c r="F668" s="6">
        <v>10825</v>
      </c>
      <c r="G668" s="28">
        <v>20029763488</v>
      </c>
      <c r="H668" s="1">
        <v>21</v>
      </c>
      <c r="I668" s="1">
        <v>47</v>
      </c>
      <c r="J668" s="1"/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</row>
    <row r="669" spans="1:16">
      <c r="A669" s="9">
        <v>45901</v>
      </c>
      <c r="B669" s="1">
        <v>2025</v>
      </c>
      <c r="C669" s="1">
        <v>9</v>
      </c>
      <c r="D669" s="64" t="s">
        <v>101</v>
      </c>
      <c r="E669" s="6">
        <v>12977</v>
      </c>
      <c r="F669" s="6">
        <v>8732</v>
      </c>
      <c r="G669" s="28">
        <v>16785476733</v>
      </c>
      <c r="H669" s="1">
        <v>20</v>
      </c>
      <c r="I669" s="1">
        <v>45</v>
      </c>
      <c r="J669" s="1"/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</row>
    <row r="670" spans="1:16">
      <c r="A670" s="9">
        <v>45901</v>
      </c>
      <c r="B670" s="1">
        <v>2025</v>
      </c>
      <c r="C670" s="1">
        <v>9</v>
      </c>
      <c r="D670" s="64" t="s">
        <v>32</v>
      </c>
      <c r="E670" s="6">
        <v>10763</v>
      </c>
      <c r="F670" s="6">
        <v>7054</v>
      </c>
      <c r="G670" s="28">
        <v>13958305855</v>
      </c>
      <c r="H670" s="1">
        <v>21</v>
      </c>
      <c r="I670" s="1">
        <v>39</v>
      </c>
      <c r="J670" s="1"/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</row>
    <row r="671" spans="1:16">
      <c r="A671" s="9">
        <v>45901</v>
      </c>
      <c r="B671" s="1">
        <v>2025</v>
      </c>
      <c r="C671" s="1">
        <v>9</v>
      </c>
      <c r="D671" s="64" t="s">
        <v>19</v>
      </c>
      <c r="E671" s="6">
        <v>11521</v>
      </c>
      <c r="F671" s="6">
        <v>8070</v>
      </c>
      <c r="G671" s="28">
        <v>14764432569</v>
      </c>
      <c r="H671" s="1">
        <v>20</v>
      </c>
      <c r="I671" s="1">
        <v>43</v>
      </c>
      <c r="J671" s="1"/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</row>
    <row r="672" spans="1:16">
      <c r="A672" s="9">
        <v>45901</v>
      </c>
      <c r="B672" s="1">
        <v>2025</v>
      </c>
      <c r="C672" s="1">
        <v>9</v>
      </c>
      <c r="D672" s="64" t="s">
        <v>15</v>
      </c>
      <c r="E672" s="6">
        <v>7278</v>
      </c>
      <c r="F672" s="6">
        <v>4689</v>
      </c>
      <c r="G672" s="28">
        <v>9485030659</v>
      </c>
      <c r="H672" s="1">
        <v>20</v>
      </c>
      <c r="I672" s="1">
        <v>37</v>
      </c>
      <c r="J672" s="1"/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</row>
    <row r="673" spans="1:16">
      <c r="A673" s="9">
        <v>45901</v>
      </c>
      <c r="B673" s="1">
        <v>2025</v>
      </c>
      <c r="C673" s="1">
        <v>9</v>
      </c>
      <c r="D673" s="64" t="s">
        <v>24</v>
      </c>
      <c r="E673" s="6">
        <v>8383</v>
      </c>
      <c r="F673" s="6">
        <v>5386</v>
      </c>
      <c r="G673" s="28">
        <v>10878550861</v>
      </c>
      <c r="H673" s="1">
        <v>23</v>
      </c>
      <c r="I673" s="1">
        <v>17</v>
      </c>
      <c r="J673" s="1"/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</row>
    <row r="674" spans="1:16">
      <c r="A674" s="9">
        <v>45901</v>
      </c>
      <c r="B674" s="1">
        <v>2025</v>
      </c>
      <c r="C674" s="1">
        <v>9</v>
      </c>
      <c r="D674" s="64" t="s">
        <v>23</v>
      </c>
      <c r="E674" s="6">
        <v>10744</v>
      </c>
      <c r="F674" s="6">
        <v>7316</v>
      </c>
      <c r="G674" s="28">
        <v>14257385524</v>
      </c>
      <c r="H674" s="1">
        <v>25</v>
      </c>
      <c r="I674" s="1">
        <v>54</v>
      </c>
      <c r="J674" s="1"/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</row>
    <row r="675" spans="1:16">
      <c r="A675" s="9">
        <v>45901</v>
      </c>
      <c r="B675" s="1">
        <v>2025</v>
      </c>
      <c r="C675" s="1">
        <v>9</v>
      </c>
      <c r="D675" s="64" t="s">
        <v>28</v>
      </c>
      <c r="E675" s="6">
        <v>3152</v>
      </c>
      <c r="F675" s="6">
        <v>2537</v>
      </c>
      <c r="G675" s="28">
        <v>4006734251</v>
      </c>
      <c r="H675" s="1">
        <v>22</v>
      </c>
      <c r="I675" s="1">
        <v>18</v>
      </c>
      <c r="J675" s="1"/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</row>
    <row r="676" spans="1:16">
      <c r="A676" s="9">
        <v>45901</v>
      </c>
      <c r="B676" s="1">
        <v>2025</v>
      </c>
      <c r="C676" s="1">
        <v>9</v>
      </c>
      <c r="D676" s="64" t="s">
        <v>93</v>
      </c>
      <c r="E676" s="6">
        <v>2637</v>
      </c>
      <c r="F676" s="6">
        <v>2057</v>
      </c>
      <c r="G676" s="28">
        <v>3324841130</v>
      </c>
      <c r="H676" s="1">
        <v>19</v>
      </c>
      <c r="I676" s="1">
        <v>18</v>
      </c>
      <c r="J676" s="1"/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</row>
    <row r="677" spans="1:16">
      <c r="A677" s="9">
        <v>45901</v>
      </c>
      <c r="B677" s="1">
        <v>2025</v>
      </c>
      <c r="C677" s="1">
        <v>9</v>
      </c>
      <c r="D677" s="64" t="s">
        <v>25</v>
      </c>
      <c r="E677" s="6">
        <v>3204</v>
      </c>
      <c r="F677" s="6">
        <v>2153</v>
      </c>
      <c r="G677" s="28">
        <v>4350261439</v>
      </c>
      <c r="H677" s="1">
        <v>30</v>
      </c>
      <c r="I677" s="1">
        <v>57</v>
      </c>
      <c r="J677" s="1"/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</row>
    <row r="678" spans="1:16">
      <c r="A678" s="9">
        <v>45901</v>
      </c>
      <c r="B678" s="1">
        <v>2025</v>
      </c>
      <c r="C678" s="1">
        <v>9</v>
      </c>
      <c r="D678" s="64" t="s">
        <v>26</v>
      </c>
      <c r="E678" s="6">
        <v>3804</v>
      </c>
      <c r="F678" s="6">
        <v>2585</v>
      </c>
      <c r="G678" s="28">
        <v>5064917456</v>
      </c>
      <c r="H678" s="1">
        <v>18</v>
      </c>
      <c r="I678" s="1">
        <v>42</v>
      </c>
      <c r="J678" s="1"/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>
      <c r="A679" s="9">
        <v>45901</v>
      </c>
      <c r="B679" s="1">
        <v>2025</v>
      </c>
      <c r="C679" s="1">
        <v>9</v>
      </c>
      <c r="D679" s="64" t="s">
        <v>102</v>
      </c>
      <c r="E679" s="1" t="s">
        <v>107</v>
      </c>
      <c r="F679" s="1" t="s">
        <v>107</v>
      </c>
      <c r="G679" s="28" t="s">
        <v>109</v>
      </c>
      <c r="H679" s="1" t="s">
        <v>107</v>
      </c>
      <c r="I679" s="1" t="s">
        <v>107</v>
      </c>
      <c r="J679" s="36" t="s">
        <v>107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</row>
    <row r="680" spans="1:16">
      <c r="A680" s="9">
        <v>45901</v>
      </c>
      <c r="B680" s="1">
        <v>2025</v>
      </c>
      <c r="C680" s="1">
        <v>9</v>
      </c>
      <c r="D680" s="64" t="s">
        <v>104</v>
      </c>
      <c r="E680" s="1" t="s">
        <v>107</v>
      </c>
      <c r="F680" s="1" t="s">
        <v>107</v>
      </c>
      <c r="G680" s="28" t="s">
        <v>109</v>
      </c>
      <c r="H680" s="1" t="s">
        <v>107</v>
      </c>
      <c r="I680" s="1" t="s">
        <v>107</v>
      </c>
      <c r="J680" s="36" t="s">
        <v>107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</row>
    <row r="681" spans="1:16">
      <c r="A681" s="9">
        <v>45901</v>
      </c>
      <c r="B681" s="1">
        <v>2025</v>
      </c>
      <c r="C681" s="1">
        <v>9</v>
      </c>
      <c r="D681" s="64" t="s">
        <v>30</v>
      </c>
      <c r="E681" s="1" t="s">
        <v>107</v>
      </c>
      <c r="F681" s="1" t="s">
        <v>107</v>
      </c>
      <c r="G681" s="28" t="s">
        <v>109</v>
      </c>
      <c r="H681" s="1" t="s">
        <v>107</v>
      </c>
      <c r="I681" s="1" t="s">
        <v>107</v>
      </c>
      <c r="J681" s="36" t="s">
        <v>107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>
      <c r="A682" s="9">
        <v>45901</v>
      </c>
      <c r="B682" s="1">
        <v>2025</v>
      </c>
      <c r="C682" s="1">
        <v>9</v>
      </c>
      <c r="D682" s="64" t="s">
        <v>105</v>
      </c>
      <c r="E682" s="1" t="s">
        <v>107</v>
      </c>
      <c r="F682" s="1" t="s">
        <v>107</v>
      </c>
      <c r="G682" s="28" t="s">
        <v>109</v>
      </c>
      <c r="H682" s="1" t="s">
        <v>107</v>
      </c>
      <c r="I682" s="1" t="s">
        <v>107</v>
      </c>
      <c r="J682" s="36" t="s">
        <v>107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</row>
    <row r="683" spans="1:16">
      <c r="A683" s="9">
        <v>45901</v>
      </c>
      <c r="B683" s="1">
        <v>2025</v>
      </c>
      <c r="C683" s="1">
        <v>9</v>
      </c>
      <c r="D683" s="64" t="s">
        <v>106</v>
      </c>
      <c r="E683" s="1" t="s">
        <v>107</v>
      </c>
      <c r="F683" s="1" t="s">
        <v>107</v>
      </c>
      <c r="G683" s="28" t="s">
        <v>109</v>
      </c>
      <c r="H683" s="1" t="s">
        <v>107</v>
      </c>
      <c r="I683" s="1" t="s">
        <v>107</v>
      </c>
      <c r="J683" s="36" t="s">
        <v>107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</row>
    <row r="684" spans="1:16">
      <c r="A684" s="9">
        <v>45931</v>
      </c>
      <c r="B684" s="1">
        <v>2025</v>
      </c>
      <c r="C684" s="1">
        <v>10</v>
      </c>
      <c r="D684" s="64" t="s">
        <v>7</v>
      </c>
      <c r="E684" s="6">
        <v>213136</v>
      </c>
      <c r="F684" s="6">
        <v>131626</v>
      </c>
      <c r="G684" s="28">
        <v>268745011756</v>
      </c>
      <c r="H684" s="1">
        <v>22</v>
      </c>
      <c r="I684" s="1">
        <v>48</v>
      </c>
      <c r="J684" s="38">
        <v>45659</v>
      </c>
      <c r="K684" s="1"/>
      <c r="L684" s="1"/>
      <c r="M684" s="1"/>
      <c r="N684" s="1"/>
      <c r="O684" s="1"/>
      <c r="P684" s="1"/>
    </row>
    <row r="685" spans="1:16">
      <c r="A685" s="9">
        <v>45932</v>
      </c>
      <c r="B685" s="1">
        <v>2025</v>
      </c>
      <c r="C685" s="1">
        <v>10</v>
      </c>
      <c r="D685" s="64" t="s">
        <v>22</v>
      </c>
      <c r="E685" s="6">
        <v>207722</v>
      </c>
      <c r="F685" s="6">
        <v>137357</v>
      </c>
      <c r="G685" s="28">
        <v>261374819728</v>
      </c>
      <c r="H685" s="1">
        <v>23</v>
      </c>
      <c r="I685" s="1">
        <v>56</v>
      </c>
      <c r="J685" s="38">
        <v>45779</v>
      </c>
      <c r="K685" s="1"/>
      <c r="L685" s="1"/>
      <c r="M685" s="1"/>
      <c r="N685" s="1"/>
      <c r="O685" s="1"/>
      <c r="P685" s="1"/>
    </row>
    <row r="686" spans="1:16">
      <c r="A686" s="9">
        <v>45933</v>
      </c>
      <c r="B686" s="1">
        <v>2025</v>
      </c>
      <c r="C686" s="1">
        <v>10</v>
      </c>
      <c r="D686" s="64" t="s">
        <v>9</v>
      </c>
      <c r="E686" s="6">
        <v>188745</v>
      </c>
      <c r="F686" s="6">
        <v>118632</v>
      </c>
      <c r="G686" s="28">
        <v>240444809867</v>
      </c>
      <c r="H686" s="1">
        <v>25</v>
      </c>
      <c r="I686" s="1">
        <v>56</v>
      </c>
      <c r="J686" s="38">
        <v>45718</v>
      </c>
      <c r="K686" s="1"/>
      <c r="L686" s="1"/>
      <c r="M686" s="1"/>
      <c r="N686" s="1"/>
      <c r="O686" s="1"/>
      <c r="P686" s="1"/>
    </row>
    <row r="687" spans="1:16">
      <c r="A687" s="9">
        <v>45934</v>
      </c>
      <c r="B687" s="1">
        <v>2025</v>
      </c>
      <c r="C687" s="1">
        <v>10</v>
      </c>
      <c r="D687" s="64" t="s">
        <v>8</v>
      </c>
      <c r="E687" s="6">
        <v>149251</v>
      </c>
      <c r="F687" s="6">
        <v>93516</v>
      </c>
      <c r="G687" s="28">
        <v>190972453876</v>
      </c>
      <c r="H687" s="1">
        <v>24</v>
      </c>
      <c r="I687" s="1">
        <v>43</v>
      </c>
      <c r="J687" s="36" t="s">
        <v>110</v>
      </c>
      <c r="K687" s="1"/>
      <c r="L687" s="1"/>
      <c r="M687" s="1"/>
      <c r="N687" s="1"/>
      <c r="O687" s="1"/>
      <c r="P687" s="1"/>
    </row>
    <row r="688" spans="1:16">
      <c r="A688" s="9">
        <v>45935</v>
      </c>
      <c r="B688" s="1">
        <v>2025</v>
      </c>
      <c r="C688" s="1">
        <v>10</v>
      </c>
      <c r="D688" s="64" t="s">
        <v>10</v>
      </c>
      <c r="E688" s="6">
        <v>123753</v>
      </c>
      <c r="F688" s="6">
        <v>81262</v>
      </c>
      <c r="G688" s="28">
        <v>158165674386</v>
      </c>
      <c r="H688" s="1">
        <v>22</v>
      </c>
      <c r="I688" s="1">
        <v>47</v>
      </c>
      <c r="J688" s="38">
        <v>45718</v>
      </c>
      <c r="K688" s="1"/>
      <c r="L688" s="1"/>
      <c r="M688" s="1"/>
      <c r="N688" s="1"/>
      <c r="O688" s="1"/>
      <c r="P688" s="1"/>
    </row>
    <row r="689" spans="1:16">
      <c r="A689" s="9">
        <v>45936</v>
      </c>
      <c r="B689" s="1">
        <v>2025</v>
      </c>
      <c r="C689" s="1">
        <v>10</v>
      </c>
      <c r="D689" s="64" t="s">
        <v>79</v>
      </c>
      <c r="E689" s="6">
        <v>83368</v>
      </c>
      <c r="F689" s="6">
        <v>53583</v>
      </c>
      <c r="G689" s="28">
        <v>105125616223</v>
      </c>
      <c r="H689" s="1">
        <v>26</v>
      </c>
      <c r="I689" s="1">
        <v>62</v>
      </c>
      <c r="J689" s="38">
        <v>45810</v>
      </c>
      <c r="K689" s="1"/>
      <c r="L689" s="1"/>
      <c r="M689" s="1"/>
      <c r="N689" s="1"/>
      <c r="O689" s="1"/>
      <c r="P689" s="1"/>
    </row>
    <row r="690" spans="1:16">
      <c r="A690" s="9">
        <v>45937</v>
      </c>
      <c r="B690" s="1">
        <v>2025</v>
      </c>
      <c r="C690" s="1">
        <v>10</v>
      </c>
      <c r="D690" s="64" t="s">
        <v>12</v>
      </c>
      <c r="E690" s="6">
        <v>51236</v>
      </c>
      <c r="F690" s="6">
        <v>32968</v>
      </c>
      <c r="G690" s="28">
        <v>65038282033</v>
      </c>
      <c r="H690" s="1">
        <v>22</v>
      </c>
      <c r="I690" s="1">
        <v>49</v>
      </c>
      <c r="J690" s="38">
        <v>45659</v>
      </c>
      <c r="K690" s="1"/>
      <c r="L690" s="1"/>
      <c r="M690" s="1"/>
      <c r="N690" s="1"/>
      <c r="O690" s="1"/>
      <c r="P690" s="1"/>
    </row>
    <row r="691" spans="1:16">
      <c r="A691" s="9">
        <v>45938</v>
      </c>
      <c r="B691" s="1">
        <v>2025</v>
      </c>
      <c r="C691" s="1">
        <v>10</v>
      </c>
      <c r="D691" s="64" t="s">
        <v>91</v>
      </c>
      <c r="E691" s="6">
        <v>46832</v>
      </c>
      <c r="F691" s="6">
        <v>30431</v>
      </c>
      <c r="G691" s="28">
        <v>62745782405</v>
      </c>
      <c r="H691" s="1">
        <v>20</v>
      </c>
      <c r="I691" s="1">
        <v>41</v>
      </c>
      <c r="J691" s="38">
        <v>45718</v>
      </c>
      <c r="K691" s="1"/>
      <c r="L691" s="1"/>
      <c r="M691" s="1"/>
      <c r="N691" s="1"/>
      <c r="O691" s="1"/>
      <c r="P691" s="1"/>
    </row>
    <row r="692" spans="1:16">
      <c r="A692" s="9">
        <v>45939</v>
      </c>
      <c r="B692" s="1">
        <v>2025</v>
      </c>
      <c r="C692" s="1">
        <v>10</v>
      </c>
      <c r="D692" s="64" t="s">
        <v>84</v>
      </c>
      <c r="E692" s="6">
        <v>40194</v>
      </c>
      <c r="F692" s="6">
        <v>26753</v>
      </c>
      <c r="G692" s="28">
        <v>54592096583</v>
      </c>
      <c r="H692" s="1">
        <v>20</v>
      </c>
      <c r="I692" s="1">
        <v>37</v>
      </c>
      <c r="J692" s="38">
        <v>45901</v>
      </c>
      <c r="K692" s="1"/>
      <c r="L692" s="1"/>
      <c r="M692" s="1"/>
      <c r="N692" s="1"/>
      <c r="O692" s="1"/>
      <c r="P692" s="1"/>
    </row>
    <row r="693" spans="1:16">
      <c r="A693" s="9">
        <v>45940</v>
      </c>
      <c r="B693" s="1">
        <v>2025</v>
      </c>
      <c r="C693" s="1">
        <v>10</v>
      </c>
      <c r="D693" s="64" t="s">
        <v>11</v>
      </c>
      <c r="E693" s="6">
        <v>27051</v>
      </c>
      <c r="F693" s="6">
        <v>17659</v>
      </c>
      <c r="G693" s="28">
        <v>35093899019</v>
      </c>
      <c r="H693" s="1">
        <v>21</v>
      </c>
      <c r="I693" s="1">
        <v>42</v>
      </c>
      <c r="J693" s="38">
        <v>45659</v>
      </c>
      <c r="K693" s="1"/>
      <c r="L693" s="1"/>
      <c r="M693" s="1"/>
      <c r="N693" s="1"/>
      <c r="O693" s="1"/>
      <c r="P693" s="1"/>
    </row>
    <row r="694" spans="1:16">
      <c r="A694" s="9">
        <v>45941</v>
      </c>
      <c r="B694" s="1">
        <v>2025</v>
      </c>
      <c r="C694" s="1">
        <v>10</v>
      </c>
      <c r="D694" s="64" t="s">
        <v>88</v>
      </c>
      <c r="E694" s="6">
        <v>18518</v>
      </c>
      <c r="F694" s="6">
        <v>13186</v>
      </c>
      <c r="G694" s="28">
        <v>24910190520</v>
      </c>
      <c r="H694" s="1">
        <v>20</v>
      </c>
      <c r="I694" s="1">
        <v>34</v>
      </c>
      <c r="J694" s="38">
        <v>45901</v>
      </c>
      <c r="K694" s="1"/>
      <c r="L694" s="1"/>
      <c r="M694" s="1"/>
      <c r="N694" s="1"/>
      <c r="O694" s="1"/>
      <c r="P694" s="1"/>
    </row>
    <row r="695" spans="1:16">
      <c r="A695" s="9">
        <v>45942</v>
      </c>
      <c r="B695" s="1">
        <v>2025</v>
      </c>
      <c r="C695" s="1">
        <v>10</v>
      </c>
      <c r="D695" s="64" t="s">
        <v>20</v>
      </c>
      <c r="E695" s="6">
        <v>16569</v>
      </c>
      <c r="F695" s="6">
        <v>11782</v>
      </c>
      <c r="G695" s="28">
        <v>21780625622</v>
      </c>
      <c r="H695" s="1">
        <v>21</v>
      </c>
      <c r="I695" s="1">
        <v>47</v>
      </c>
      <c r="J695" s="38">
        <v>45659</v>
      </c>
      <c r="K695" s="1"/>
      <c r="L695" s="1"/>
      <c r="M695" s="1"/>
      <c r="N695" s="1"/>
      <c r="O695" s="1"/>
      <c r="P695" s="1"/>
    </row>
    <row r="696" spans="1:16">
      <c r="A696" s="9">
        <v>45943</v>
      </c>
      <c r="B696" s="1">
        <v>2025</v>
      </c>
      <c r="C696" s="1">
        <v>10</v>
      </c>
      <c r="D696" s="64" t="s">
        <v>101</v>
      </c>
      <c r="E696" s="6">
        <v>16327</v>
      </c>
      <c r="F696" s="6">
        <v>11085</v>
      </c>
      <c r="G696" s="28">
        <v>21618196265</v>
      </c>
      <c r="H696" s="1">
        <v>25</v>
      </c>
      <c r="I696" s="1">
        <v>55</v>
      </c>
      <c r="J696" s="38">
        <v>45718</v>
      </c>
      <c r="K696" s="1"/>
      <c r="L696" s="1"/>
      <c r="M696" s="1"/>
      <c r="N696" s="1"/>
      <c r="O696" s="1"/>
      <c r="P696" s="1"/>
    </row>
    <row r="697" spans="1:16">
      <c r="A697" s="9">
        <v>45944</v>
      </c>
      <c r="B697" s="1">
        <v>2025</v>
      </c>
      <c r="C697" s="1">
        <v>10</v>
      </c>
      <c r="D697" s="64" t="s">
        <v>32</v>
      </c>
      <c r="E697" s="6">
        <v>14435</v>
      </c>
      <c r="F697" s="6">
        <v>9716</v>
      </c>
      <c r="G697" s="28">
        <v>18740765264</v>
      </c>
      <c r="H697" s="1">
        <v>20</v>
      </c>
      <c r="I697" s="1">
        <v>45</v>
      </c>
      <c r="J697" s="36" t="s">
        <v>110</v>
      </c>
      <c r="K697" s="1"/>
      <c r="L697" s="1"/>
      <c r="M697" s="1"/>
      <c r="N697" s="1"/>
      <c r="O697" s="1"/>
      <c r="P697" s="1"/>
    </row>
    <row r="698" spans="1:16">
      <c r="A698" s="9">
        <v>45945</v>
      </c>
      <c r="B698" s="1">
        <v>2025</v>
      </c>
      <c r="C698" s="1">
        <v>10</v>
      </c>
      <c r="D698" s="64" t="s">
        <v>19</v>
      </c>
      <c r="E698" s="6">
        <v>12733</v>
      </c>
      <c r="F698" s="6">
        <v>8936</v>
      </c>
      <c r="G698" s="28">
        <v>16348979910</v>
      </c>
      <c r="H698" s="1">
        <v>21</v>
      </c>
      <c r="I698" s="1">
        <v>43</v>
      </c>
      <c r="J698" s="38">
        <v>45659</v>
      </c>
      <c r="K698" s="1"/>
      <c r="L698" s="1"/>
      <c r="M698" s="1"/>
      <c r="N698" s="1"/>
      <c r="O698" s="1"/>
      <c r="P698" s="1"/>
    </row>
    <row r="699" spans="1:16">
      <c r="A699" s="9">
        <v>45946</v>
      </c>
      <c r="B699" s="1">
        <v>2025</v>
      </c>
      <c r="C699" s="1">
        <v>10</v>
      </c>
      <c r="D699" s="64" t="s">
        <v>15</v>
      </c>
      <c r="E699" s="65">
        <v>45789</v>
      </c>
      <c r="F699" s="6">
        <v>7980</v>
      </c>
      <c r="G699" s="28">
        <v>15728673658</v>
      </c>
      <c r="H699" s="1">
        <v>22</v>
      </c>
      <c r="I699" s="1">
        <v>40</v>
      </c>
      <c r="J699" s="38">
        <v>45659</v>
      </c>
      <c r="K699" s="1"/>
      <c r="L699" s="1"/>
      <c r="M699" s="1"/>
      <c r="N699" s="1"/>
      <c r="O699" s="1"/>
      <c r="P699" s="1"/>
    </row>
    <row r="700" spans="1:16">
      <c r="A700" s="9">
        <v>45947</v>
      </c>
      <c r="B700" s="1">
        <v>2025</v>
      </c>
      <c r="C700" s="1">
        <v>10</v>
      </c>
      <c r="D700" s="64" t="s">
        <v>24</v>
      </c>
      <c r="E700" s="6">
        <v>9447</v>
      </c>
      <c r="F700" s="6">
        <v>6158</v>
      </c>
      <c r="G700" s="28">
        <v>12140188204</v>
      </c>
      <c r="H700" s="1">
        <v>23</v>
      </c>
      <c r="I700" s="1">
        <v>18</v>
      </c>
      <c r="J700" s="38">
        <v>45689</v>
      </c>
      <c r="K700" s="1"/>
      <c r="L700" s="1"/>
      <c r="M700" s="1"/>
      <c r="N700" s="1"/>
      <c r="O700" s="1"/>
      <c r="P700" s="1"/>
    </row>
    <row r="701" spans="1:16">
      <c r="A701" s="9">
        <v>45948</v>
      </c>
      <c r="B701" s="1">
        <v>2025</v>
      </c>
      <c r="C701" s="1">
        <v>10</v>
      </c>
      <c r="D701" s="64" t="s">
        <v>23</v>
      </c>
      <c r="E701" s="6">
        <v>8553</v>
      </c>
      <c r="F701" s="6">
        <v>5523</v>
      </c>
      <c r="G701" s="28">
        <v>11147069734</v>
      </c>
      <c r="H701" s="1">
        <v>21</v>
      </c>
      <c r="I701" s="1">
        <v>40</v>
      </c>
      <c r="J701" s="38">
        <v>45690</v>
      </c>
      <c r="K701" s="1"/>
      <c r="L701" s="1"/>
      <c r="M701" s="1"/>
      <c r="N701" s="1"/>
      <c r="O701" s="1"/>
      <c r="P701" s="1"/>
    </row>
    <row r="702" spans="1:16">
      <c r="A702" s="9">
        <v>45949</v>
      </c>
      <c r="B702" s="1">
        <v>2025</v>
      </c>
      <c r="C702" s="1">
        <v>10</v>
      </c>
      <c r="D702" s="64" t="s">
        <v>28</v>
      </c>
      <c r="E702" s="6">
        <v>5540</v>
      </c>
      <c r="F702" s="6">
        <v>3785</v>
      </c>
      <c r="G702" s="28">
        <v>7266314820</v>
      </c>
      <c r="H702" s="1">
        <v>19</v>
      </c>
      <c r="I702" s="1">
        <v>44</v>
      </c>
      <c r="J702" s="38">
        <v>45717</v>
      </c>
      <c r="K702" s="1"/>
      <c r="L702" s="1"/>
      <c r="M702" s="1"/>
      <c r="N702" s="1"/>
      <c r="O702" s="1"/>
      <c r="P702" s="1"/>
    </row>
    <row r="703" spans="1:16">
      <c r="A703" s="9">
        <v>45950</v>
      </c>
      <c r="B703" s="1">
        <v>2025</v>
      </c>
      <c r="C703" s="1">
        <v>10</v>
      </c>
      <c r="D703" s="64" t="s">
        <v>93</v>
      </c>
      <c r="E703" s="6">
        <v>5198</v>
      </c>
      <c r="F703" s="6">
        <v>3472</v>
      </c>
      <c r="G703" s="28">
        <v>6953776099</v>
      </c>
      <c r="H703" s="1">
        <v>31</v>
      </c>
      <c r="I703" s="1">
        <v>61</v>
      </c>
      <c r="J703" s="38">
        <v>45658</v>
      </c>
      <c r="K703" s="1"/>
      <c r="L703" s="1"/>
      <c r="M703" s="1"/>
      <c r="N703" s="1"/>
      <c r="O703" s="1"/>
      <c r="P703" s="1"/>
    </row>
    <row r="704" spans="1:16">
      <c r="A704" s="9">
        <v>45951</v>
      </c>
      <c r="B704" s="1">
        <v>2025</v>
      </c>
      <c r="C704" s="1">
        <v>10</v>
      </c>
      <c r="D704" s="64" t="s">
        <v>25</v>
      </c>
      <c r="E704" s="6">
        <v>3342</v>
      </c>
      <c r="F704" s="6">
        <v>2688</v>
      </c>
      <c r="G704" s="28">
        <v>4240756765</v>
      </c>
      <c r="H704" s="1">
        <v>22</v>
      </c>
      <c r="I704" s="1">
        <v>19</v>
      </c>
      <c r="J704" s="38">
        <v>45749</v>
      </c>
      <c r="K704" s="1"/>
      <c r="L704" s="1"/>
      <c r="M704" s="1"/>
      <c r="N704" s="1"/>
      <c r="O704" s="1"/>
      <c r="P704" s="1"/>
    </row>
    <row r="705" spans="1:16">
      <c r="A705" s="9">
        <v>45952</v>
      </c>
      <c r="B705" s="1">
        <v>2025</v>
      </c>
      <c r="C705" s="1">
        <v>10</v>
      </c>
      <c r="D705" s="64" t="s">
        <v>26</v>
      </c>
      <c r="E705" s="6">
        <v>2922</v>
      </c>
      <c r="F705" s="6">
        <v>2297</v>
      </c>
      <c r="G705" s="28">
        <v>3749593716</v>
      </c>
      <c r="H705" s="1">
        <v>19</v>
      </c>
      <c r="I705" s="1">
        <v>18</v>
      </c>
      <c r="J705" s="38">
        <v>45749</v>
      </c>
      <c r="K705" s="1"/>
      <c r="L705" s="1"/>
      <c r="M705" s="1"/>
      <c r="N705" s="1"/>
      <c r="O705" s="1"/>
      <c r="P705" s="1"/>
    </row>
    <row r="706" spans="1:16">
      <c r="A706" s="9">
        <v>45953</v>
      </c>
      <c r="B706" s="1">
        <v>2025</v>
      </c>
      <c r="C706" s="1">
        <v>10</v>
      </c>
      <c r="D706" s="64" t="s">
        <v>102</v>
      </c>
      <c r="E706" s="1" t="s">
        <v>107</v>
      </c>
      <c r="F706" s="1" t="s">
        <v>107</v>
      </c>
      <c r="G706" s="28" t="s">
        <v>109</v>
      </c>
      <c r="H706" s="1" t="s">
        <v>107</v>
      </c>
      <c r="I706" s="1" t="s">
        <v>107</v>
      </c>
      <c r="J706" s="36" t="s">
        <v>107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9">
        <v>45954</v>
      </c>
      <c r="B707" s="1">
        <v>2025</v>
      </c>
      <c r="C707" s="1">
        <v>10</v>
      </c>
      <c r="D707" s="64" t="s">
        <v>104</v>
      </c>
      <c r="E707" s="1" t="s">
        <v>107</v>
      </c>
      <c r="F707" s="1" t="s">
        <v>107</v>
      </c>
      <c r="G707" s="28" t="s">
        <v>109</v>
      </c>
      <c r="H707" s="1" t="s">
        <v>107</v>
      </c>
      <c r="I707" s="1" t="s">
        <v>107</v>
      </c>
      <c r="J707" s="36" t="s">
        <v>107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</row>
    <row r="708" spans="1:16">
      <c r="A708" s="9">
        <v>45955</v>
      </c>
      <c r="B708" s="1">
        <v>2025</v>
      </c>
      <c r="C708" s="1">
        <v>10</v>
      </c>
      <c r="D708" s="64" t="s">
        <v>30</v>
      </c>
      <c r="E708" s="1" t="s">
        <v>107</v>
      </c>
      <c r="F708" s="1" t="s">
        <v>107</v>
      </c>
      <c r="G708" s="28" t="s">
        <v>109</v>
      </c>
      <c r="H708" s="1" t="s">
        <v>107</v>
      </c>
      <c r="I708" s="1" t="s">
        <v>107</v>
      </c>
      <c r="J708" s="36" t="s">
        <v>107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</row>
    <row r="709" spans="1:16">
      <c r="A709" s="9">
        <v>45956</v>
      </c>
      <c r="B709" s="1">
        <v>2025</v>
      </c>
      <c r="C709" s="1">
        <v>10</v>
      </c>
      <c r="D709" s="64" t="s">
        <v>105</v>
      </c>
      <c r="E709" s="1" t="s">
        <v>107</v>
      </c>
      <c r="F709" s="1" t="s">
        <v>107</v>
      </c>
      <c r="G709" s="28" t="s">
        <v>109</v>
      </c>
      <c r="H709" s="1" t="s">
        <v>107</v>
      </c>
      <c r="I709" s="1" t="s">
        <v>107</v>
      </c>
      <c r="J709" s="36" t="s">
        <v>107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</row>
    <row r="710" spans="1:16">
      <c r="A710" s="9">
        <v>45957</v>
      </c>
      <c r="B710" s="1">
        <v>2025</v>
      </c>
      <c r="C710" s="1">
        <v>10</v>
      </c>
      <c r="D710" s="64" t="s">
        <v>106</v>
      </c>
      <c r="E710" s="1" t="s">
        <v>107</v>
      </c>
      <c r="F710" s="1" t="s">
        <v>107</v>
      </c>
      <c r="G710" s="28" t="s">
        <v>109</v>
      </c>
      <c r="H710" s="1" t="s">
        <v>107</v>
      </c>
      <c r="I710" s="1" t="s">
        <v>107</v>
      </c>
      <c r="J710" s="36" t="s">
        <v>107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</row>
    <row r="711" spans="1:16">
      <c r="A711" s="9">
        <v>45962</v>
      </c>
      <c r="B711" s="1">
        <v>2025</v>
      </c>
      <c r="C711" s="1">
        <v>11</v>
      </c>
      <c r="D711" s="64" t="s">
        <v>7</v>
      </c>
      <c r="E711" s="6">
        <v>233870</v>
      </c>
      <c r="F711" s="6">
        <v>144324</v>
      </c>
      <c r="G711" s="28">
        <v>295364202738</v>
      </c>
      <c r="H711" s="1">
        <v>22</v>
      </c>
      <c r="I711" s="1">
        <v>48</v>
      </c>
      <c r="J711" s="66">
        <v>2.1378571430000002</v>
      </c>
      <c r="K711" s="1"/>
      <c r="L711" s="1"/>
      <c r="M711" s="1"/>
      <c r="N711" s="1"/>
      <c r="O711" s="1"/>
      <c r="P711" s="1"/>
    </row>
    <row r="712" spans="1:16">
      <c r="A712" s="9">
        <v>45963</v>
      </c>
      <c r="B712" s="1">
        <v>2025</v>
      </c>
      <c r="C712" s="1">
        <v>11</v>
      </c>
      <c r="D712" s="64" t="s">
        <v>22</v>
      </c>
      <c r="E712" s="6">
        <v>230837</v>
      </c>
      <c r="F712" s="6">
        <v>152225</v>
      </c>
      <c r="G712" s="28">
        <v>290433413700</v>
      </c>
      <c r="H712" s="1">
        <v>23</v>
      </c>
      <c r="I712" s="1">
        <v>56</v>
      </c>
      <c r="J712" s="66">
        <v>2.5394736839999998</v>
      </c>
      <c r="K712" s="1"/>
      <c r="L712" s="1"/>
      <c r="M712" s="1"/>
      <c r="N712" s="1"/>
      <c r="O712" s="1"/>
      <c r="P712" s="1"/>
    </row>
    <row r="713" spans="1:16">
      <c r="A713" s="9">
        <v>45964</v>
      </c>
      <c r="B713" s="1">
        <v>2025</v>
      </c>
      <c r="C713" s="1">
        <v>11</v>
      </c>
      <c r="D713" s="64" t="s">
        <v>9</v>
      </c>
      <c r="E713" s="6">
        <v>208026</v>
      </c>
      <c r="F713" s="6">
        <v>130640</v>
      </c>
      <c r="G713" s="28">
        <v>265092111283</v>
      </c>
      <c r="H713" s="1">
        <v>25</v>
      </c>
      <c r="I713" s="1">
        <v>56</v>
      </c>
      <c r="J713" s="66">
        <v>2.2806923079999999</v>
      </c>
      <c r="K713" s="1"/>
      <c r="L713" s="1"/>
      <c r="M713" s="1"/>
      <c r="N713" s="1"/>
      <c r="O713" s="1"/>
      <c r="P713" s="1"/>
    </row>
    <row r="714" spans="1:16">
      <c r="A714" s="9">
        <v>45965</v>
      </c>
      <c r="B714" s="1">
        <v>2025</v>
      </c>
      <c r="C714" s="1">
        <v>11</v>
      </c>
      <c r="D714" s="64" t="s">
        <v>8</v>
      </c>
      <c r="E714" s="6">
        <v>164215</v>
      </c>
      <c r="F714" s="6">
        <v>102848</v>
      </c>
      <c r="G714" s="28">
        <v>210465601448</v>
      </c>
      <c r="H714" s="1">
        <v>23</v>
      </c>
      <c r="I714" s="1">
        <v>43</v>
      </c>
      <c r="J714" s="67">
        <v>2.0216470590000002</v>
      </c>
      <c r="K714" s="1"/>
      <c r="L714" s="1"/>
      <c r="M714" s="1"/>
      <c r="N714" s="1"/>
      <c r="O714" s="1"/>
      <c r="P714" s="1"/>
    </row>
    <row r="715" spans="1:16">
      <c r="A715" s="9">
        <v>45966</v>
      </c>
      <c r="B715" s="1">
        <v>2025</v>
      </c>
      <c r="C715" s="1">
        <v>11</v>
      </c>
      <c r="D715" s="64" t="s">
        <v>10</v>
      </c>
      <c r="E715" s="6">
        <v>137387</v>
      </c>
      <c r="F715" s="6">
        <v>90484</v>
      </c>
      <c r="G715" s="28">
        <v>176156321408</v>
      </c>
      <c r="H715" s="1">
        <v>22</v>
      </c>
      <c r="I715" s="1">
        <v>47</v>
      </c>
      <c r="J715" s="66">
        <v>2.2580246910000001</v>
      </c>
      <c r="K715" s="1"/>
      <c r="L715" s="1"/>
      <c r="M715" s="1"/>
      <c r="N715" s="1"/>
      <c r="O715" s="1"/>
      <c r="P715" s="1"/>
    </row>
    <row r="716" spans="1:16">
      <c r="A716" s="9">
        <v>45967</v>
      </c>
      <c r="B716" s="1">
        <v>2025</v>
      </c>
      <c r="C716" s="1">
        <v>11</v>
      </c>
      <c r="D716" s="64" t="s">
        <v>79</v>
      </c>
      <c r="E716" s="6">
        <v>85434</v>
      </c>
      <c r="F716" s="6">
        <v>55034</v>
      </c>
      <c r="G716" s="28">
        <v>108091818703</v>
      </c>
      <c r="H716" s="1">
        <v>27</v>
      </c>
      <c r="I716" s="1">
        <v>63</v>
      </c>
      <c r="J716" s="66">
        <v>2.5606249999999999</v>
      </c>
      <c r="K716" s="1"/>
      <c r="L716" s="1"/>
      <c r="M716" s="1"/>
      <c r="N716" s="1"/>
      <c r="O716" s="1"/>
      <c r="P716" s="1"/>
    </row>
    <row r="717" spans="1:16">
      <c r="A717" s="9">
        <v>45968</v>
      </c>
      <c r="B717" s="1">
        <v>2025</v>
      </c>
      <c r="C717" s="1">
        <v>11</v>
      </c>
      <c r="D717" s="64" t="s">
        <v>12</v>
      </c>
      <c r="E717" s="6">
        <v>58563</v>
      </c>
      <c r="F717" s="6">
        <v>37834</v>
      </c>
      <c r="G717" s="28">
        <v>74722665837</v>
      </c>
      <c r="H717" s="1">
        <v>22</v>
      </c>
      <c r="I717" s="1">
        <v>49</v>
      </c>
      <c r="J717" s="66">
        <v>2.2477272730000002</v>
      </c>
      <c r="K717" s="1"/>
      <c r="L717" s="1"/>
      <c r="M717" s="1"/>
      <c r="N717" s="1"/>
      <c r="O717" s="1"/>
      <c r="P717" s="1"/>
    </row>
    <row r="718" spans="1:16">
      <c r="A718" s="9">
        <v>45969</v>
      </c>
      <c r="B718" s="1">
        <v>2025</v>
      </c>
      <c r="C718" s="1">
        <v>11</v>
      </c>
      <c r="D718" s="64" t="s">
        <v>91</v>
      </c>
      <c r="E718" s="6">
        <v>48404</v>
      </c>
      <c r="F718" s="6">
        <v>31352</v>
      </c>
      <c r="G718" s="28">
        <v>64751062751</v>
      </c>
      <c r="H718" s="1">
        <v>20</v>
      </c>
      <c r="I718" s="1">
        <v>41</v>
      </c>
      <c r="J718" s="66">
        <v>2.072926829</v>
      </c>
      <c r="K718" s="1"/>
      <c r="L718" s="1"/>
      <c r="M718" s="1"/>
      <c r="N718" s="1"/>
      <c r="O718" s="1"/>
      <c r="P718" s="1"/>
    </row>
    <row r="719" spans="1:16">
      <c r="A719" s="9">
        <v>45970</v>
      </c>
      <c r="B719" s="1">
        <v>2025</v>
      </c>
      <c r="C719" s="1">
        <v>11</v>
      </c>
      <c r="D719" s="64" t="s">
        <v>84</v>
      </c>
      <c r="E719" s="6">
        <v>44712</v>
      </c>
      <c r="F719" s="6">
        <v>29803</v>
      </c>
      <c r="G719" s="28">
        <v>60892067122</v>
      </c>
      <c r="H719" s="1">
        <v>20</v>
      </c>
      <c r="I719" s="1">
        <v>37</v>
      </c>
      <c r="J719" s="66">
        <v>1.91440678</v>
      </c>
      <c r="K719" s="1"/>
      <c r="L719" s="1"/>
      <c r="M719" s="1"/>
      <c r="N719" s="1"/>
      <c r="O719" s="1"/>
      <c r="P719" s="1"/>
    </row>
    <row r="720" spans="1:16">
      <c r="A720" s="9">
        <v>45971</v>
      </c>
      <c r="B720" s="1">
        <v>2025</v>
      </c>
      <c r="C720" s="1">
        <v>11</v>
      </c>
      <c r="D720" s="64" t="s">
        <v>11</v>
      </c>
      <c r="E720" s="6">
        <v>29601</v>
      </c>
      <c r="F720" s="6">
        <v>19310</v>
      </c>
      <c r="G720" s="28">
        <v>38496104343</v>
      </c>
      <c r="H720" s="1">
        <v>21</v>
      </c>
      <c r="I720" s="1">
        <v>41</v>
      </c>
      <c r="J720" s="66">
        <v>2.1423999999999999</v>
      </c>
      <c r="K720" s="1"/>
      <c r="L720" s="1"/>
      <c r="M720" s="1"/>
      <c r="N720" s="1"/>
      <c r="O720" s="1"/>
      <c r="P720" s="1"/>
    </row>
    <row r="721" spans="1:16">
      <c r="A721" s="9">
        <v>45972</v>
      </c>
      <c r="B721" s="1">
        <v>2025</v>
      </c>
      <c r="C721" s="1">
        <v>11</v>
      </c>
      <c r="D721" s="64" t="s">
        <v>88</v>
      </c>
      <c r="E721" s="6">
        <v>19225</v>
      </c>
      <c r="F721" s="6">
        <v>13690</v>
      </c>
      <c r="G721" s="28">
        <v>25853351528</v>
      </c>
      <c r="H721" s="1">
        <v>19</v>
      </c>
      <c r="I721" s="1">
        <v>33</v>
      </c>
      <c r="J721" s="66">
        <v>1.927333333</v>
      </c>
      <c r="K721" s="1"/>
      <c r="L721" s="1"/>
      <c r="M721" s="1"/>
      <c r="N721" s="1"/>
      <c r="O721" s="1"/>
      <c r="P721" s="1"/>
    </row>
    <row r="722" spans="1:16">
      <c r="A722" s="9">
        <v>45973</v>
      </c>
      <c r="B722" s="1">
        <v>2025</v>
      </c>
      <c r="C722" s="1">
        <v>11</v>
      </c>
      <c r="D722" s="64" t="s">
        <v>20</v>
      </c>
      <c r="E722" s="6">
        <v>17981</v>
      </c>
      <c r="F722" s="6">
        <v>12745</v>
      </c>
      <c r="G722" s="28">
        <v>23625636295</v>
      </c>
      <c r="H722" s="1">
        <v>21</v>
      </c>
      <c r="I722" s="1">
        <v>46</v>
      </c>
      <c r="J722" s="66">
        <v>2.1076923079999998</v>
      </c>
      <c r="K722" s="1"/>
      <c r="L722" s="1"/>
      <c r="M722" s="1"/>
      <c r="N722" s="1"/>
      <c r="O722" s="1"/>
      <c r="P722" s="1"/>
    </row>
    <row r="723" spans="1:16">
      <c r="A723" s="9">
        <v>45974</v>
      </c>
      <c r="B723" s="1">
        <v>2025</v>
      </c>
      <c r="C723" s="1">
        <v>11</v>
      </c>
      <c r="D723" s="64" t="s">
        <v>101</v>
      </c>
      <c r="E723" s="6">
        <v>20144</v>
      </c>
      <c r="F723" s="6">
        <v>13643</v>
      </c>
      <c r="G723" s="28">
        <v>26533964210</v>
      </c>
      <c r="H723" s="1">
        <v>25</v>
      </c>
      <c r="I723" s="1">
        <v>54</v>
      </c>
      <c r="J723" s="66">
        <v>2.2075</v>
      </c>
      <c r="K723" s="1"/>
      <c r="L723" s="1"/>
      <c r="M723" s="1"/>
      <c r="N723" s="1"/>
      <c r="O723" s="1"/>
      <c r="P723" s="1"/>
    </row>
    <row r="724" spans="1:16">
      <c r="A724" s="9">
        <v>45975</v>
      </c>
      <c r="B724" s="1">
        <v>2025</v>
      </c>
      <c r="C724" s="1">
        <v>11</v>
      </c>
      <c r="D724" s="64" t="s">
        <v>32</v>
      </c>
      <c r="E724" s="6">
        <v>15653</v>
      </c>
      <c r="F724" s="6">
        <v>10566</v>
      </c>
      <c r="G724" s="28">
        <v>20401937727</v>
      </c>
      <c r="H724" s="1">
        <v>20</v>
      </c>
      <c r="I724" s="1">
        <v>44</v>
      </c>
      <c r="J724" s="67">
        <v>2.2654545449999999</v>
      </c>
      <c r="K724" s="1"/>
      <c r="L724" s="1"/>
      <c r="M724" s="1"/>
      <c r="N724" s="1"/>
      <c r="O724" s="1"/>
      <c r="P724" s="1"/>
    </row>
    <row r="725" spans="1:16">
      <c r="A725" s="9">
        <v>45976</v>
      </c>
      <c r="B725" s="1">
        <v>2025</v>
      </c>
      <c r="C725" s="1">
        <v>11</v>
      </c>
      <c r="D725" s="64" t="s">
        <v>19</v>
      </c>
      <c r="E725" s="6">
        <v>13925</v>
      </c>
      <c r="F725" s="6">
        <v>9765</v>
      </c>
      <c r="G725" s="28">
        <v>17878363112</v>
      </c>
      <c r="H725" s="1">
        <v>21</v>
      </c>
      <c r="I725" s="1">
        <v>43</v>
      </c>
      <c r="J725" s="66">
        <v>2.14</v>
      </c>
      <c r="K725" s="1"/>
      <c r="L725" s="1"/>
      <c r="M725" s="1"/>
      <c r="N725" s="1"/>
      <c r="O725" s="1"/>
      <c r="P725" s="1"/>
    </row>
    <row r="726" spans="1:16">
      <c r="A726" s="9">
        <v>45977</v>
      </c>
      <c r="B726" s="1">
        <v>2025</v>
      </c>
      <c r="C726" s="1">
        <v>11</v>
      </c>
      <c r="D726" s="64" t="s">
        <v>15</v>
      </c>
      <c r="E726" s="6">
        <v>14073</v>
      </c>
      <c r="F726" s="6">
        <v>9392</v>
      </c>
      <c r="G726" s="28">
        <v>18486787379</v>
      </c>
      <c r="H726" s="1">
        <v>23</v>
      </c>
      <c r="I726" s="1">
        <v>43</v>
      </c>
      <c r="J726" s="66">
        <v>2.0720000000000001</v>
      </c>
      <c r="K726" s="1"/>
      <c r="L726" s="1"/>
      <c r="M726" s="1"/>
      <c r="N726" s="1"/>
      <c r="O726" s="1"/>
      <c r="P726" s="1"/>
    </row>
    <row r="727" spans="1:16">
      <c r="A727" s="9">
        <v>45978</v>
      </c>
      <c r="B727" s="1">
        <v>2025</v>
      </c>
      <c r="C727" s="1">
        <v>11</v>
      </c>
      <c r="D727" s="64" t="s">
        <v>24</v>
      </c>
      <c r="E727" s="6">
        <v>11570</v>
      </c>
      <c r="F727" s="6">
        <v>7624</v>
      </c>
      <c r="G727" s="28">
        <v>14849730111</v>
      </c>
      <c r="H727" s="1">
        <v>23</v>
      </c>
      <c r="I727" s="1">
        <v>18</v>
      </c>
      <c r="J727" s="66">
        <v>1.1928000000000001</v>
      </c>
      <c r="K727" s="1"/>
      <c r="L727" s="1"/>
      <c r="M727" s="1"/>
      <c r="N727" s="1"/>
      <c r="O727" s="1"/>
      <c r="P727" s="1"/>
    </row>
    <row r="728" spans="1:16">
      <c r="A728" s="9">
        <v>45979</v>
      </c>
      <c r="B728" s="1">
        <v>2025</v>
      </c>
      <c r="C728" s="1">
        <v>11</v>
      </c>
      <c r="D728" s="64" t="s">
        <v>23</v>
      </c>
      <c r="E728" s="6">
        <v>9893</v>
      </c>
      <c r="F728" s="6">
        <v>6339</v>
      </c>
      <c r="G728" s="28">
        <v>12899908185</v>
      </c>
      <c r="H728" s="1">
        <v>21</v>
      </c>
      <c r="I728" s="1">
        <v>40</v>
      </c>
      <c r="J728" s="66">
        <v>2.1355555559999999</v>
      </c>
      <c r="K728" s="1"/>
      <c r="L728" s="1"/>
      <c r="M728" s="1"/>
      <c r="N728" s="1"/>
      <c r="O728" s="1"/>
      <c r="P728" s="1"/>
    </row>
    <row r="729" spans="1:16">
      <c r="A729" s="9">
        <v>45980</v>
      </c>
      <c r="B729" s="1">
        <v>2025</v>
      </c>
      <c r="C729" s="1">
        <v>11</v>
      </c>
      <c r="D729" s="64" t="s">
        <v>28</v>
      </c>
      <c r="E729" s="6">
        <v>5540</v>
      </c>
      <c r="F729" s="6">
        <v>3785</v>
      </c>
      <c r="G729" s="28">
        <v>7266314820</v>
      </c>
      <c r="H729" s="1">
        <v>19</v>
      </c>
      <c r="I729" s="1">
        <v>44</v>
      </c>
      <c r="J729" s="66">
        <v>2.4350000000000001</v>
      </c>
      <c r="K729" s="1"/>
      <c r="L729" s="1"/>
      <c r="M729" s="1"/>
      <c r="N729" s="1"/>
      <c r="O729" s="1"/>
      <c r="P729" s="1"/>
    </row>
    <row r="730" spans="1:16">
      <c r="A730" s="9">
        <v>45981</v>
      </c>
      <c r="B730" s="1">
        <v>2025</v>
      </c>
      <c r="C730" s="1">
        <v>11</v>
      </c>
      <c r="D730" s="64" t="s">
        <v>93</v>
      </c>
      <c r="E730" s="6">
        <v>7582</v>
      </c>
      <c r="F730" s="6">
        <v>5119</v>
      </c>
      <c r="G730" s="28">
        <v>9990034777</v>
      </c>
      <c r="H730" s="1">
        <v>30</v>
      </c>
      <c r="I730" s="1">
        <v>60</v>
      </c>
      <c r="J730" s="66">
        <v>2.3849999999999998</v>
      </c>
      <c r="K730" s="1"/>
      <c r="L730" s="1"/>
      <c r="M730" s="1"/>
      <c r="N730" s="1"/>
      <c r="O730" s="1"/>
      <c r="P730" s="1"/>
    </row>
    <row r="731" spans="1:16">
      <c r="A731" s="9">
        <v>45982</v>
      </c>
      <c r="B731" s="1">
        <v>2025</v>
      </c>
      <c r="C731" s="1">
        <v>11</v>
      </c>
      <c r="D731" s="64" t="s">
        <v>25</v>
      </c>
      <c r="E731" s="6">
        <v>3801</v>
      </c>
      <c r="F731" s="6">
        <v>3025</v>
      </c>
      <c r="G731" s="28">
        <v>4911744900</v>
      </c>
      <c r="H731" s="1">
        <v>21</v>
      </c>
      <c r="I731" s="1">
        <v>19</v>
      </c>
      <c r="J731" s="66">
        <v>1.3247368420000001</v>
      </c>
      <c r="K731" s="1"/>
      <c r="L731" s="1"/>
      <c r="M731" s="1"/>
      <c r="N731" s="1"/>
      <c r="O731" s="1"/>
      <c r="P731" s="1"/>
    </row>
    <row r="732" spans="1:16">
      <c r="A732" s="9">
        <v>45983</v>
      </c>
      <c r="B732" s="1">
        <v>2025</v>
      </c>
      <c r="C732" s="1">
        <v>11</v>
      </c>
      <c r="D732" s="64" t="s">
        <v>26</v>
      </c>
      <c r="E732" s="6">
        <v>3104</v>
      </c>
      <c r="F732" s="6">
        <v>2451</v>
      </c>
      <c r="G732" s="28">
        <v>4000473412</v>
      </c>
      <c r="H732" s="1">
        <v>19</v>
      </c>
      <c r="I732" s="1">
        <v>18</v>
      </c>
      <c r="J732" s="66">
        <v>1.158823529</v>
      </c>
      <c r="K732" s="1"/>
      <c r="L732" s="1"/>
      <c r="M732" s="1"/>
      <c r="N732" s="1"/>
      <c r="O732" s="1"/>
      <c r="P732" s="1"/>
    </row>
    <row r="733" spans="1:16">
      <c r="A733" s="9">
        <v>45984</v>
      </c>
      <c r="B733" s="1">
        <v>2025</v>
      </c>
      <c r="C733" s="1">
        <v>11</v>
      </c>
      <c r="D733" s="64" t="s">
        <v>102</v>
      </c>
      <c r="E733" s="1" t="s">
        <v>107</v>
      </c>
      <c r="F733" s="1" t="s">
        <v>107</v>
      </c>
      <c r="G733" s="28" t="s">
        <v>109</v>
      </c>
      <c r="H733" s="1" t="s">
        <v>107</v>
      </c>
      <c r="I733" s="1" t="s">
        <v>107</v>
      </c>
      <c r="J733" s="36" t="s">
        <v>107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9">
        <v>45985</v>
      </c>
      <c r="B734" s="1">
        <v>2025</v>
      </c>
      <c r="C734" s="1">
        <v>11</v>
      </c>
      <c r="D734" s="64" t="s">
        <v>104</v>
      </c>
      <c r="E734" s="1" t="s">
        <v>107</v>
      </c>
      <c r="F734" s="1" t="s">
        <v>107</v>
      </c>
      <c r="G734" s="28" t="s">
        <v>109</v>
      </c>
      <c r="H734" s="1" t="s">
        <v>107</v>
      </c>
      <c r="I734" s="1" t="s">
        <v>107</v>
      </c>
      <c r="J734" s="36" t="s">
        <v>107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9">
        <v>45986</v>
      </c>
      <c r="B735" s="1">
        <v>2025</v>
      </c>
      <c r="C735" s="1">
        <v>11</v>
      </c>
      <c r="D735" s="64" t="s">
        <v>30</v>
      </c>
      <c r="E735" s="1" t="s">
        <v>107</v>
      </c>
      <c r="F735" s="1" t="s">
        <v>107</v>
      </c>
      <c r="G735" s="28" t="s">
        <v>109</v>
      </c>
      <c r="H735" s="1" t="s">
        <v>107</v>
      </c>
      <c r="I735" s="1" t="s">
        <v>107</v>
      </c>
      <c r="J735" s="36" t="s">
        <v>107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9">
        <v>45987</v>
      </c>
      <c r="B736" s="1">
        <v>2025</v>
      </c>
      <c r="C736" s="1">
        <v>11</v>
      </c>
      <c r="D736" s="64" t="s">
        <v>105</v>
      </c>
      <c r="E736" s="1" t="s">
        <v>107</v>
      </c>
      <c r="F736" s="1" t="s">
        <v>107</v>
      </c>
      <c r="G736" s="28" t="s">
        <v>109</v>
      </c>
      <c r="H736" s="1" t="s">
        <v>107</v>
      </c>
      <c r="I736" s="1" t="s">
        <v>107</v>
      </c>
      <c r="J736" s="36" t="s">
        <v>107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9">
        <v>45988</v>
      </c>
      <c r="B737" s="1">
        <v>2025</v>
      </c>
      <c r="C737" s="1">
        <v>11</v>
      </c>
      <c r="D737" s="64" t="s">
        <v>106</v>
      </c>
      <c r="E737" s="1" t="s">
        <v>107</v>
      </c>
      <c r="F737" s="1" t="s">
        <v>107</v>
      </c>
      <c r="G737" s="28" t="s">
        <v>109</v>
      </c>
      <c r="H737" s="1" t="s">
        <v>107</v>
      </c>
      <c r="I737" s="1" t="s">
        <v>107</v>
      </c>
      <c r="J737" s="36" t="s">
        <v>107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9">
        <v>46018</v>
      </c>
      <c r="B738" s="1">
        <v>2025</v>
      </c>
      <c r="C738" s="1">
        <v>12</v>
      </c>
      <c r="D738" s="64" t="s">
        <v>22</v>
      </c>
      <c r="E738" s="6">
        <v>252861</v>
      </c>
      <c r="F738" s="6">
        <v>166254</v>
      </c>
      <c r="G738" s="28">
        <v>318398030549</v>
      </c>
      <c r="H738" s="1">
        <v>23</v>
      </c>
      <c r="I738" s="1">
        <v>55</v>
      </c>
      <c r="J738" s="1">
        <v>2.5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9">
        <v>46019</v>
      </c>
      <c r="B739" s="1">
        <v>2025</v>
      </c>
      <c r="C739" s="1">
        <v>12</v>
      </c>
      <c r="D739" s="64" t="s">
        <v>7</v>
      </c>
      <c r="E739" s="6">
        <v>252149</v>
      </c>
      <c r="F739" s="6">
        <v>155574</v>
      </c>
      <c r="G739" s="28">
        <v>318924630584</v>
      </c>
      <c r="H739" s="1">
        <v>22</v>
      </c>
      <c r="I739" s="1">
        <v>48</v>
      </c>
      <c r="J739" s="1">
        <v>4.5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9">
        <v>46020</v>
      </c>
      <c r="B740" s="1">
        <v>2025</v>
      </c>
      <c r="C740" s="1">
        <v>12</v>
      </c>
      <c r="D740" s="64" t="s">
        <v>9</v>
      </c>
      <c r="E740" s="6">
        <v>227683</v>
      </c>
      <c r="F740" s="6">
        <v>143117</v>
      </c>
      <c r="G740" s="28">
        <v>290762636078</v>
      </c>
      <c r="H740" s="1">
        <v>25</v>
      </c>
      <c r="I740" s="1">
        <v>55</v>
      </c>
      <c r="J740" s="1">
        <v>2.2000000000000002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9">
        <v>46021</v>
      </c>
      <c r="B741" s="1">
        <v>2025</v>
      </c>
      <c r="C741" s="1">
        <v>12</v>
      </c>
      <c r="D741" s="64" t="s">
        <v>8</v>
      </c>
      <c r="E741" s="6">
        <v>181312</v>
      </c>
      <c r="F741" s="6">
        <v>113187</v>
      </c>
      <c r="G741" s="28">
        <v>232519057245</v>
      </c>
      <c r="H741" s="1">
        <v>23</v>
      </c>
      <c r="I741" s="1">
        <v>43</v>
      </c>
      <c r="J741" s="1">
        <v>2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9">
        <v>46022</v>
      </c>
      <c r="B742" s="1">
        <v>2025</v>
      </c>
      <c r="C742" s="1">
        <v>12</v>
      </c>
      <c r="D742" s="64" t="s">
        <v>10</v>
      </c>
      <c r="E742" s="6">
        <v>151793</v>
      </c>
      <c r="F742" s="6">
        <v>100150</v>
      </c>
      <c r="G742" s="28">
        <v>195417821722</v>
      </c>
      <c r="H742" s="1">
        <v>22</v>
      </c>
      <c r="I742" s="1">
        <v>47</v>
      </c>
      <c r="J742" s="1">
        <v>2.2999999999999998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9">
        <v>46022</v>
      </c>
      <c r="B743" s="1">
        <v>2025</v>
      </c>
      <c r="C743" s="1">
        <v>12</v>
      </c>
      <c r="D743" s="64" t="s">
        <v>79</v>
      </c>
      <c r="E743" s="6">
        <v>87204</v>
      </c>
      <c r="F743" s="6">
        <v>56213</v>
      </c>
      <c r="G743" s="28">
        <v>110490863862</v>
      </c>
      <c r="H743" s="1">
        <v>27</v>
      </c>
      <c r="I743" s="1">
        <v>62</v>
      </c>
      <c r="J743" s="1">
        <v>2.5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9">
        <v>46022</v>
      </c>
      <c r="B744" s="1">
        <v>2025</v>
      </c>
      <c r="C744" s="1">
        <v>12</v>
      </c>
      <c r="D744" s="64" t="s">
        <v>91</v>
      </c>
      <c r="E744" s="6">
        <v>66352</v>
      </c>
      <c r="F744" s="6">
        <v>42871</v>
      </c>
      <c r="G744" s="28">
        <v>84943846893</v>
      </c>
      <c r="H744" s="1">
        <v>22</v>
      </c>
      <c r="I744" s="1">
        <v>49</v>
      </c>
      <c r="J744" s="1">
        <v>2.2000000000000002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9">
        <v>46022</v>
      </c>
      <c r="B745" s="1">
        <v>2025</v>
      </c>
      <c r="C745" s="1">
        <v>12</v>
      </c>
      <c r="D745" s="64" t="s">
        <v>12</v>
      </c>
      <c r="E745" s="6">
        <v>50287</v>
      </c>
      <c r="F745" s="6">
        <v>32464</v>
      </c>
      <c r="G745" s="28">
        <v>67163625708</v>
      </c>
      <c r="H745" s="1">
        <v>21</v>
      </c>
      <c r="I745" s="1">
        <v>42</v>
      </c>
      <c r="J745" s="1">
        <v>2.1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9">
        <v>46022</v>
      </c>
      <c r="B746" s="1">
        <v>2025</v>
      </c>
      <c r="C746" s="1">
        <v>12</v>
      </c>
      <c r="D746" s="64" t="s">
        <v>84</v>
      </c>
      <c r="E746" s="6">
        <v>48110</v>
      </c>
      <c r="F746" s="6">
        <v>32127</v>
      </c>
      <c r="G746" s="28">
        <v>65590563958</v>
      </c>
      <c r="H746" s="1">
        <v>20</v>
      </c>
      <c r="I746" s="1">
        <v>37</v>
      </c>
      <c r="J746" s="1">
        <v>1.9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9">
        <v>46022</v>
      </c>
      <c r="B747" s="1">
        <v>2025</v>
      </c>
      <c r="C747" s="1">
        <v>12</v>
      </c>
      <c r="D747" s="64" t="s">
        <v>11</v>
      </c>
      <c r="E747" s="6">
        <v>31927</v>
      </c>
      <c r="F747" s="6">
        <v>20704</v>
      </c>
      <c r="G747" s="28">
        <v>41520344556</v>
      </c>
      <c r="H747" s="1">
        <v>21</v>
      </c>
      <c r="I747" s="1">
        <v>41</v>
      </c>
      <c r="J747" s="1">
        <v>2.1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9">
        <v>46022</v>
      </c>
      <c r="B748" s="1">
        <v>2025</v>
      </c>
      <c r="C748" s="1">
        <v>12</v>
      </c>
      <c r="D748" s="64" t="s">
        <v>23</v>
      </c>
      <c r="E748" s="6">
        <v>25904</v>
      </c>
      <c r="F748" s="6">
        <v>17401</v>
      </c>
      <c r="G748" s="28">
        <v>33891917563</v>
      </c>
      <c r="H748" s="1">
        <v>25</v>
      </c>
      <c r="I748" s="1">
        <v>54</v>
      </c>
      <c r="J748" s="1">
        <v>2.2000000000000002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9">
        <v>46022</v>
      </c>
      <c r="B749" s="1">
        <v>2025</v>
      </c>
      <c r="C749" s="1">
        <v>12</v>
      </c>
      <c r="D749" s="64" t="s">
        <v>88</v>
      </c>
      <c r="E749" s="6">
        <v>20990</v>
      </c>
      <c r="F749" s="6">
        <v>14944</v>
      </c>
      <c r="G749" s="28">
        <v>28189352252</v>
      </c>
      <c r="H749" s="1">
        <v>20</v>
      </c>
      <c r="I749" s="1">
        <v>33</v>
      </c>
      <c r="J749" s="1">
        <v>1.9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9">
        <v>46022</v>
      </c>
      <c r="B750" s="1">
        <v>2025</v>
      </c>
      <c r="C750" s="1">
        <v>12</v>
      </c>
      <c r="D750" s="64" t="s">
        <v>20</v>
      </c>
      <c r="E750" s="6">
        <v>19277</v>
      </c>
      <c r="F750" s="6">
        <v>13599</v>
      </c>
      <c r="G750" s="28">
        <v>25300209121</v>
      </c>
      <c r="H750" s="1">
        <v>21</v>
      </c>
      <c r="I750" s="1">
        <v>45</v>
      </c>
      <c r="J750" s="1">
        <v>2.1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9">
        <v>46022</v>
      </c>
      <c r="B751" s="1">
        <v>2025</v>
      </c>
      <c r="C751" s="1">
        <v>12</v>
      </c>
      <c r="D751" s="64" t="s">
        <v>101</v>
      </c>
      <c r="E751" s="6">
        <v>17294</v>
      </c>
      <c r="F751" s="6">
        <v>11674</v>
      </c>
      <c r="G751" s="28">
        <v>22622696127</v>
      </c>
      <c r="H751" s="1">
        <v>19</v>
      </c>
      <c r="I751" s="1">
        <v>44</v>
      </c>
      <c r="J751" s="1">
        <v>2.2999999999999998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9">
        <v>46022</v>
      </c>
      <c r="B752" s="1">
        <v>2025</v>
      </c>
      <c r="C752" s="1">
        <v>12</v>
      </c>
      <c r="D752" s="64" t="s">
        <v>19</v>
      </c>
      <c r="E752" s="6">
        <v>16650</v>
      </c>
      <c r="F752" s="6">
        <v>11563</v>
      </c>
      <c r="G752" s="28">
        <v>21328679496</v>
      </c>
      <c r="H752" s="1">
        <v>21</v>
      </c>
      <c r="I752" s="1">
        <v>43</v>
      </c>
      <c r="J752" s="1">
        <v>2.1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>
      <c r="A753" s="9">
        <v>46022</v>
      </c>
      <c r="B753" s="1">
        <v>2025</v>
      </c>
      <c r="C753" s="1">
        <v>12</v>
      </c>
      <c r="D753" s="64" t="s">
        <v>32</v>
      </c>
      <c r="E753" s="6">
        <v>15724</v>
      </c>
      <c r="F753" s="6">
        <v>10522</v>
      </c>
      <c r="G753" s="28">
        <v>20721957269</v>
      </c>
      <c r="H753" s="1">
        <v>23</v>
      </c>
      <c r="I753" s="1">
        <v>43</v>
      </c>
      <c r="J753" s="1">
        <v>2.1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>
      <c r="A754" s="9">
        <v>46022</v>
      </c>
      <c r="B754" s="1">
        <v>2025</v>
      </c>
      <c r="C754" s="1">
        <v>12</v>
      </c>
      <c r="D754" s="64" t="s">
        <v>15</v>
      </c>
      <c r="E754" s="6">
        <v>12861</v>
      </c>
      <c r="F754" s="6">
        <v>8184</v>
      </c>
      <c r="G754" s="28">
        <v>16726387404</v>
      </c>
      <c r="H754" s="1">
        <v>20</v>
      </c>
      <c r="I754" s="1">
        <v>40</v>
      </c>
      <c r="J754" s="1">
        <v>2.2000000000000002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>
      <c r="A755" s="9">
        <v>46022</v>
      </c>
      <c r="B755" s="1">
        <v>2025</v>
      </c>
      <c r="C755" s="1">
        <v>12</v>
      </c>
      <c r="D755" s="64" t="s">
        <v>24</v>
      </c>
      <c r="E755" s="6">
        <v>12270</v>
      </c>
      <c r="F755" s="6">
        <v>8080</v>
      </c>
      <c r="G755" s="28">
        <v>15851891087</v>
      </c>
      <c r="H755" s="1">
        <v>22</v>
      </c>
      <c r="I755" s="1">
        <v>18</v>
      </c>
      <c r="J755" s="1">
        <v>1.2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9">
        <v>46022</v>
      </c>
      <c r="B756" s="1">
        <v>2025</v>
      </c>
      <c r="C756" s="1">
        <v>12</v>
      </c>
      <c r="D756" s="64" t="s">
        <v>25</v>
      </c>
      <c r="E756" s="6">
        <v>10275</v>
      </c>
      <c r="F756" s="6">
        <v>6938</v>
      </c>
      <c r="G756" s="28">
        <v>13585983602</v>
      </c>
      <c r="H756" s="1">
        <v>29</v>
      </c>
      <c r="I756" s="1">
        <v>58</v>
      </c>
      <c r="J756" s="1">
        <v>2.4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9">
        <v>46022</v>
      </c>
      <c r="B757" s="1">
        <v>2025</v>
      </c>
      <c r="C757" s="1">
        <v>12</v>
      </c>
      <c r="D757" s="64" t="s">
        <v>26</v>
      </c>
      <c r="E757" s="6">
        <v>6791</v>
      </c>
      <c r="F757" s="6">
        <v>4614</v>
      </c>
      <c r="G757" s="28">
        <v>8935361815</v>
      </c>
      <c r="H757" s="1">
        <v>20</v>
      </c>
      <c r="I757" s="1">
        <v>45</v>
      </c>
      <c r="J757" s="1">
        <v>2.4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9">
        <v>46022</v>
      </c>
      <c r="B758" s="1">
        <v>2025</v>
      </c>
      <c r="C758" s="1">
        <v>12</v>
      </c>
      <c r="D758" s="64" t="s">
        <v>28</v>
      </c>
      <c r="E758" s="6">
        <v>4042</v>
      </c>
      <c r="F758" s="6">
        <v>3210</v>
      </c>
      <c r="G758" s="28">
        <v>5237612965</v>
      </c>
      <c r="H758" s="1">
        <v>21</v>
      </c>
      <c r="I758" s="1">
        <v>18</v>
      </c>
      <c r="J758" s="1">
        <v>1.3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9">
        <v>46022</v>
      </c>
      <c r="B759" s="1">
        <v>2025</v>
      </c>
      <c r="C759" s="1">
        <v>12</v>
      </c>
      <c r="D759" s="64" t="s">
        <v>93</v>
      </c>
      <c r="E759" s="6">
        <v>3530</v>
      </c>
      <c r="F759" s="6">
        <v>2796</v>
      </c>
      <c r="G759" s="28">
        <v>4564244573</v>
      </c>
      <c r="H759" s="1">
        <v>18</v>
      </c>
      <c r="I759" s="1">
        <v>18</v>
      </c>
      <c r="J759" s="1">
        <v>1.2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9">
        <v>46022</v>
      </c>
      <c r="B760" s="1">
        <v>2025</v>
      </c>
      <c r="C760" s="1">
        <v>12</v>
      </c>
      <c r="D760" s="64" t="s">
        <v>102</v>
      </c>
      <c r="E760" s="1" t="s">
        <v>107</v>
      </c>
      <c r="F760" s="1" t="s">
        <v>107</v>
      </c>
      <c r="G760" s="28" t="s">
        <v>109</v>
      </c>
      <c r="H760" s="1" t="s">
        <v>107</v>
      </c>
      <c r="I760" s="1" t="s">
        <v>107</v>
      </c>
      <c r="J760" s="1" t="s">
        <v>107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9">
        <v>46022</v>
      </c>
      <c r="B761" s="1">
        <v>2025</v>
      </c>
      <c r="C761" s="1">
        <v>12</v>
      </c>
      <c r="D761" s="64" t="s">
        <v>104</v>
      </c>
      <c r="E761" s="1" t="s">
        <v>107</v>
      </c>
      <c r="F761" s="1" t="s">
        <v>107</v>
      </c>
      <c r="G761" s="28" t="s">
        <v>109</v>
      </c>
      <c r="H761" s="1" t="s">
        <v>107</v>
      </c>
      <c r="I761" s="1" t="s">
        <v>107</v>
      </c>
      <c r="J761" s="1" t="s">
        <v>107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9">
        <v>46022</v>
      </c>
      <c r="B762" s="1">
        <v>2025</v>
      </c>
      <c r="C762" s="1">
        <v>12</v>
      </c>
      <c r="D762" s="64" t="s">
        <v>30</v>
      </c>
      <c r="E762" s="1" t="s">
        <v>107</v>
      </c>
      <c r="F762" s="1" t="s">
        <v>107</v>
      </c>
      <c r="G762" s="28" t="s">
        <v>109</v>
      </c>
      <c r="H762" s="1" t="s">
        <v>107</v>
      </c>
      <c r="I762" s="1" t="s">
        <v>107</v>
      </c>
      <c r="J762" s="1" t="s">
        <v>107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</row>
    <row r="763" spans="1:16">
      <c r="A763" s="9">
        <v>46022</v>
      </c>
      <c r="B763" s="1">
        <v>2025</v>
      </c>
      <c r="C763" s="1">
        <v>12</v>
      </c>
      <c r="D763" s="64" t="s">
        <v>105</v>
      </c>
      <c r="E763" s="1" t="s">
        <v>107</v>
      </c>
      <c r="F763" s="1" t="s">
        <v>107</v>
      </c>
      <c r="G763" s="28" t="s">
        <v>109</v>
      </c>
      <c r="H763" s="1" t="s">
        <v>107</v>
      </c>
      <c r="I763" s="1" t="s">
        <v>107</v>
      </c>
      <c r="J763" s="1" t="s">
        <v>107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</row>
    <row r="764" spans="1:16">
      <c r="A764" s="9">
        <v>46022</v>
      </c>
      <c r="B764" s="1">
        <v>2025</v>
      </c>
      <c r="C764" s="1">
        <v>12</v>
      </c>
      <c r="D764" s="64" t="s">
        <v>106</v>
      </c>
      <c r="E764" s="1" t="s">
        <v>107</v>
      </c>
      <c r="F764" s="1" t="s">
        <v>107</v>
      </c>
      <c r="G764" s="28" t="s">
        <v>109</v>
      </c>
      <c r="H764" s="1" t="s">
        <v>107</v>
      </c>
      <c r="I764" s="1" t="s">
        <v>107</v>
      </c>
      <c r="J764" s="1" t="s">
        <v>107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>
      <c r="A765" s="68">
        <v>46023</v>
      </c>
      <c r="B765" s="69">
        <v>2026</v>
      </c>
      <c r="C765" s="69">
        <v>1</v>
      </c>
      <c r="D765" s="70" t="s">
        <v>7</v>
      </c>
      <c r="E765" s="71">
        <v>21501</v>
      </c>
      <c r="F765" s="71">
        <v>12676</v>
      </c>
      <c r="G765" s="72">
        <v>26276836436</v>
      </c>
      <c r="H765" s="73">
        <v>18</v>
      </c>
      <c r="I765" s="73">
        <v>39</v>
      </c>
      <c r="J765" s="11">
        <v>1.82</v>
      </c>
    </row>
    <row r="766" spans="1:16">
      <c r="A766" s="68">
        <v>46024</v>
      </c>
      <c r="B766" s="69">
        <v>2026</v>
      </c>
      <c r="C766" s="69">
        <v>1</v>
      </c>
      <c r="D766" s="70" t="s">
        <v>8</v>
      </c>
      <c r="E766" s="71">
        <v>17186</v>
      </c>
      <c r="F766" s="71">
        <v>10542</v>
      </c>
      <c r="G766" s="72">
        <v>21323730981</v>
      </c>
      <c r="H766" s="73">
        <v>23</v>
      </c>
      <c r="I766" s="73">
        <v>35</v>
      </c>
      <c r="J766" s="11">
        <v>1.85</v>
      </c>
    </row>
    <row r="767" spans="1:16">
      <c r="A767" s="68">
        <v>46025</v>
      </c>
      <c r="B767" s="69">
        <v>2026</v>
      </c>
      <c r="C767" s="69">
        <v>1</v>
      </c>
      <c r="D767" s="70" t="s">
        <v>22</v>
      </c>
      <c r="E767" s="71">
        <v>16993</v>
      </c>
      <c r="F767" s="71">
        <v>10768</v>
      </c>
      <c r="G767" s="72">
        <v>21580551336</v>
      </c>
      <c r="H767" s="73">
        <v>19</v>
      </c>
      <c r="I767" s="73">
        <v>47</v>
      </c>
      <c r="J767" s="11">
        <v>2.59</v>
      </c>
    </row>
    <row r="768" spans="1:16">
      <c r="A768" s="68">
        <v>46026</v>
      </c>
      <c r="B768" s="69">
        <v>2026</v>
      </c>
      <c r="C768" s="69">
        <v>1</v>
      </c>
      <c r="D768" s="70" t="s">
        <v>9</v>
      </c>
      <c r="E768" s="71">
        <v>16404</v>
      </c>
      <c r="F768" s="71">
        <v>10400</v>
      </c>
      <c r="G768" s="72">
        <v>21099007585</v>
      </c>
      <c r="H768" s="73">
        <v>22</v>
      </c>
      <c r="I768" s="73">
        <v>40</v>
      </c>
      <c r="J768" s="11">
        <v>1.99</v>
      </c>
    </row>
    <row r="769" spans="1:10">
      <c r="A769" s="68">
        <v>46027</v>
      </c>
      <c r="B769" s="69">
        <v>2026</v>
      </c>
      <c r="C769" s="69">
        <v>1</v>
      </c>
      <c r="D769" s="70" t="s">
        <v>10</v>
      </c>
      <c r="E769" s="71">
        <v>10541</v>
      </c>
      <c r="F769" s="71">
        <v>6769</v>
      </c>
      <c r="G769" s="72">
        <v>13476644510</v>
      </c>
      <c r="H769" s="73">
        <v>24</v>
      </c>
      <c r="I769" s="73">
        <v>38</v>
      </c>
      <c r="J769" s="11">
        <v>1.77</v>
      </c>
    </row>
    <row r="770" spans="1:10">
      <c r="A770" s="68">
        <v>46028</v>
      </c>
      <c r="B770" s="69">
        <v>2026</v>
      </c>
      <c r="C770" s="69">
        <v>1</v>
      </c>
      <c r="D770" s="74" t="s">
        <v>91</v>
      </c>
      <c r="E770" s="71">
        <v>4841</v>
      </c>
      <c r="F770" s="71">
        <v>3070</v>
      </c>
      <c r="G770" s="72">
        <v>6399745344</v>
      </c>
      <c r="H770" s="73">
        <v>21</v>
      </c>
      <c r="I770" s="73">
        <v>40</v>
      </c>
      <c r="J770" s="11">
        <v>1.96</v>
      </c>
    </row>
    <row r="771" spans="1:10">
      <c r="A771" s="68">
        <v>46029</v>
      </c>
      <c r="B771" s="69">
        <v>2026</v>
      </c>
      <c r="C771" s="69">
        <v>1</v>
      </c>
      <c r="D771" s="75" t="s">
        <v>23</v>
      </c>
      <c r="E771" s="71">
        <v>4760</v>
      </c>
      <c r="F771" s="71">
        <v>3055</v>
      </c>
      <c r="G771" s="72">
        <v>5910536314</v>
      </c>
      <c r="H771" s="73">
        <v>21</v>
      </c>
      <c r="I771" s="73">
        <v>32</v>
      </c>
      <c r="J771" s="11">
        <v>1.63</v>
      </c>
    </row>
    <row r="772" spans="1:10">
      <c r="A772" s="68">
        <v>46030</v>
      </c>
      <c r="B772" s="69">
        <v>2026</v>
      </c>
      <c r="C772" s="69">
        <v>1</v>
      </c>
      <c r="D772" s="70" t="s">
        <v>79</v>
      </c>
      <c r="E772" s="71">
        <v>4470</v>
      </c>
      <c r="F772" s="71">
        <v>2727</v>
      </c>
      <c r="G772" s="72">
        <v>5334462095</v>
      </c>
      <c r="H772" s="73">
        <v>29</v>
      </c>
      <c r="I772" s="73">
        <v>49</v>
      </c>
      <c r="J772" s="11">
        <v>1.47</v>
      </c>
    </row>
    <row r="773" spans="1:10">
      <c r="A773" s="68">
        <v>46031</v>
      </c>
      <c r="B773" s="69">
        <v>2026</v>
      </c>
      <c r="C773" s="69">
        <v>1</v>
      </c>
      <c r="D773" s="70" t="s">
        <v>84</v>
      </c>
      <c r="E773" s="71">
        <v>1920</v>
      </c>
      <c r="F773" s="71">
        <v>1196</v>
      </c>
      <c r="G773" s="72">
        <v>2622643159</v>
      </c>
      <c r="H773" s="73">
        <v>14</v>
      </c>
      <c r="I773" s="73">
        <v>28</v>
      </c>
      <c r="J773" s="11">
        <v>1.95</v>
      </c>
    </row>
    <row r="774" spans="1:10">
      <c r="A774" s="68">
        <v>46032</v>
      </c>
      <c r="B774" s="69">
        <v>2026</v>
      </c>
      <c r="C774" s="69">
        <v>1</v>
      </c>
      <c r="D774" s="74" t="s">
        <v>88</v>
      </c>
      <c r="E774" s="71">
        <v>1726</v>
      </c>
      <c r="F774" s="71">
        <v>1195</v>
      </c>
      <c r="G774" s="72">
        <v>2276685679</v>
      </c>
      <c r="H774" s="73">
        <v>14</v>
      </c>
      <c r="I774" s="73">
        <v>23</v>
      </c>
      <c r="J774" s="11">
        <v>1.78</v>
      </c>
    </row>
    <row r="775" spans="1:10">
      <c r="A775" s="68">
        <v>46033</v>
      </c>
      <c r="B775" s="69">
        <v>2026</v>
      </c>
      <c r="C775" s="69">
        <v>1</v>
      </c>
      <c r="D775" s="75" t="s">
        <v>32</v>
      </c>
      <c r="E775" s="71">
        <v>1597</v>
      </c>
      <c r="F775" s="71">
        <v>1013</v>
      </c>
      <c r="G775" s="72">
        <v>2001937101</v>
      </c>
      <c r="H775" s="73">
        <v>14</v>
      </c>
      <c r="I775" s="73">
        <v>32</v>
      </c>
      <c r="J775" s="11">
        <v>2.37</v>
      </c>
    </row>
    <row r="776" spans="1:10">
      <c r="A776" s="68">
        <v>46034</v>
      </c>
      <c r="B776" s="69">
        <v>2026</v>
      </c>
      <c r="C776" s="69">
        <v>1</v>
      </c>
      <c r="D776" s="70" t="s">
        <v>12</v>
      </c>
      <c r="E776" s="71">
        <v>1544</v>
      </c>
      <c r="F776" s="73">
        <v>965</v>
      </c>
      <c r="G776" s="72">
        <v>2041758955</v>
      </c>
      <c r="H776" s="73">
        <v>20</v>
      </c>
      <c r="I776" s="73">
        <v>29</v>
      </c>
      <c r="J776" s="11">
        <v>1.65</v>
      </c>
    </row>
    <row r="777" spans="1:10">
      <c r="A777" s="68">
        <v>46035</v>
      </c>
      <c r="B777" s="69">
        <v>2026</v>
      </c>
      <c r="C777" s="69">
        <v>1</v>
      </c>
      <c r="D777" s="70" t="s">
        <v>15</v>
      </c>
      <c r="E777" s="71">
        <v>1418</v>
      </c>
      <c r="F777" s="73">
        <v>957</v>
      </c>
      <c r="G777" s="72">
        <v>1807058864</v>
      </c>
      <c r="H777" s="73">
        <v>19</v>
      </c>
      <c r="I777" s="73">
        <v>31</v>
      </c>
      <c r="J777" s="11">
        <v>1.65</v>
      </c>
    </row>
    <row r="778" spans="1:10">
      <c r="A778" s="68">
        <v>46036</v>
      </c>
      <c r="B778" s="69">
        <v>2026</v>
      </c>
      <c r="C778" s="69">
        <v>1</v>
      </c>
      <c r="D778" s="74" t="s">
        <v>24</v>
      </c>
      <c r="E778" s="71">
        <v>1329</v>
      </c>
      <c r="F778" s="73">
        <v>834</v>
      </c>
      <c r="G778" s="72">
        <v>1612482603</v>
      </c>
      <c r="H778" s="73">
        <v>21</v>
      </c>
      <c r="I778" s="73">
        <v>20</v>
      </c>
      <c r="J778" s="11">
        <v>1.19</v>
      </c>
    </row>
    <row r="779" spans="1:10">
      <c r="A779" s="68">
        <v>46037</v>
      </c>
      <c r="B779" s="69">
        <v>2026</v>
      </c>
      <c r="C779" s="69">
        <v>1</v>
      </c>
      <c r="D779" s="74" t="s">
        <v>19</v>
      </c>
      <c r="E779" s="71">
        <v>1328</v>
      </c>
      <c r="F779" s="73">
        <v>925</v>
      </c>
      <c r="G779" s="72">
        <v>1690462129</v>
      </c>
      <c r="H779" s="73">
        <v>25</v>
      </c>
      <c r="I779" s="73">
        <v>53</v>
      </c>
      <c r="J779" s="11">
        <v>2.27</v>
      </c>
    </row>
    <row r="780" spans="1:10">
      <c r="A780" s="68">
        <v>46038</v>
      </c>
      <c r="B780" s="69">
        <v>2026</v>
      </c>
      <c r="C780" s="69">
        <v>1</v>
      </c>
      <c r="D780" s="74" t="s">
        <v>20</v>
      </c>
      <c r="E780" s="71">
        <v>1327</v>
      </c>
      <c r="F780" s="73">
        <v>883</v>
      </c>
      <c r="G780" s="72">
        <v>1671190642</v>
      </c>
      <c r="H780" s="73">
        <v>31</v>
      </c>
      <c r="I780" s="73">
        <v>50</v>
      </c>
      <c r="J780" s="11">
        <v>1.68</v>
      </c>
    </row>
    <row r="781" spans="1:10">
      <c r="A781" s="68">
        <v>46039</v>
      </c>
      <c r="B781" s="69">
        <v>2026</v>
      </c>
      <c r="C781" s="69">
        <v>1</v>
      </c>
      <c r="D781" s="75" t="s">
        <v>11</v>
      </c>
      <c r="E781" s="73">
        <v>900</v>
      </c>
      <c r="F781" s="73">
        <v>544</v>
      </c>
      <c r="G781" s="72">
        <v>1185026863</v>
      </c>
      <c r="H781" s="73">
        <v>15</v>
      </c>
      <c r="I781" s="73">
        <v>33</v>
      </c>
      <c r="J781" s="11">
        <v>2.46</v>
      </c>
    </row>
    <row r="782" spans="1:10">
      <c r="A782" s="68">
        <v>46040</v>
      </c>
      <c r="B782" s="69">
        <v>2026</v>
      </c>
      <c r="C782" s="69">
        <v>1</v>
      </c>
      <c r="D782" s="75" t="s">
        <v>26</v>
      </c>
      <c r="E782" s="73">
        <v>878</v>
      </c>
      <c r="F782" s="73">
        <v>618</v>
      </c>
      <c r="G782" s="72">
        <v>1102248690</v>
      </c>
      <c r="H782" s="73">
        <v>22</v>
      </c>
      <c r="I782" s="73">
        <v>23</v>
      </c>
      <c r="J782" s="11">
        <v>1.17</v>
      </c>
    </row>
    <row r="783" spans="1:10">
      <c r="A783" s="68">
        <v>46041</v>
      </c>
      <c r="B783" s="69">
        <v>2026</v>
      </c>
      <c r="C783" s="69">
        <v>1</v>
      </c>
      <c r="D783" s="75" t="s">
        <v>28</v>
      </c>
      <c r="E783" s="73">
        <v>290</v>
      </c>
      <c r="F783" s="73">
        <v>229</v>
      </c>
      <c r="G783" s="72">
        <v>344491331</v>
      </c>
      <c r="H783" s="73">
        <v>19</v>
      </c>
      <c r="I783" s="73">
        <v>23</v>
      </c>
      <c r="J783" s="11">
        <v>1.58</v>
      </c>
    </row>
    <row r="784" spans="1:10">
      <c r="A784" s="68">
        <v>46042</v>
      </c>
      <c r="B784" s="69">
        <v>2026</v>
      </c>
      <c r="C784" s="69">
        <v>1</v>
      </c>
      <c r="D784" s="75" t="s">
        <v>93</v>
      </c>
      <c r="E784" s="73">
        <v>237</v>
      </c>
      <c r="F784" s="73">
        <v>197</v>
      </c>
      <c r="G784" s="72">
        <v>279462236</v>
      </c>
      <c r="H784" s="73">
        <v>22</v>
      </c>
      <c r="I784" s="73">
        <v>18</v>
      </c>
      <c r="J784" s="11">
        <v>1.1599999999999999</v>
      </c>
    </row>
    <row r="785" spans="1:10">
      <c r="A785" s="68">
        <v>46043</v>
      </c>
      <c r="B785" s="69">
        <v>2026</v>
      </c>
      <c r="C785" s="69">
        <v>1</v>
      </c>
      <c r="D785" s="75" t="s">
        <v>101</v>
      </c>
      <c r="E785" s="73" t="s">
        <v>107</v>
      </c>
      <c r="F785" s="73" t="s">
        <v>107</v>
      </c>
      <c r="G785" s="72" t="s">
        <v>108</v>
      </c>
      <c r="H785" s="73" t="s">
        <v>107</v>
      </c>
      <c r="I785" s="73" t="s">
        <v>107</v>
      </c>
      <c r="J785" s="73" t="s">
        <v>107</v>
      </c>
    </row>
    <row r="786" spans="1:10">
      <c r="A786" s="68">
        <v>46044</v>
      </c>
      <c r="B786" s="69">
        <v>2026</v>
      </c>
      <c r="C786" s="69">
        <v>1</v>
      </c>
      <c r="D786" s="75" t="s">
        <v>25</v>
      </c>
      <c r="E786" s="73" t="s">
        <v>107</v>
      </c>
      <c r="F786" s="73" t="s">
        <v>107</v>
      </c>
      <c r="G786" s="72" t="s">
        <v>108</v>
      </c>
      <c r="H786" s="73" t="s">
        <v>107</v>
      </c>
      <c r="I786" s="73" t="s">
        <v>107</v>
      </c>
      <c r="J786" s="73" t="s">
        <v>107</v>
      </c>
    </row>
    <row r="787" spans="1:10">
      <c r="A787" s="68">
        <v>46045</v>
      </c>
      <c r="B787" s="69">
        <v>2026</v>
      </c>
      <c r="C787" s="69">
        <v>1</v>
      </c>
      <c r="D787" s="70" t="s">
        <v>102</v>
      </c>
      <c r="E787" s="73" t="s">
        <v>107</v>
      </c>
      <c r="F787" s="73" t="s">
        <v>107</v>
      </c>
      <c r="G787" s="72" t="s">
        <v>108</v>
      </c>
      <c r="H787" s="73" t="s">
        <v>107</v>
      </c>
      <c r="I787" s="73" t="s">
        <v>107</v>
      </c>
      <c r="J787" s="73" t="s">
        <v>107</v>
      </c>
    </row>
    <row r="788" spans="1:10">
      <c r="A788" s="68">
        <v>46046</v>
      </c>
      <c r="B788" s="69">
        <v>2026</v>
      </c>
      <c r="C788" s="69">
        <v>1</v>
      </c>
      <c r="D788" s="75" t="s">
        <v>104</v>
      </c>
      <c r="E788" s="73" t="s">
        <v>107</v>
      </c>
      <c r="F788" s="73" t="s">
        <v>107</v>
      </c>
      <c r="G788" s="72" t="s">
        <v>108</v>
      </c>
      <c r="H788" s="73" t="s">
        <v>107</v>
      </c>
      <c r="I788" s="73" t="s">
        <v>107</v>
      </c>
      <c r="J788" s="73" t="s">
        <v>107</v>
      </c>
    </row>
    <row r="789" spans="1:10">
      <c r="A789" s="68">
        <v>46047</v>
      </c>
      <c r="B789" s="69">
        <v>2026</v>
      </c>
      <c r="C789" s="69">
        <v>1</v>
      </c>
      <c r="D789" s="70" t="s">
        <v>30</v>
      </c>
      <c r="E789" s="73" t="s">
        <v>107</v>
      </c>
      <c r="F789" s="73" t="s">
        <v>107</v>
      </c>
      <c r="G789" s="72" t="s">
        <v>108</v>
      </c>
      <c r="H789" s="73" t="s">
        <v>107</v>
      </c>
      <c r="I789" s="73" t="s">
        <v>107</v>
      </c>
      <c r="J789" s="73" t="s">
        <v>107</v>
      </c>
    </row>
    <row r="790" spans="1:10">
      <c r="A790" s="68">
        <v>46048</v>
      </c>
      <c r="B790" s="69">
        <v>2026</v>
      </c>
      <c r="C790" s="69">
        <v>1</v>
      </c>
      <c r="D790" s="70" t="s">
        <v>105</v>
      </c>
      <c r="E790" s="73" t="s">
        <v>107</v>
      </c>
      <c r="F790" s="73" t="s">
        <v>107</v>
      </c>
      <c r="G790" s="72" t="s">
        <v>108</v>
      </c>
      <c r="H790" s="73" t="s">
        <v>107</v>
      </c>
      <c r="I790" s="73" t="s">
        <v>107</v>
      </c>
      <c r="J790" s="73" t="s">
        <v>107</v>
      </c>
    </row>
    <row r="791" spans="1:10">
      <c r="A791" s="68">
        <v>46049</v>
      </c>
      <c r="B791" s="69">
        <v>2026</v>
      </c>
      <c r="C791" s="69">
        <v>1</v>
      </c>
      <c r="D791" s="75" t="s">
        <v>106</v>
      </c>
      <c r="E791" s="73" t="s">
        <v>107</v>
      </c>
      <c r="F791" s="73" t="s">
        <v>107</v>
      </c>
      <c r="G791" s="72" t="s">
        <v>108</v>
      </c>
      <c r="H791" s="73" t="s">
        <v>107</v>
      </c>
      <c r="I791" s="73" t="s">
        <v>107</v>
      </c>
      <c r="J791" s="73" t="s">
        <v>107</v>
      </c>
    </row>
    <row r="792" spans="1:10">
      <c r="G792" s="76"/>
    </row>
    <row r="793" spans="1:10">
      <c r="G793" s="76"/>
    </row>
    <row r="794" spans="1:10">
      <c r="G794" s="76"/>
    </row>
    <row r="795" spans="1:10">
      <c r="G795" s="76"/>
    </row>
    <row r="796" spans="1:10">
      <c r="G796" s="76"/>
    </row>
    <row r="797" spans="1:10">
      <c r="G797" s="76"/>
    </row>
    <row r="798" spans="1:10">
      <c r="G798" s="76"/>
    </row>
    <row r="799" spans="1:10">
      <c r="G799" s="76"/>
    </row>
    <row r="800" spans="1:10">
      <c r="G800" s="76"/>
    </row>
    <row r="801" spans="7:7">
      <c r="G801" s="76"/>
    </row>
    <row r="802" spans="7:7">
      <c r="G802" s="76"/>
    </row>
    <row r="803" spans="7:7">
      <c r="G803" s="76"/>
    </row>
    <row r="804" spans="7:7">
      <c r="G804" s="76"/>
    </row>
    <row r="805" spans="7:7">
      <c r="G805" s="76"/>
    </row>
    <row r="806" spans="7:7">
      <c r="G806" s="76"/>
    </row>
    <row r="807" spans="7:7">
      <c r="G807" s="76"/>
    </row>
    <row r="808" spans="7:7">
      <c r="G808" s="76"/>
    </row>
    <row r="809" spans="7:7">
      <c r="G809" s="76"/>
    </row>
    <row r="810" spans="7:7">
      <c r="G810" s="76"/>
    </row>
    <row r="811" spans="7:7">
      <c r="G811" s="76"/>
    </row>
    <row r="812" spans="7:7">
      <c r="G812" s="76"/>
    </row>
    <row r="813" spans="7:7">
      <c r="G813" s="76"/>
    </row>
    <row r="814" spans="7:7">
      <c r="G814" s="76"/>
    </row>
    <row r="815" spans="7:7">
      <c r="G815" s="76"/>
    </row>
    <row r="816" spans="7:7">
      <c r="G816" s="76"/>
    </row>
    <row r="817" spans="7:7">
      <c r="G817" s="76"/>
    </row>
    <row r="818" spans="7:7">
      <c r="G818" s="76"/>
    </row>
    <row r="819" spans="7:7">
      <c r="G819" s="76"/>
    </row>
    <row r="820" spans="7:7">
      <c r="G820" s="76"/>
    </row>
    <row r="821" spans="7:7">
      <c r="G821" s="76"/>
    </row>
    <row r="822" spans="7:7">
      <c r="G822" s="76"/>
    </row>
    <row r="823" spans="7:7">
      <c r="G823" s="76"/>
    </row>
    <row r="824" spans="7:7">
      <c r="G824" s="76"/>
    </row>
    <row r="825" spans="7:7">
      <c r="G825" s="76"/>
    </row>
    <row r="826" spans="7:7">
      <c r="G826" s="76"/>
    </row>
    <row r="827" spans="7:7">
      <c r="G827" s="76"/>
    </row>
    <row r="828" spans="7:7">
      <c r="G828" s="76"/>
    </row>
    <row r="829" spans="7:7">
      <c r="G829" s="76"/>
    </row>
    <row r="830" spans="7:7">
      <c r="G830" s="76"/>
    </row>
    <row r="831" spans="7:7">
      <c r="G831" s="76"/>
    </row>
    <row r="832" spans="7:7">
      <c r="G832" s="76"/>
    </row>
    <row r="833" spans="7:7">
      <c r="G833" s="76"/>
    </row>
    <row r="834" spans="7:7">
      <c r="G834" s="76"/>
    </row>
    <row r="835" spans="7:7">
      <c r="G835" s="76"/>
    </row>
    <row r="836" spans="7:7">
      <c r="G836" s="76"/>
    </row>
    <row r="837" spans="7:7">
      <c r="G837" s="76"/>
    </row>
    <row r="838" spans="7:7">
      <c r="G838" s="76"/>
    </row>
    <row r="839" spans="7:7">
      <c r="G839" s="76"/>
    </row>
    <row r="840" spans="7:7">
      <c r="G840" s="76"/>
    </row>
    <row r="841" spans="7:7">
      <c r="G841" s="76"/>
    </row>
    <row r="842" spans="7:7">
      <c r="G842" s="76"/>
    </row>
    <row r="843" spans="7:7">
      <c r="G843" s="76"/>
    </row>
    <row r="844" spans="7:7">
      <c r="G844" s="76"/>
    </row>
    <row r="845" spans="7:7">
      <c r="G845" s="76"/>
    </row>
    <row r="846" spans="7:7">
      <c r="G846" s="76"/>
    </row>
    <row r="847" spans="7:7">
      <c r="G847" s="76"/>
    </row>
    <row r="848" spans="7:7">
      <c r="G848" s="76"/>
    </row>
    <row r="849" spans="7:7">
      <c r="G849" s="76"/>
    </row>
    <row r="850" spans="7:7">
      <c r="G850" s="76"/>
    </row>
    <row r="851" spans="7:7">
      <c r="G851" s="76"/>
    </row>
    <row r="852" spans="7:7">
      <c r="G852" s="76"/>
    </row>
    <row r="853" spans="7:7">
      <c r="G853" s="76"/>
    </row>
    <row r="854" spans="7:7">
      <c r="G854" s="76"/>
    </row>
    <row r="855" spans="7:7">
      <c r="G855" s="76"/>
    </row>
    <row r="856" spans="7:7">
      <c r="G856" s="76"/>
    </row>
    <row r="857" spans="7:7">
      <c r="G857" s="76"/>
    </row>
    <row r="858" spans="7:7">
      <c r="G858" s="76"/>
    </row>
    <row r="859" spans="7:7">
      <c r="G859" s="76"/>
    </row>
    <row r="860" spans="7:7">
      <c r="G860" s="76"/>
    </row>
    <row r="861" spans="7:7">
      <c r="G861" s="76"/>
    </row>
    <row r="862" spans="7:7">
      <c r="G862" s="76"/>
    </row>
    <row r="863" spans="7:7">
      <c r="G863" s="76"/>
    </row>
    <row r="864" spans="7:7">
      <c r="G864" s="76"/>
    </row>
    <row r="865" spans="7:7">
      <c r="G865" s="76"/>
    </row>
    <row r="866" spans="7:7">
      <c r="G866" s="76"/>
    </row>
    <row r="867" spans="7:7">
      <c r="G867" s="76"/>
    </row>
    <row r="868" spans="7:7">
      <c r="G868" s="76"/>
    </row>
    <row r="869" spans="7:7">
      <c r="G869" s="76"/>
    </row>
    <row r="870" spans="7:7">
      <c r="G870" s="76"/>
    </row>
    <row r="871" spans="7:7">
      <c r="G871" s="76"/>
    </row>
    <row r="872" spans="7:7">
      <c r="G872" s="76"/>
    </row>
    <row r="873" spans="7:7">
      <c r="G873" s="76"/>
    </row>
    <row r="874" spans="7:7">
      <c r="G874" s="76"/>
    </row>
    <row r="875" spans="7:7">
      <c r="G875" s="76"/>
    </row>
    <row r="876" spans="7:7">
      <c r="G876" s="76"/>
    </row>
    <row r="877" spans="7:7">
      <c r="G877" s="76"/>
    </row>
    <row r="878" spans="7:7">
      <c r="G878" s="76"/>
    </row>
    <row r="879" spans="7:7">
      <c r="G879" s="76"/>
    </row>
    <row r="880" spans="7:7">
      <c r="G880" s="76"/>
    </row>
    <row r="881" spans="7:7">
      <c r="G881" s="76"/>
    </row>
    <row r="882" spans="7:7">
      <c r="G882" s="76"/>
    </row>
    <row r="883" spans="7:7">
      <c r="G883" s="76"/>
    </row>
    <row r="884" spans="7:7">
      <c r="G884" s="76"/>
    </row>
    <row r="885" spans="7:7">
      <c r="G885" s="76"/>
    </row>
    <row r="886" spans="7:7">
      <c r="G886" s="76"/>
    </row>
    <row r="887" spans="7:7">
      <c r="G887" s="76"/>
    </row>
    <row r="888" spans="7:7">
      <c r="G888" s="76"/>
    </row>
    <row r="889" spans="7:7">
      <c r="G889" s="76"/>
    </row>
    <row r="890" spans="7:7">
      <c r="G890" s="76"/>
    </row>
    <row r="891" spans="7:7">
      <c r="G891" s="76"/>
    </row>
    <row r="892" spans="7:7">
      <c r="G892" s="76"/>
    </row>
    <row r="893" spans="7:7">
      <c r="G893" s="76"/>
    </row>
    <row r="894" spans="7:7">
      <c r="G894" s="76"/>
    </row>
    <row r="895" spans="7:7">
      <c r="G895" s="76"/>
    </row>
    <row r="896" spans="7:7">
      <c r="G896" s="76"/>
    </row>
    <row r="897" spans="7:7">
      <c r="G897" s="76"/>
    </row>
    <row r="898" spans="7:7">
      <c r="G898" s="76"/>
    </row>
    <row r="899" spans="7:7">
      <c r="G899" s="76"/>
    </row>
    <row r="900" spans="7:7">
      <c r="G900" s="76"/>
    </row>
    <row r="901" spans="7:7">
      <c r="G901" s="76"/>
    </row>
    <row r="902" spans="7:7">
      <c r="G902" s="76"/>
    </row>
    <row r="903" spans="7:7">
      <c r="G903" s="76"/>
    </row>
    <row r="904" spans="7:7">
      <c r="G904" s="76"/>
    </row>
    <row r="905" spans="7:7">
      <c r="G905" s="76"/>
    </row>
    <row r="906" spans="7:7">
      <c r="G906" s="76"/>
    </row>
    <row r="907" spans="7:7">
      <c r="G907" s="76"/>
    </row>
    <row r="908" spans="7:7">
      <c r="G908" s="76"/>
    </row>
    <row r="909" spans="7:7">
      <c r="G909" s="76"/>
    </row>
    <row r="910" spans="7:7">
      <c r="G910" s="76"/>
    </row>
    <row r="911" spans="7:7">
      <c r="G911" s="76"/>
    </row>
    <row r="912" spans="7:7">
      <c r="G912" s="76"/>
    </row>
    <row r="913" spans="7:7">
      <c r="G913" s="76"/>
    </row>
    <row r="914" spans="7:7">
      <c r="G914" s="76"/>
    </row>
    <row r="915" spans="7:7">
      <c r="G915" s="76"/>
    </row>
    <row r="916" spans="7:7">
      <c r="G916" s="76"/>
    </row>
    <row r="917" spans="7:7">
      <c r="G917" s="76"/>
    </row>
    <row r="918" spans="7:7">
      <c r="G918" s="76"/>
    </row>
    <row r="919" spans="7:7">
      <c r="G919" s="76"/>
    </row>
    <row r="920" spans="7:7">
      <c r="G920" s="76"/>
    </row>
    <row r="921" spans="7:7">
      <c r="G921" s="76"/>
    </row>
    <row r="922" spans="7:7">
      <c r="G922" s="76"/>
    </row>
    <row r="923" spans="7:7">
      <c r="G923" s="76"/>
    </row>
    <row r="924" spans="7:7">
      <c r="G924" s="76"/>
    </row>
    <row r="925" spans="7:7">
      <c r="G925" s="76"/>
    </row>
    <row r="926" spans="7:7">
      <c r="G926" s="76"/>
    </row>
    <row r="927" spans="7:7">
      <c r="G927" s="76"/>
    </row>
    <row r="928" spans="7:7">
      <c r="G928" s="76"/>
    </row>
    <row r="929" spans="7:7">
      <c r="G929" s="76"/>
    </row>
    <row r="930" spans="7:7">
      <c r="G930" s="76"/>
    </row>
    <row r="931" spans="7:7">
      <c r="G931" s="76"/>
    </row>
    <row r="932" spans="7:7">
      <c r="G932" s="76"/>
    </row>
    <row r="933" spans="7:7">
      <c r="G933" s="76"/>
    </row>
    <row r="934" spans="7:7">
      <c r="G934" s="76"/>
    </row>
    <row r="935" spans="7:7">
      <c r="G935" s="76"/>
    </row>
    <row r="936" spans="7:7">
      <c r="G936" s="76"/>
    </row>
    <row r="937" spans="7:7">
      <c r="G937" s="76"/>
    </row>
    <row r="938" spans="7:7">
      <c r="G938" s="76"/>
    </row>
    <row r="939" spans="7:7">
      <c r="G939" s="76"/>
    </row>
    <row r="940" spans="7:7">
      <c r="G940" s="76"/>
    </row>
    <row r="941" spans="7:7">
      <c r="G941" s="76"/>
    </row>
    <row r="942" spans="7:7">
      <c r="G942" s="76"/>
    </row>
    <row r="943" spans="7:7">
      <c r="G943" s="76"/>
    </row>
    <row r="944" spans="7:7">
      <c r="G944" s="76"/>
    </row>
    <row r="945" spans="7:7">
      <c r="G945" s="76"/>
    </row>
    <row r="946" spans="7:7">
      <c r="G946" s="76"/>
    </row>
    <row r="947" spans="7:7">
      <c r="G947" s="76"/>
    </row>
    <row r="948" spans="7:7">
      <c r="G948" s="76"/>
    </row>
    <row r="949" spans="7:7">
      <c r="G949" s="76"/>
    </row>
    <row r="950" spans="7:7">
      <c r="G950" s="76"/>
    </row>
    <row r="951" spans="7:7">
      <c r="G951" s="76"/>
    </row>
    <row r="952" spans="7:7">
      <c r="G952" s="76"/>
    </row>
    <row r="953" spans="7:7">
      <c r="G953" s="76"/>
    </row>
    <row r="954" spans="7:7">
      <c r="G954" s="76"/>
    </row>
    <row r="955" spans="7:7">
      <c r="G955" s="76"/>
    </row>
    <row r="956" spans="7:7">
      <c r="G956" s="76"/>
    </row>
    <row r="957" spans="7:7">
      <c r="G957" s="76"/>
    </row>
    <row r="958" spans="7:7">
      <c r="G958" s="76"/>
    </row>
    <row r="959" spans="7:7">
      <c r="G959" s="76"/>
    </row>
    <row r="960" spans="7:7">
      <c r="G960" s="76"/>
    </row>
    <row r="961" spans="7:7">
      <c r="G961" s="76"/>
    </row>
    <row r="962" spans="7:7">
      <c r="G962" s="76"/>
    </row>
    <row r="963" spans="7:7">
      <c r="G963" s="76"/>
    </row>
    <row r="964" spans="7:7">
      <c r="G964" s="76"/>
    </row>
    <row r="965" spans="7:7">
      <c r="G965" s="76"/>
    </row>
    <row r="966" spans="7:7">
      <c r="G966" s="76"/>
    </row>
    <row r="967" spans="7:7">
      <c r="G967" s="76"/>
    </row>
    <row r="968" spans="7:7">
      <c r="G968" s="76"/>
    </row>
    <row r="969" spans="7:7">
      <c r="G969" s="76"/>
    </row>
    <row r="970" spans="7:7">
      <c r="G970" s="76"/>
    </row>
    <row r="971" spans="7:7">
      <c r="G971" s="76"/>
    </row>
    <row r="972" spans="7:7">
      <c r="G972" s="76"/>
    </row>
    <row r="973" spans="7:7">
      <c r="G973" s="76"/>
    </row>
    <row r="974" spans="7:7">
      <c r="G974" s="76"/>
    </row>
    <row r="975" spans="7:7">
      <c r="G975" s="76"/>
    </row>
    <row r="976" spans="7:7">
      <c r="G976" s="76"/>
    </row>
    <row r="977" spans="7:7">
      <c r="G977" s="76"/>
    </row>
    <row r="978" spans="7:7">
      <c r="G978" s="76"/>
    </row>
    <row r="979" spans="7:7">
      <c r="G979" s="76"/>
    </row>
    <row r="980" spans="7:7">
      <c r="G980" s="76"/>
    </row>
  </sheetData>
  <autoFilter ref="A1:P791" xr:uid="{00000000-0009-0000-0000-000004000000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P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7" max="7" width="16.140625" customWidth="1"/>
    <col min="16" max="16" width="17.42578125" customWidth="1"/>
  </cols>
  <sheetData>
    <row r="1" spans="1:16">
      <c r="A1" s="64" t="s">
        <v>57</v>
      </c>
      <c r="B1" s="64" t="s">
        <v>1</v>
      </c>
      <c r="C1" s="64" t="s">
        <v>2</v>
      </c>
      <c r="D1" s="64" t="s">
        <v>3</v>
      </c>
      <c r="E1" s="64" t="s">
        <v>4</v>
      </c>
      <c r="F1" s="77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181" t="s">
        <v>69</v>
      </c>
      <c r="M1" s="182" t="s">
        <v>70</v>
      </c>
      <c r="N1" s="64" t="s">
        <v>71</v>
      </c>
      <c r="O1" s="64" t="s">
        <v>72</v>
      </c>
      <c r="P1" s="64" t="s">
        <v>73</v>
      </c>
    </row>
    <row r="2" spans="1:16">
      <c r="A2" s="78">
        <v>44927</v>
      </c>
      <c r="B2" s="64">
        <f t="shared" ref="B2:B103" si="0">YEAR(A2)</f>
        <v>2023</v>
      </c>
      <c r="C2" s="64">
        <f t="shared" ref="C2:C103" si="1">MONTH(A2)</f>
        <v>1</v>
      </c>
      <c r="D2" s="64" t="s">
        <v>111</v>
      </c>
      <c r="E2" s="77">
        <v>548</v>
      </c>
      <c r="F2" s="77">
        <v>477</v>
      </c>
      <c r="G2" s="64">
        <v>227765975</v>
      </c>
      <c r="H2" s="64">
        <v>23.77</v>
      </c>
      <c r="I2" s="64">
        <v>19.440000000000001</v>
      </c>
      <c r="J2" s="79">
        <v>0.8</v>
      </c>
      <c r="K2" s="77">
        <v>4170</v>
      </c>
      <c r="L2" s="181">
        <v>3762</v>
      </c>
      <c r="M2" s="182" t="s">
        <v>112</v>
      </c>
      <c r="N2" s="64">
        <v>26</v>
      </c>
      <c r="O2" s="64">
        <v>17</v>
      </c>
      <c r="P2" s="79">
        <v>0.8</v>
      </c>
    </row>
    <row r="3" spans="1:16">
      <c r="A3" s="78">
        <v>44928</v>
      </c>
      <c r="B3" s="64">
        <f t="shared" si="0"/>
        <v>2023</v>
      </c>
      <c r="C3" s="64">
        <f t="shared" si="1"/>
        <v>1</v>
      </c>
      <c r="D3" s="64" t="s">
        <v>113</v>
      </c>
      <c r="E3" s="64">
        <v>4170</v>
      </c>
      <c r="F3" s="77">
        <v>3762</v>
      </c>
      <c r="G3" s="64">
        <v>2113335293</v>
      </c>
      <c r="H3" s="64">
        <v>25.56</v>
      </c>
      <c r="I3" s="64">
        <v>17.3</v>
      </c>
      <c r="J3" s="79">
        <v>0.8</v>
      </c>
      <c r="K3" s="64">
        <v>548</v>
      </c>
      <c r="L3" s="181">
        <v>477</v>
      </c>
      <c r="M3" s="182" t="s">
        <v>114</v>
      </c>
      <c r="N3" s="64">
        <v>24</v>
      </c>
      <c r="O3" s="64">
        <v>19</v>
      </c>
      <c r="P3" s="79">
        <v>0.8</v>
      </c>
    </row>
    <row r="4" spans="1:16">
      <c r="A4" s="78">
        <v>44958</v>
      </c>
      <c r="B4" s="64">
        <f t="shared" si="0"/>
        <v>2023</v>
      </c>
      <c r="C4" s="64">
        <f t="shared" si="1"/>
        <v>2</v>
      </c>
      <c r="D4" s="64" t="s">
        <v>113</v>
      </c>
      <c r="E4" s="77">
        <v>4091</v>
      </c>
      <c r="F4" s="77">
        <v>3729</v>
      </c>
      <c r="G4" s="80">
        <v>1931500188</v>
      </c>
      <c r="H4" s="64">
        <v>25</v>
      </c>
      <c r="I4" s="64">
        <v>16</v>
      </c>
      <c r="J4" s="64">
        <v>0.9</v>
      </c>
      <c r="K4" s="77">
        <v>8261</v>
      </c>
      <c r="L4" s="181">
        <v>7491</v>
      </c>
      <c r="M4" s="183">
        <v>4044835481</v>
      </c>
      <c r="N4" s="64">
        <v>25</v>
      </c>
      <c r="O4" s="64">
        <v>17</v>
      </c>
      <c r="P4" s="64">
        <v>0.9</v>
      </c>
    </row>
    <row r="5" spans="1:16">
      <c r="A5" s="78">
        <v>44959</v>
      </c>
      <c r="B5" s="64">
        <f t="shared" si="0"/>
        <v>2023</v>
      </c>
      <c r="C5" s="64">
        <f t="shared" si="1"/>
        <v>2</v>
      </c>
      <c r="D5" s="64" t="s">
        <v>111</v>
      </c>
      <c r="E5" s="64">
        <v>180</v>
      </c>
      <c r="F5" s="77">
        <v>168</v>
      </c>
      <c r="G5" s="80">
        <v>96700294</v>
      </c>
      <c r="H5" s="64">
        <v>24</v>
      </c>
      <c r="I5" s="64">
        <v>12</v>
      </c>
      <c r="J5" s="64">
        <v>0.8</v>
      </c>
      <c r="K5" s="64">
        <v>728</v>
      </c>
      <c r="L5" s="181">
        <v>645</v>
      </c>
      <c r="M5" s="183">
        <v>324466269</v>
      </c>
      <c r="N5" s="64">
        <v>24</v>
      </c>
      <c r="O5" s="64">
        <v>16</v>
      </c>
      <c r="P5" s="64">
        <v>0.8</v>
      </c>
    </row>
    <row r="6" spans="1:16">
      <c r="A6" s="78">
        <v>44986</v>
      </c>
      <c r="B6" s="64">
        <f t="shared" si="0"/>
        <v>2023</v>
      </c>
      <c r="C6" s="64">
        <f t="shared" si="1"/>
        <v>3</v>
      </c>
      <c r="D6" s="64" t="s">
        <v>113</v>
      </c>
      <c r="E6" s="77">
        <v>6209</v>
      </c>
      <c r="F6" s="77">
        <v>5468</v>
      </c>
      <c r="G6" s="80">
        <v>2773457701</v>
      </c>
      <c r="H6" s="64">
        <v>28</v>
      </c>
      <c r="I6" s="64">
        <v>18</v>
      </c>
      <c r="J6" s="64">
        <v>0.9</v>
      </c>
      <c r="K6" s="77">
        <v>14470</v>
      </c>
      <c r="L6" s="181">
        <v>12959</v>
      </c>
      <c r="M6" s="183">
        <v>6818293182</v>
      </c>
      <c r="N6" s="64">
        <v>26</v>
      </c>
      <c r="O6" s="64">
        <v>17</v>
      </c>
      <c r="P6" s="64">
        <v>0.9</v>
      </c>
    </row>
    <row r="7" spans="1:16">
      <c r="A7" s="78">
        <v>44987</v>
      </c>
      <c r="B7" s="64">
        <f t="shared" si="0"/>
        <v>2023</v>
      </c>
      <c r="C7" s="64">
        <f t="shared" si="1"/>
        <v>3</v>
      </c>
      <c r="D7" s="64" t="s">
        <v>111</v>
      </c>
      <c r="E7" s="77">
        <v>923</v>
      </c>
      <c r="F7" s="77">
        <v>860</v>
      </c>
      <c r="G7" s="80">
        <v>622549497</v>
      </c>
      <c r="H7" s="64">
        <v>21</v>
      </c>
      <c r="I7" s="64">
        <v>14</v>
      </c>
      <c r="J7" s="64">
        <v>0.7</v>
      </c>
      <c r="K7" s="77">
        <v>1651</v>
      </c>
      <c r="L7" s="181">
        <v>1505</v>
      </c>
      <c r="M7" s="183">
        <v>947015766</v>
      </c>
      <c r="N7" s="64">
        <v>23</v>
      </c>
      <c r="O7" s="64">
        <v>15</v>
      </c>
      <c r="P7" s="64">
        <v>0.7</v>
      </c>
    </row>
    <row r="8" spans="1:16">
      <c r="A8" s="78">
        <v>45017</v>
      </c>
      <c r="B8" s="64">
        <f t="shared" si="0"/>
        <v>2023</v>
      </c>
      <c r="C8" s="64">
        <f t="shared" si="1"/>
        <v>4</v>
      </c>
      <c r="D8" s="64" t="s">
        <v>113</v>
      </c>
      <c r="E8" s="77">
        <v>4123</v>
      </c>
      <c r="F8" s="77">
        <v>3647</v>
      </c>
      <c r="G8" s="80">
        <v>1887616843</v>
      </c>
      <c r="H8" s="64">
        <v>26</v>
      </c>
      <c r="I8" s="64">
        <v>19</v>
      </c>
      <c r="J8" s="64">
        <v>0.9</v>
      </c>
      <c r="K8" s="77">
        <v>18593</v>
      </c>
      <c r="L8" s="77">
        <v>16606</v>
      </c>
      <c r="M8" s="80">
        <v>8705910025</v>
      </c>
      <c r="N8" s="64">
        <v>26</v>
      </c>
      <c r="O8" s="64">
        <v>18</v>
      </c>
      <c r="P8" s="64">
        <v>0.9</v>
      </c>
    </row>
    <row r="9" spans="1:16">
      <c r="A9" s="78">
        <v>45018</v>
      </c>
      <c r="B9" s="64">
        <f t="shared" si="0"/>
        <v>2023</v>
      </c>
      <c r="C9" s="64">
        <f t="shared" si="1"/>
        <v>4</v>
      </c>
      <c r="D9" s="64" t="s">
        <v>111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1651</v>
      </c>
      <c r="L9" s="77">
        <v>1505</v>
      </c>
      <c r="M9" s="80">
        <v>947015766</v>
      </c>
      <c r="N9" s="64">
        <v>23</v>
      </c>
      <c r="O9" s="64">
        <v>15</v>
      </c>
      <c r="P9" s="64">
        <v>0</v>
      </c>
    </row>
    <row r="10" spans="1:16">
      <c r="A10" s="78">
        <v>45019</v>
      </c>
      <c r="B10" s="64">
        <f t="shared" si="0"/>
        <v>2023</v>
      </c>
      <c r="C10" s="64">
        <f t="shared" si="1"/>
        <v>4</v>
      </c>
      <c r="D10" s="64" t="s">
        <v>115</v>
      </c>
      <c r="E10" s="64">
        <v>393</v>
      </c>
      <c r="F10" s="77">
        <v>329</v>
      </c>
      <c r="G10" s="80">
        <v>249286874</v>
      </c>
      <c r="H10" s="64">
        <v>21</v>
      </c>
      <c r="I10" s="64">
        <v>14</v>
      </c>
      <c r="J10" s="64">
        <v>1.2</v>
      </c>
      <c r="K10" s="64">
        <v>393</v>
      </c>
      <c r="L10" s="77">
        <v>329</v>
      </c>
      <c r="M10" s="80">
        <v>249286874</v>
      </c>
      <c r="N10" s="64">
        <v>21</v>
      </c>
      <c r="O10" s="64">
        <v>14</v>
      </c>
      <c r="P10" s="64">
        <v>1.2</v>
      </c>
    </row>
    <row r="11" spans="1:16">
      <c r="A11" s="78">
        <v>45047</v>
      </c>
      <c r="B11" s="64">
        <f t="shared" si="0"/>
        <v>2023</v>
      </c>
      <c r="C11" s="64">
        <f t="shared" si="1"/>
        <v>5</v>
      </c>
      <c r="D11" s="64" t="s">
        <v>113</v>
      </c>
      <c r="E11" s="77">
        <v>2915</v>
      </c>
      <c r="F11" s="77">
        <v>2639</v>
      </c>
      <c r="G11" s="80">
        <v>1686764192</v>
      </c>
      <c r="H11" s="64">
        <v>25</v>
      </c>
      <c r="I11" s="64">
        <v>19</v>
      </c>
      <c r="J11" s="64">
        <v>1</v>
      </c>
      <c r="K11" s="77">
        <v>21508</v>
      </c>
      <c r="L11" s="77">
        <v>19245</v>
      </c>
      <c r="M11" s="80">
        <v>10392674217</v>
      </c>
      <c r="N11" s="64">
        <v>26</v>
      </c>
      <c r="O11" s="64">
        <v>18</v>
      </c>
      <c r="P11" s="64">
        <v>1</v>
      </c>
    </row>
    <row r="12" spans="1:16">
      <c r="A12" s="78">
        <v>45048</v>
      </c>
      <c r="B12" s="64">
        <f t="shared" si="0"/>
        <v>2023</v>
      </c>
      <c r="C12" s="64">
        <f t="shared" si="1"/>
        <v>5</v>
      </c>
      <c r="D12" s="64" t="s">
        <v>111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1651</v>
      </c>
      <c r="L12" s="77">
        <v>1505</v>
      </c>
      <c r="M12" s="80">
        <v>947015766</v>
      </c>
      <c r="N12" s="64">
        <v>23</v>
      </c>
      <c r="O12" s="64">
        <v>15</v>
      </c>
      <c r="P12" s="64">
        <v>0</v>
      </c>
    </row>
    <row r="13" spans="1:16">
      <c r="A13" s="78">
        <v>45049</v>
      </c>
      <c r="B13" s="64">
        <f t="shared" si="0"/>
        <v>2023</v>
      </c>
      <c r="C13" s="64">
        <f t="shared" si="1"/>
        <v>5</v>
      </c>
      <c r="D13" s="64" t="s">
        <v>115</v>
      </c>
      <c r="E13" s="77">
        <v>727</v>
      </c>
      <c r="F13" s="77">
        <v>567</v>
      </c>
      <c r="G13" s="80">
        <v>371938289</v>
      </c>
      <c r="H13" s="64">
        <v>20</v>
      </c>
      <c r="I13" s="64">
        <v>21</v>
      </c>
      <c r="J13" s="64">
        <v>1.2</v>
      </c>
      <c r="K13" s="77">
        <v>1120</v>
      </c>
      <c r="L13" s="77">
        <v>896</v>
      </c>
      <c r="M13" s="80">
        <v>621225163</v>
      </c>
      <c r="N13" s="64">
        <v>21</v>
      </c>
      <c r="O13" s="64">
        <v>18</v>
      </c>
      <c r="P13" s="64">
        <v>1.2</v>
      </c>
    </row>
    <row r="14" spans="1:16">
      <c r="A14" s="78">
        <v>45078</v>
      </c>
      <c r="B14" s="64">
        <f t="shared" si="0"/>
        <v>2023</v>
      </c>
      <c r="C14" s="64">
        <f t="shared" si="1"/>
        <v>6</v>
      </c>
      <c r="D14" s="64" t="s">
        <v>113</v>
      </c>
      <c r="E14" s="77">
        <v>2823</v>
      </c>
      <c r="F14" s="77">
        <v>2574</v>
      </c>
      <c r="G14" s="80">
        <v>1014365003</v>
      </c>
      <c r="H14" s="64">
        <v>29</v>
      </c>
      <c r="I14" s="64">
        <v>26</v>
      </c>
      <c r="J14" s="64">
        <v>1</v>
      </c>
      <c r="K14" s="77">
        <v>24331</v>
      </c>
      <c r="L14" s="77">
        <v>21819</v>
      </c>
      <c r="M14" s="80">
        <v>11407039220</v>
      </c>
      <c r="N14" s="64">
        <v>26</v>
      </c>
      <c r="O14" s="64">
        <v>19</v>
      </c>
      <c r="P14" s="64">
        <v>1</v>
      </c>
    </row>
    <row r="15" spans="1:16">
      <c r="A15" s="78">
        <v>45079</v>
      </c>
      <c r="B15" s="64">
        <f t="shared" si="0"/>
        <v>2023</v>
      </c>
      <c r="C15" s="64">
        <f t="shared" si="1"/>
        <v>6</v>
      </c>
      <c r="D15" s="64" t="s">
        <v>111</v>
      </c>
      <c r="E15" s="77">
        <v>2405</v>
      </c>
      <c r="F15" s="77">
        <v>2173</v>
      </c>
      <c r="G15" s="80">
        <v>1315460992</v>
      </c>
      <c r="H15" s="64">
        <v>28</v>
      </c>
      <c r="I15" s="64">
        <v>24</v>
      </c>
      <c r="J15" s="64">
        <v>1.2</v>
      </c>
      <c r="K15" s="77">
        <v>4056</v>
      </c>
      <c r="L15" s="77">
        <v>3678</v>
      </c>
      <c r="M15" s="80">
        <v>2262476.7579999999</v>
      </c>
      <c r="N15" s="64">
        <v>24</v>
      </c>
      <c r="O15" s="64">
        <v>18</v>
      </c>
      <c r="P15" s="64">
        <v>1.2</v>
      </c>
    </row>
    <row r="16" spans="1:16">
      <c r="A16" s="78">
        <v>45080</v>
      </c>
      <c r="B16" s="64">
        <f t="shared" si="0"/>
        <v>2023</v>
      </c>
      <c r="C16" s="64">
        <f t="shared" si="1"/>
        <v>6</v>
      </c>
      <c r="D16" s="64" t="s">
        <v>115</v>
      </c>
      <c r="E16" s="77">
        <v>256</v>
      </c>
      <c r="F16" s="77">
        <v>221</v>
      </c>
      <c r="G16" s="80">
        <v>155985985</v>
      </c>
      <c r="H16" s="64">
        <v>26</v>
      </c>
      <c r="I16" s="64">
        <v>16</v>
      </c>
      <c r="J16" s="64">
        <v>1</v>
      </c>
      <c r="K16" s="77">
        <v>1376</v>
      </c>
      <c r="L16" s="77">
        <v>1117</v>
      </c>
      <c r="M16" s="80">
        <v>777211.147</v>
      </c>
      <c r="N16" s="64">
        <v>21</v>
      </c>
      <c r="O16" s="64">
        <v>17</v>
      </c>
      <c r="P16" s="64">
        <v>1</v>
      </c>
    </row>
    <row r="17" spans="1:16">
      <c r="A17" s="78">
        <v>45108</v>
      </c>
      <c r="B17" s="64">
        <f t="shared" si="0"/>
        <v>2023</v>
      </c>
      <c r="C17" s="64">
        <f t="shared" si="1"/>
        <v>7</v>
      </c>
      <c r="D17" s="64" t="s">
        <v>113</v>
      </c>
      <c r="E17" s="77">
        <v>677</v>
      </c>
      <c r="F17" s="77">
        <v>617</v>
      </c>
      <c r="G17" s="80">
        <v>208359145</v>
      </c>
      <c r="H17" s="64">
        <v>29</v>
      </c>
      <c r="I17" s="64">
        <v>61</v>
      </c>
      <c r="J17" s="64">
        <v>1</v>
      </c>
      <c r="K17" s="77">
        <v>25008</v>
      </c>
      <c r="L17" s="77">
        <v>22436</v>
      </c>
      <c r="M17" s="80">
        <v>11615398365</v>
      </c>
      <c r="N17" s="64">
        <v>27</v>
      </c>
      <c r="O17" s="64">
        <v>25</v>
      </c>
      <c r="P17" s="64">
        <v>1</v>
      </c>
    </row>
    <row r="18" spans="1:16">
      <c r="A18" s="78">
        <v>45109</v>
      </c>
      <c r="B18" s="64">
        <f t="shared" si="0"/>
        <v>2023</v>
      </c>
      <c r="C18" s="64">
        <f t="shared" si="1"/>
        <v>7</v>
      </c>
      <c r="D18" s="64" t="s">
        <v>111</v>
      </c>
      <c r="E18" s="77">
        <v>979</v>
      </c>
      <c r="F18" s="77">
        <v>859</v>
      </c>
      <c r="G18" s="80">
        <v>542915942</v>
      </c>
      <c r="H18" s="64">
        <v>18</v>
      </c>
      <c r="I18" s="64">
        <v>39</v>
      </c>
      <c r="J18" s="64">
        <v>1.2</v>
      </c>
      <c r="K18" s="77">
        <v>5035</v>
      </c>
      <c r="L18" s="77">
        <v>4537</v>
      </c>
      <c r="M18" s="80">
        <v>2805392700</v>
      </c>
      <c r="N18" s="64">
        <v>23</v>
      </c>
      <c r="O18" s="64">
        <v>22</v>
      </c>
      <c r="P18" s="64">
        <v>1.2</v>
      </c>
    </row>
    <row r="19" spans="1:16">
      <c r="A19" s="78">
        <v>45110</v>
      </c>
      <c r="B19" s="64">
        <f t="shared" si="0"/>
        <v>2023</v>
      </c>
      <c r="C19" s="64">
        <f t="shared" si="1"/>
        <v>7</v>
      </c>
      <c r="D19" s="64" t="s">
        <v>115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1376</v>
      </c>
      <c r="L19" s="77">
        <v>1117</v>
      </c>
      <c r="M19" s="80">
        <v>777211147</v>
      </c>
      <c r="N19" s="64">
        <v>22</v>
      </c>
      <c r="O19" s="64">
        <v>17</v>
      </c>
      <c r="P19" s="64">
        <v>0</v>
      </c>
    </row>
    <row r="20" spans="1:16">
      <c r="A20" s="78">
        <v>45111</v>
      </c>
      <c r="B20" s="64">
        <f t="shared" si="0"/>
        <v>2023</v>
      </c>
      <c r="C20" s="64">
        <f t="shared" si="1"/>
        <v>7</v>
      </c>
      <c r="D20" s="64" t="s">
        <v>116</v>
      </c>
      <c r="E20" s="77">
        <v>628</v>
      </c>
      <c r="F20" s="77">
        <v>528</v>
      </c>
      <c r="G20" s="80">
        <v>257273561</v>
      </c>
      <c r="H20" s="64">
        <v>32</v>
      </c>
      <c r="I20" s="64">
        <v>66</v>
      </c>
      <c r="J20" s="64">
        <v>1</v>
      </c>
      <c r="K20" s="77">
        <v>628</v>
      </c>
      <c r="L20" s="77">
        <v>528</v>
      </c>
      <c r="M20" s="80">
        <v>257273561</v>
      </c>
      <c r="N20" s="64">
        <v>32</v>
      </c>
      <c r="O20" s="64">
        <v>66</v>
      </c>
      <c r="P20" s="64">
        <v>1</v>
      </c>
    </row>
    <row r="21" spans="1:16">
      <c r="A21" s="78">
        <v>45112</v>
      </c>
      <c r="B21" s="64">
        <f t="shared" si="0"/>
        <v>2023</v>
      </c>
      <c r="C21" s="64">
        <f t="shared" si="1"/>
        <v>7</v>
      </c>
      <c r="D21" s="64" t="s">
        <v>117</v>
      </c>
      <c r="E21" s="77">
        <v>180</v>
      </c>
      <c r="F21" s="77">
        <v>168</v>
      </c>
      <c r="G21" s="80">
        <v>67124744</v>
      </c>
      <c r="H21" s="64">
        <v>38</v>
      </c>
      <c r="I21" s="64">
        <v>11</v>
      </c>
      <c r="J21" s="64">
        <v>0.9</v>
      </c>
      <c r="K21" s="77">
        <v>180</v>
      </c>
      <c r="L21" s="77">
        <v>168</v>
      </c>
      <c r="M21" s="80">
        <v>67124744</v>
      </c>
      <c r="N21" s="64">
        <v>38</v>
      </c>
      <c r="O21" s="64">
        <v>11</v>
      </c>
      <c r="P21" s="64">
        <v>0.9</v>
      </c>
    </row>
    <row r="22" spans="1:16">
      <c r="A22" s="78">
        <v>45139</v>
      </c>
      <c r="B22" s="64">
        <f t="shared" si="0"/>
        <v>2023</v>
      </c>
      <c r="C22" s="64">
        <f t="shared" si="1"/>
        <v>8</v>
      </c>
      <c r="D22" s="64" t="s">
        <v>113</v>
      </c>
      <c r="E22" s="77">
        <v>3486</v>
      </c>
      <c r="F22" s="77">
        <v>3105</v>
      </c>
      <c r="G22" s="80">
        <v>1305480588</v>
      </c>
      <c r="H22" s="64">
        <v>28</v>
      </c>
      <c r="I22" s="64">
        <v>19</v>
      </c>
      <c r="J22" s="64">
        <v>0</v>
      </c>
      <c r="K22" s="77">
        <v>28494</v>
      </c>
      <c r="L22" s="77">
        <v>25541</v>
      </c>
      <c r="M22" s="80">
        <v>12920878952</v>
      </c>
      <c r="N22" s="64">
        <v>27</v>
      </c>
      <c r="O22" s="64">
        <v>25</v>
      </c>
      <c r="P22" s="64">
        <v>0</v>
      </c>
    </row>
    <row r="23" spans="1:16">
      <c r="A23" s="78">
        <v>45140</v>
      </c>
      <c r="B23" s="64">
        <f t="shared" si="0"/>
        <v>2023</v>
      </c>
      <c r="C23" s="64">
        <f t="shared" si="1"/>
        <v>8</v>
      </c>
      <c r="D23" s="64" t="s">
        <v>111</v>
      </c>
      <c r="E23" s="77">
        <v>2757</v>
      </c>
      <c r="F23" s="77">
        <v>2409</v>
      </c>
      <c r="G23" s="80">
        <v>1935179401</v>
      </c>
      <c r="H23" s="64">
        <v>19</v>
      </c>
      <c r="I23" s="64">
        <v>21</v>
      </c>
      <c r="J23" s="64">
        <v>1.3</v>
      </c>
      <c r="K23" s="77">
        <v>7792</v>
      </c>
      <c r="L23" s="77">
        <v>6946</v>
      </c>
      <c r="M23" s="80">
        <v>4740572102</v>
      </c>
      <c r="N23" s="64">
        <v>22</v>
      </c>
      <c r="O23" s="64">
        <v>22</v>
      </c>
      <c r="P23" s="64">
        <v>1.3</v>
      </c>
    </row>
    <row r="24" spans="1:16">
      <c r="A24" s="78">
        <v>45141</v>
      </c>
      <c r="B24" s="64">
        <f t="shared" si="0"/>
        <v>2023</v>
      </c>
      <c r="C24" s="64">
        <f t="shared" si="1"/>
        <v>8</v>
      </c>
      <c r="D24" s="64" t="s">
        <v>115</v>
      </c>
      <c r="E24" s="77">
        <v>175</v>
      </c>
      <c r="F24" s="77">
        <v>169</v>
      </c>
      <c r="G24" s="80">
        <v>82610509</v>
      </c>
      <c r="H24" s="64">
        <v>30</v>
      </c>
      <c r="I24" s="64">
        <v>29</v>
      </c>
      <c r="J24" s="64">
        <v>1.3</v>
      </c>
      <c r="K24" s="77">
        <v>1551</v>
      </c>
      <c r="L24" s="77">
        <v>1286</v>
      </c>
      <c r="M24" s="80">
        <v>859821656</v>
      </c>
      <c r="N24" s="64">
        <v>24</v>
      </c>
      <c r="O24" s="64">
        <v>20</v>
      </c>
      <c r="P24" s="64">
        <v>1.3</v>
      </c>
    </row>
    <row r="25" spans="1:16">
      <c r="A25" s="78">
        <v>45142</v>
      </c>
      <c r="B25" s="64">
        <f t="shared" si="0"/>
        <v>2023</v>
      </c>
      <c r="C25" s="64">
        <f t="shared" si="1"/>
        <v>8</v>
      </c>
      <c r="D25" s="64" t="s">
        <v>116</v>
      </c>
      <c r="E25" s="77">
        <v>513</v>
      </c>
      <c r="F25" s="77">
        <v>423</v>
      </c>
      <c r="G25" s="80">
        <v>248599159</v>
      </c>
      <c r="H25" s="64">
        <v>27</v>
      </c>
      <c r="I25" s="64">
        <v>22</v>
      </c>
      <c r="J25" s="64">
        <v>1</v>
      </c>
      <c r="K25" s="77">
        <v>1141</v>
      </c>
      <c r="L25" s="77">
        <v>951</v>
      </c>
      <c r="M25" s="80">
        <v>505872720</v>
      </c>
      <c r="N25" s="64">
        <v>29</v>
      </c>
      <c r="O25" s="64">
        <v>44</v>
      </c>
      <c r="P25" s="64">
        <v>1</v>
      </c>
    </row>
    <row r="26" spans="1:16">
      <c r="A26" s="78">
        <v>45143</v>
      </c>
      <c r="B26" s="64">
        <f t="shared" si="0"/>
        <v>2023</v>
      </c>
      <c r="C26" s="64">
        <f t="shared" si="1"/>
        <v>8</v>
      </c>
      <c r="D26" s="64" t="s">
        <v>117</v>
      </c>
      <c r="E26" s="77">
        <v>846</v>
      </c>
      <c r="F26" s="77">
        <v>783</v>
      </c>
      <c r="G26" s="80">
        <v>480683844</v>
      </c>
      <c r="H26" s="64">
        <v>26</v>
      </c>
      <c r="I26" s="64">
        <v>20</v>
      </c>
      <c r="J26" s="64">
        <v>0.9</v>
      </c>
      <c r="K26" s="77">
        <v>1026</v>
      </c>
      <c r="L26" s="77">
        <v>951</v>
      </c>
      <c r="M26" s="80">
        <v>547808588</v>
      </c>
      <c r="N26" s="64">
        <v>32</v>
      </c>
      <c r="O26" s="64">
        <v>16</v>
      </c>
      <c r="P26" s="64">
        <v>0.9</v>
      </c>
    </row>
    <row r="27" spans="1:16">
      <c r="A27" s="78">
        <v>45170</v>
      </c>
      <c r="B27" s="64">
        <f t="shared" si="0"/>
        <v>2023</v>
      </c>
      <c r="C27" s="64">
        <f t="shared" si="1"/>
        <v>9</v>
      </c>
      <c r="D27" s="64" t="s">
        <v>113</v>
      </c>
      <c r="E27" s="77">
        <v>2846</v>
      </c>
      <c r="F27" s="77">
        <v>2553</v>
      </c>
      <c r="G27" s="80">
        <v>1313037649</v>
      </c>
      <c r="H27" s="64">
        <v>27</v>
      </c>
      <c r="I27" s="64">
        <v>21</v>
      </c>
      <c r="J27" s="64">
        <v>0.9</v>
      </c>
      <c r="K27" s="77">
        <v>31340</v>
      </c>
      <c r="L27" s="77">
        <v>28094</v>
      </c>
      <c r="M27" s="80">
        <v>14233916601</v>
      </c>
      <c r="N27" s="64">
        <v>27</v>
      </c>
      <c r="O27" s="64">
        <v>24</v>
      </c>
      <c r="P27" s="64">
        <v>0.9</v>
      </c>
    </row>
    <row r="28" spans="1:16">
      <c r="A28" s="78">
        <v>45171</v>
      </c>
      <c r="B28" s="64">
        <f t="shared" si="0"/>
        <v>2023</v>
      </c>
      <c r="C28" s="64">
        <f t="shared" si="1"/>
        <v>9</v>
      </c>
      <c r="D28" s="64" t="s">
        <v>111</v>
      </c>
      <c r="E28" s="77">
        <v>3834</v>
      </c>
      <c r="F28" s="77">
        <v>3445</v>
      </c>
      <c r="G28" s="80">
        <v>2913346073</v>
      </c>
      <c r="H28" s="64">
        <v>17</v>
      </c>
      <c r="I28" s="64">
        <v>16</v>
      </c>
      <c r="J28" s="64">
        <v>1.1000000000000001</v>
      </c>
      <c r="K28" s="77">
        <v>11626</v>
      </c>
      <c r="L28" s="77">
        <v>10391</v>
      </c>
      <c r="M28" s="80">
        <v>7653918175</v>
      </c>
      <c r="N28" s="64">
        <v>22</v>
      </c>
      <c r="O28" s="64">
        <v>21</v>
      </c>
      <c r="P28" s="64">
        <v>1.1000000000000001</v>
      </c>
    </row>
    <row r="29" spans="1:16">
      <c r="A29" s="78">
        <v>45172</v>
      </c>
      <c r="B29" s="64">
        <f t="shared" si="0"/>
        <v>2023</v>
      </c>
      <c r="C29" s="64">
        <f t="shared" si="1"/>
        <v>9</v>
      </c>
      <c r="D29" s="64" t="s">
        <v>117</v>
      </c>
      <c r="E29" s="77">
        <v>1080</v>
      </c>
      <c r="F29" s="77">
        <v>965</v>
      </c>
      <c r="G29" s="80">
        <v>643648667</v>
      </c>
      <c r="H29" s="64">
        <v>22</v>
      </c>
      <c r="I29" s="64">
        <v>19</v>
      </c>
      <c r="J29" s="64">
        <v>0.9</v>
      </c>
      <c r="K29" s="77">
        <v>2106</v>
      </c>
      <c r="L29" s="77">
        <v>1916</v>
      </c>
      <c r="M29" s="80">
        <v>1191457255</v>
      </c>
      <c r="N29" s="64">
        <v>29</v>
      </c>
      <c r="O29" s="64">
        <v>17</v>
      </c>
      <c r="P29" s="64">
        <v>0.9</v>
      </c>
    </row>
    <row r="30" spans="1:16">
      <c r="A30" s="78">
        <v>45173</v>
      </c>
      <c r="B30" s="64">
        <f t="shared" si="0"/>
        <v>2023</v>
      </c>
      <c r="C30" s="64">
        <f t="shared" si="1"/>
        <v>9</v>
      </c>
      <c r="D30" s="64" t="s">
        <v>115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64">
        <v>0</v>
      </c>
      <c r="K30" s="77">
        <v>1551</v>
      </c>
      <c r="L30" s="77">
        <v>1286</v>
      </c>
      <c r="M30" s="80">
        <v>859821656</v>
      </c>
      <c r="N30" s="64">
        <v>24</v>
      </c>
      <c r="O30" s="64">
        <v>20</v>
      </c>
      <c r="P30" s="64">
        <v>0</v>
      </c>
    </row>
    <row r="31" spans="1:16">
      <c r="A31" s="78">
        <v>45174</v>
      </c>
      <c r="B31" s="64">
        <f t="shared" si="0"/>
        <v>2023</v>
      </c>
      <c r="C31" s="64">
        <f t="shared" si="1"/>
        <v>9</v>
      </c>
      <c r="D31" s="64" t="s">
        <v>116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64">
        <v>0</v>
      </c>
      <c r="K31" s="77">
        <v>1141</v>
      </c>
      <c r="L31" s="77">
        <v>951</v>
      </c>
      <c r="M31" s="80">
        <v>505872720</v>
      </c>
      <c r="N31" s="64">
        <v>29</v>
      </c>
      <c r="O31" s="64">
        <v>44</v>
      </c>
      <c r="P31" s="64">
        <v>0</v>
      </c>
    </row>
    <row r="32" spans="1:16">
      <c r="A32" s="81">
        <v>45200</v>
      </c>
      <c r="B32" s="64">
        <f t="shared" si="0"/>
        <v>2023</v>
      </c>
      <c r="C32" s="64">
        <f t="shared" si="1"/>
        <v>10</v>
      </c>
      <c r="D32" s="64" t="s">
        <v>113</v>
      </c>
      <c r="E32" s="77">
        <v>2020</v>
      </c>
      <c r="F32" s="77">
        <v>1813</v>
      </c>
      <c r="G32" s="80">
        <v>851045945</v>
      </c>
      <c r="H32" s="64">
        <v>26</v>
      </c>
      <c r="I32" s="64">
        <v>19</v>
      </c>
      <c r="J32" s="64">
        <v>0.9</v>
      </c>
      <c r="K32" s="77">
        <v>33360</v>
      </c>
      <c r="L32" s="77">
        <v>29907</v>
      </c>
      <c r="M32" s="80">
        <v>15084962546</v>
      </c>
      <c r="N32" s="64">
        <v>27</v>
      </c>
      <c r="O32" s="64">
        <v>24</v>
      </c>
      <c r="P32" s="64">
        <v>0.9</v>
      </c>
    </row>
    <row r="33" spans="1:16">
      <c r="A33" s="81">
        <v>45201</v>
      </c>
      <c r="B33" s="64">
        <f t="shared" si="0"/>
        <v>2023</v>
      </c>
      <c r="C33" s="64">
        <f t="shared" si="1"/>
        <v>10</v>
      </c>
      <c r="D33" s="64" t="s">
        <v>111</v>
      </c>
      <c r="E33" s="77">
        <v>5066</v>
      </c>
      <c r="F33" s="77">
        <v>4598</v>
      </c>
      <c r="G33" s="80">
        <v>3420495438</v>
      </c>
      <c r="H33" s="64">
        <v>21</v>
      </c>
      <c r="I33" s="64">
        <v>18</v>
      </c>
      <c r="J33" s="64">
        <v>1.1000000000000001</v>
      </c>
      <c r="K33" s="77">
        <v>16692</v>
      </c>
      <c r="L33" s="77">
        <v>14989</v>
      </c>
      <c r="M33" s="80">
        <v>11074413613</v>
      </c>
      <c r="N33" s="64">
        <v>22</v>
      </c>
      <c r="O33" s="64">
        <v>21</v>
      </c>
      <c r="P33" s="64">
        <v>1.1000000000000001</v>
      </c>
    </row>
    <row r="34" spans="1:16">
      <c r="A34" s="81">
        <v>45202</v>
      </c>
      <c r="B34" s="64">
        <f t="shared" si="0"/>
        <v>2023</v>
      </c>
      <c r="C34" s="64">
        <f t="shared" si="1"/>
        <v>10</v>
      </c>
      <c r="D34" s="64" t="s">
        <v>117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64">
        <v>0</v>
      </c>
      <c r="K34" s="77">
        <v>2106</v>
      </c>
      <c r="L34" s="77">
        <v>1916</v>
      </c>
      <c r="M34" s="80">
        <v>1191457255</v>
      </c>
      <c r="N34" s="64">
        <v>29</v>
      </c>
      <c r="O34" s="64">
        <v>17</v>
      </c>
      <c r="P34" s="64">
        <v>0</v>
      </c>
    </row>
    <row r="35" spans="1:16">
      <c r="A35" s="81">
        <v>45203</v>
      </c>
      <c r="B35" s="64">
        <f t="shared" si="0"/>
        <v>2023</v>
      </c>
      <c r="C35" s="64">
        <f t="shared" si="1"/>
        <v>10</v>
      </c>
      <c r="D35" s="64" t="s">
        <v>115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1551</v>
      </c>
      <c r="L35" s="77">
        <v>1286</v>
      </c>
      <c r="M35" s="80">
        <v>859821656</v>
      </c>
      <c r="N35" s="64">
        <v>24</v>
      </c>
      <c r="O35" s="64">
        <v>20</v>
      </c>
      <c r="P35" s="64">
        <v>0</v>
      </c>
    </row>
    <row r="36" spans="1:16">
      <c r="A36" s="81">
        <v>45204</v>
      </c>
      <c r="B36" s="64">
        <f t="shared" si="0"/>
        <v>2023</v>
      </c>
      <c r="C36" s="64">
        <f t="shared" si="1"/>
        <v>10</v>
      </c>
      <c r="D36" s="64" t="s">
        <v>116</v>
      </c>
      <c r="E36" s="77">
        <v>212</v>
      </c>
      <c r="F36" s="77">
        <v>200</v>
      </c>
      <c r="G36" s="80">
        <v>100168835</v>
      </c>
      <c r="H36" s="64">
        <v>23</v>
      </c>
      <c r="I36" s="64">
        <v>16</v>
      </c>
      <c r="J36" s="64">
        <v>1</v>
      </c>
      <c r="K36" s="77">
        <v>1353</v>
      </c>
      <c r="L36" s="77">
        <v>1151</v>
      </c>
      <c r="M36" s="80">
        <v>606041555</v>
      </c>
      <c r="N36" s="64">
        <v>27</v>
      </c>
      <c r="O36" s="64">
        <v>34</v>
      </c>
      <c r="P36" s="64">
        <v>1</v>
      </c>
    </row>
    <row r="37" spans="1:16">
      <c r="A37" s="81">
        <v>45231</v>
      </c>
      <c r="B37" s="64">
        <f t="shared" si="0"/>
        <v>2023</v>
      </c>
      <c r="C37" s="64">
        <f t="shared" si="1"/>
        <v>11</v>
      </c>
      <c r="D37" s="64" t="s">
        <v>113</v>
      </c>
      <c r="E37" s="77">
        <v>3163</v>
      </c>
      <c r="F37" s="77">
        <v>2790</v>
      </c>
      <c r="G37" s="80">
        <v>1320080632</v>
      </c>
      <c r="H37" s="64">
        <v>26</v>
      </c>
      <c r="I37" s="64">
        <v>17</v>
      </c>
      <c r="J37" s="64">
        <v>0.9</v>
      </c>
      <c r="K37" s="77">
        <v>36523</v>
      </c>
      <c r="L37" s="77">
        <v>32697</v>
      </c>
      <c r="M37" s="80">
        <v>16405043178</v>
      </c>
      <c r="N37" s="64">
        <v>27</v>
      </c>
      <c r="O37" s="64">
        <v>23</v>
      </c>
      <c r="P37" s="64">
        <v>0.9</v>
      </c>
    </row>
    <row r="38" spans="1:16">
      <c r="A38" s="81">
        <v>45232</v>
      </c>
      <c r="B38" s="64">
        <f t="shared" si="0"/>
        <v>2023</v>
      </c>
      <c r="C38" s="64">
        <f t="shared" si="1"/>
        <v>11</v>
      </c>
      <c r="D38" s="64" t="s">
        <v>111</v>
      </c>
      <c r="E38" s="77">
        <v>4805</v>
      </c>
      <c r="F38" s="77">
        <v>4249</v>
      </c>
      <c r="G38" s="80">
        <v>3241623943</v>
      </c>
      <c r="H38" s="64">
        <v>20</v>
      </c>
      <c r="I38" s="64">
        <v>19</v>
      </c>
      <c r="J38" s="64">
        <v>1.1000000000000001</v>
      </c>
      <c r="K38" s="77">
        <v>21497</v>
      </c>
      <c r="L38" s="77">
        <v>19238</v>
      </c>
      <c r="M38" s="80">
        <v>14316037557</v>
      </c>
      <c r="N38" s="64">
        <v>22</v>
      </c>
      <c r="O38" s="64">
        <v>20</v>
      </c>
      <c r="P38" s="64">
        <v>1.1000000000000001</v>
      </c>
    </row>
    <row r="39" spans="1:16">
      <c r="A39" s="81">
        <v>45233</v>
      </c>
      <c r="B39" s="64">
        <f t="shared" si="0"/>
        <v>2023</v>
      </c>
      <c r="C39" s="64">
        <f t="shared" si="1"/>
        <v>11</v>
      </c>
      <c r="D39" s="64" t="s">
        <v>116</v>
      </c>
      <c r="E39" s="77">
        <v>993</v>
      </c>
      <c r="F39" s="77">
        <v>712</v>
      </c>
      <c r="G39" s="80">
        <v>756498176</v>
      </c>
      <c r="H39" s="64">
        <v>24</v>
      </c>
      <c r="I39" s="64">
        <v>30</v>
      </c>
      <c r="J39" s="64">
        <v>2</v>
      </c>
      <c r="K39" s="77">
        <v>2346</v>
      </c>
      <c r="L39" s="77">
        <v>1863</v>
      </c>
      <c r="M39" s="80">
        <v>1362539731</v>
      </c>
      <c r="N39" s="64">
        <v>26</v>
      </c>
      <c r="O39" s="64">
        <v>33</v>
      </c>
      <c r="P39" s="64">
        <v>2</v>
      </c>
    </row>
    <row r="40" spans="1:16">
      <c r="A40" s="81">
        <v>45234</v>
      </c>
      <c r="B40" s="64">
        <f t="shared" si="0"/>
        <v>2023</v>
      </c>
      <c r="C40" s="64">
        <f t="shared" si="1"/>
        <v>11</v>
      </c>
      <c r="D40" s="64" t="s">
        <v>117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2106</v>
      </c>
      <c r="L40" s="77">
        <v>1916</v>
      </c>
      <c r="M40" s="80">
        <v>1191457255</v>
      </c>
      <c r="N40" s="64">
        <v>29</v>
      </c>
      <c r="O40" s="64">
        <v>17</v>
      </c>
      <c r="P40" s="64">
        <v>0</v>
      </c>
    </row>
    <row r="41" spans="1:16">
      <c r="A41" s="81">
        <v>45235</v>
      </c>
      <c r="B41" s="64">
        <f t="shared" si="0"/>
        <v>2023</v>
      </c>
      <c r="C41" s="64">
        <f t="shared" si="1"/>
        <v>11</v>
      </c>
      <c r="D41" s="64" t="s">
        <v>115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1551</v>
      </c>
      <c r="L41" s="77">
        <v>1286</v>
      </c>
      <c r="M41" s="80">
        <v>859821656</v>
      </c>
      <c r="N41" s="64">
        <v>24</v>
      </c>
      <c r="O41" s="64">
        <v>20</v>
      </c>
      <c r="P41" s="64">
        <v>0</v>
      </c>
    </row>
    <row r="42" spans="1:16">
      <c r="A42" s="81">
        <v>45261</v>
      </c>
      <c r="B42" s="64">
        <f t="shared" si="0"/>
        <v>2023</v>
      </c>
      <c r="C42" s="64">
        <f t="shared" si="1"/>
        <v>12</v>
      </c>
      <c r="D42" s="64" t="s">
        <v>113</v>
      </c>
      <c r="E42" s="77">
        <v>3163</v>
      </c>
      <c r="F42" s="77">
        <v>2790</v>
      </c>
      <c r="G42" s="80">
        <v>1320080632</v>
      </c>
      <c r="H42" s="64">
        <v>26</v>
      </c>
      <c r="I42" s="64">
        <v>17</v>
      </c>
      <c r="J42" s="64">
        <v>1</v>
      </c>
      <c r="K42" s="77">
        <v>39581</v>
      </c>
      <c r="L42" s="77">
        <v>35467</v>
      </c>
      <c r="M42" s="80">
        <v>17575690835</v>
      </c>
      <c r="N42" s="64">
        <v>27</v>
      </c>
      <c r="O42" s="64">
        <v>23</v>
      </c>
      <c r="P42" s="64">
        <v>1</v>
      </c>
    </row>
    <row r="43" spans="1:16">
      <c r="A43" s="81">
        <v>45262</v>
      </c>
      <c r="B43" s="64">
        <f t="shared" si="0"/>
        <v>2023</v>
      </c>
      <c r="C43" s="64">
        <f t="shared" si="1"/>
        <v>12</v>
      </c>
      <c r="D43" s="64" t="s">
        <v>111</v>
      </c>
      <c r="E43" s="77">
        <v>4805</v>
      </c>
      <c r="F43" s="77">
        <v>4249</v>
      </c>
      <c r="G43" s="80">
        <v>3241623943</v>
      </c>
      <c r="H43" s="64">
        <v>20</v>
      </c>
      <c r="I43" s="64">
        <v>19</v>
      </c>
      <c r="J43" s="64">
        <v>1</v>
      </c>
      <c r="K43" s="77">
        <v>26866</v>
      </c>
      <c r="L43" s="77">
        <v>24112</v>
      </c>
      <c r="M43" s="80">
        <v>17917171495</v>
      </c>
      <c r="N43" s="64">
        <v>21</v>
      </c>
      <c r="O43" s="64">
        <v>20</v>
      </c>
      <c r="P43" s="64">
        <v>1</v>
      </c>
    </row>
    <row r="44" spans="1:16">
      <c r="A44" s="81">
        <v>45263</v>
      </c>
      <c r="B44" s="64">
        <f t="shared" si="0"/>
        <v>2023</v>
      </c>
      <c r="C44" s="64">
        <f t="shared" si="1"/>
        <v>12</v>
      </c>
      <c r="D44" s="64" t="s">
        <v>116</v>
      </c>
      <c r="E44" s="77">
        <v>993</v>
      </c>
      <c r="F44" s="77">
        <v>712</v>
      </c>
      <c r="G44" s="80">
        <v>756498176</v>
      </c>
      <c r="H44" s="64">
        <v>24</v>
      </c>
      <c r="I44" s="64">
        <v>30</v>
      </c>
      <c r="J44" s="64">
        <v>2</v>
      </c>
      <c r="K44" s="77">
        <v>3298</v>
      </c>
      <c r="L44" s="77">
        <v>2712</v>
      </c>
      <c r="M44" s="80">
        <v>2048034022</v>
      </c>
      <c r="N44" s="64">
        <v>24</v>
      </c>
      <c r="O44" s="64">
        <v>31</v>
      </c>
      <c r="P44" s="64">
        <v>2</v>
      </c>
    </row>
    <row r="45" spans="1:16">
      <c r="A45" s="81">
        <v>45264</v>
      </c>
      <c r="B45" s="64">
        <f t="shared" si="0"/>
        <v>2023</v>
      </c>
      <c r="C45" s="64">
        <f t="shared" si="1"/>
        <v>12</v>
      </c>
      <c r="D45" s="64" t="s">
        <v>117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2505</v>
      </c>
      <c r="L45" s="77">
        <v>2269</v>
      </c>
      <c r="M45" s="80">
        <v>1304873506</v>
      </c>
      <c r="N45" s="64">
        <v>28</v>
      </c>
      <c r="O45" s="64">
        <v>16</v>
      </c>
      <c r="P45" s="64">
        <v>1</v>
      </c>
    </row>
    <row r="46" spans="1:16">
      <c r="A46" s="81">
        <v>45265</v>
      </c>
      <c r="B46" s="64">
        <f t="shared" si="0"/>
        <v>2023</v>
      </c>
      <c r="C46" s="64">
        <f t="shared" si="1"/>
        <v>12</v>
      </c>
      <c r="D46" s="64" t="s">
        <v>115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1551</v>
      </c>
      <c r="L46" s="77">
        <v>1286</v>
      </c>
      <c r="M46" s="80">
        <v>859821656</v>
      </c>
      <c r="N46" s="64">
        <v>24</v>
      </c>
      <c r="O46" s="64">
        <v>20</v>
      </c>
      <c r="P46" s="64">
        <v>0</v>
      </c>
    </row>
    <row r="47" spans="1:16">
      <c r="A47" s="81">
        <v>45266</v>
      </c>
      <c r="B47" s="64">
        <f t="shared" si="0"/>
        <v>2023</v>
      </c>
      <c r="C47" s="64">
        <f t="shared" si="1"/>
        <v>12</v>
      </c>
      <c r="D47" s="64" t="s">
        <v>118</v>
      </c>
      <c r="E47" s="64">
        <v>44</v>
      </c>
      <c r="F47" s="77">
        <v>41</v>
      </c>
      <c r="G47" s="80">
        <v>24651037</v>
      </c>
      <c r="H47" s="64">
        <v>34</v>
      </c>
      <c r="I47" s="64">
        <v>10</v>
      </c>
      <c r="J47" s="64">
        <v>1</v>
      </c>
      <c r="K47" s="64">
        <v>168</v>
      </c>
      <c r="L47" s="77">
        <v>139</v>
      </c>
      <c r="M47" s="80">
        <v>86919220</v>
      </c>
      <c r="N47" s="64">
        <v>33</v>
      </c>
      <c r="O47" s="64">
        <v>10</v>
      </c>
      <c r="P47" s="64">
        <v>1</v>
      </c>
    </row>
    <row r="48" spans="1:16">
      <c r="A48" s="78">
        <v>45292</v>
      </c>
      <c r="B48" s="64">
        <f t="shared" si="0"/>
        <v>2024</v>
      </c>
      <c r="C48" s="64">
        <f t="shared" si="1"/>
        <v>1</v>
      </c>
      <c r="D48" s="64" t="s">
        <v>111</v>
      </c>
      <c r="E48" s="77">
        <v>6047</v>
      </c>
      <c r="F48" s="77">
        <v>5325</v>
      </c>
      <c r="G48" s="80">
        <v>3742267747</v>
      </c>
      <c r="H48" s="64">
        <v>18</v>
      </c>
      <c r="I48" s="64">
        <v>16</v>
      </c>
      <c r="J48" s="64">
        <v>2.1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>
      <c r="A49" s="78">
        <v>45293</v>
      </c>
      <c r="B49" s="64">
        <f t="shared" si="0"/>
        <v>2024</v>
      </c>
      <c r="C49" s="64">
        <f t="shared" si="1"/>
        <v>1</v>
      </c>
      <c r="D49" s="64" t="s">
        <v>113</v>
      </c>
      <c r="E49" s="77">
        <v>4012</v>
      </c>
      <c r="F49" s="77">
        <v>3626</v>
      </c>
      <c r="G49" s="80">
        <v>1746070892</v>
      </c>
      <c r="H49" s="64">
        <v>27</v>
      </c>
      <c r="I49" s="64">
        <v>19</v>
      </c>
      <c r="J49" s="64">
        <v>1.8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>
      <c r="A50" s="78">
        <v>45294</v>
      </c>
      <c r="B50" s="64">
        <f t="shared" si="0"/>
        <v>2024</v>
      </c>
      <c r="C50" s="64">
        <f t="shared" si="1"/>
        <v>1</v>
      </c>
      <c r="D50" s="64" t="s">
        <v>118</v>
      </c>
      <c r="E50" s="64">
        <v>65</v>
      </c>
      <c r="F50" s="77">
        <v>61</v>
      </c>
      <c r="G50" s="80">
        <v>37408278</v>
      </c>
      <c r="H50" s="64">
        <v>27</v>
      </c>
      <c r="I50" s="64">
        <v>12</v>
      </c>
      <c r="J50" s="64">
        <v>2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</row>
    <row r="51" spans="1:16">
      <c r="A51" s="78">
        <v>45295</v>
      </c>
      <c r="B51" s="64">
        <f t="shared" si="0"/>
        <v>2024</v>
      </c>
      <c r="C51" s="64">
        <f t="shared" si="1"/>
        <v>1</v>
      </c>
      <c r="D51" s="64" t="s">
        <v>116</v>
      </c>
      <c r="E51" s="64">
        <v>0</v>
      </c>
      <c r="F51" s="77">
        <v>0</v>
      </c>
      <c r="G51" s="64">
        <v>0</v>
      </c>
      <c r="H51" s="64">
        <v>0</v>
      </c>
      <c r="I51" s="64">
        <v>0</v>
      </c>
      <c r="J51" s="64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>
      <c r="A52" s="78">
        <v>45296</v>
      </c>
      <c r="B52" s="64">
        <f t="shared" si="0"/>
        <v>2024</v>
      </c>
      <c r="C52" s="64">
        <f t="shared" si="1"/>
        <v>1</v>
      </c>
      <c r="D52" s="64" t="s">
        <v>117</v>
      </c>
      <c r="E52" s="64">
        <v>0</v>
      </c>
      <c r="F52" s="77">
        <v>0</v>
      </c>
      <c r="G52" s="64">
        <v>0</v>
      </c>
      <c r="H52" s="64">
        <v>0</v>
      </c>
      <c r="I52" s="64">
        <v>0</v>
      </c>
      <c r="J52" s="64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>
      <c r="A53" s="78">
        <v>45297</v>
      </c>
      <c r="B53" s="64">
        <f t="shared" si="0"/>
        <v>2024</v>
      </c>
      <c r="C53" s="64">
        <f t="shared" si="1"/>
        <v>1</v>
      </c>
      <c r="D53" s="64" t="s">
        <v>115</v>
      </c>
      <c r="E53" s="64">
        <v>0</v>
      </c>
      <c r="F53" s="77">
        <v>0</v>
      </c>
      <c r="G53" s="64">
        <v>0</v>
      </c>
      <c r="H53" s="64">
        <v>0</v>
      </c>
      <c r="I53" s="64">
        <v>0</v>
      </c>
      <c r="J53" s="64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>
      <c r="A54" s="78">
        <v>45323</v>
      </c>
      <c r="B54" s="64">
        <f t="shared" si="0"/>
        <v>2024</v>
      </c>
      <c r="C54" s="64">
        <f t="shared" si="1"/>
        <v>2</v>
      </c>
      <c r="D54" s="64" t="s">
        <v>111</v>
      </c>
      <c r="E54" s="77">
        <v>3468</v>
      </c>
      <c r="F54" s="77">
        <v>3091</v>
      </c>
      <c r="G54" s="80">
        <v>2370594771</v>
      </c>
      <c r="H54" s="64">
        <v>17</v>
      </c>
      <c r="I54" s="64">
        <v>21</v>
      </c>
      <c r="J54" s="64">
        <v>2.4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>
      <c r="A55" s="78">
        <v>45324</v>
      </c>
      <c r="B55" s="64">
        <f t="shared" si="0"/>
        <v>2024</v>
      </c>
      <c r="C55" s="64">
        <f t="shared" si="1"/>
        <v>2</v>
      </c>
      <c r="D55" s="64" t="s">
        <v>113</v>
      </c>
      <c r="E55" s="77">
        <v>4380</v>
      </c>
      <c r="F55" s="77">
        <v>3989</v>
      </c>
      <c r="G55" s="80">
        <v>2094177201</v>
      </c>
      <c r="H55" s="64">
        <v>26</v>
      </c>
      <c r="I55" s="64">
        <v>21</v>
      </c>
      <c r="J55" s="64">
        <v>1.8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>
      <c r="A56" s="78">
        <v>45325</v>
      </c>
      <c r="B56" s="64">
        <f t="shared" si="0"/>
        <v>2024</v>
      </c>
      <c r="C56" s="64">
        <f t="shared" si="1"/>
        <v>2</v>
      </c>
      <c r="D56" s="64" t="s">
        <v>118</v>
      </c>
      <c r="E56" s="64">
        <v>180</v>
      </c>
      <c r="F56" s="77">
        <v>170</v>
      </c>
      <c r="G56" s="80">
        <v>101807721</v>
      </c>
      <c r="H56" s="64">
        <v>27</v>
      </c>
      <c r="I56" s="64">
        <v>9</v>
      </c>
      <c r="J56" s="64">
        <v>2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</row>
    <row r="57" spans="1:16">
      <c r="A57" s="78">
        <v>45326</v>
      </c>
      <c r="B57" s="64">
        <f t="shared" si="0"/>
        <v>2024</v>
      </c>
      <c r="C57" s="64">
        <f t="shared" si="1"/>
        <v>2</v>
      </c>
      <c r="D57" s="64" t="s">
        <v>116</v>
      </c>
      <c r="E57" s="64">
        <v>0</v>
      </c>
      <c r="F57" s="77">
        <v>0</v>
      </c>
      <c r="G57" s="64">
        <v>0</v>
      </c>
      <c r="H57" s="64">
        <v>0</v>
      </c>
      <c r="I57" s="64">
        <v>0</v>
      </c>
      <c r="J57" s="64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</row>
    <row r="58" spans="1:16">
      <c r="A58" s="78">
        <v>45327</v>
      </c>
      <c r="B58" s="64">
        <f t="shared" si="0"/>
        <v>2024</v>
      </c>
      <c r="C58" s="64">
        <f t="shared" si="1"/>
        <v>2</v>
      </c>
      <c r="D58" s="64" t="s">
        <v>117</v>
      </c>
      <c r="E58" s="64">
        <v>0</v>
      </c>
      <c r="F58" s="77">
        <v>0</v>
      </c>
      <c r="G58" s="64">
        <v>0</v>
      </c>
      <c r="H58" s="64">
        <v>0</v>
      </c>
      <c r="I58" s="64">
        <v>0</v>
      </c>
      <c r="J58" s="64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>
      <c r="A59" s="78">
        <v>45328</v>
      </c>
      <c r="B59" s="64">
        <f t="shared" si="0"/>
        <v>2024</v>
      </c>
      <c r="C59" s="64">
        <f t="shared" si="1"/>
        <v>2</v>
      </c>
      <c r="D59" s="64" t="s">
        <v>115</v>
      </c>
      <c r="E59" s="64">
        <v>0</v>
      </c>
      <c r="F59" s="77">
        <v>0</v>
      </c>
      <c r="G59" s="64">
        <v>0</v>
      </c>
      <c r="H59" s="64">
        <v>0</v>
      </c>
      <c r="I59" s="64">
        <v>0</v>
      </c>
      <c r="J59" s="64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</row>
    <row r="60" spans="1:16">
      <c r="A60" s="78">
        <v>45352</v>
      </c>
      <c r="B60" s="64">
        <f t="shared" si="0"/>
        <v>2024</v>
      </c>
      <c r="C60" s="64">
        <f t="shared" si="1"/>
        <v>3</v>
      </c>
      <c r="D60" s="64" t="s">
        <v>111</v>
      </c>
      <c r="E60" s="77">
        <v>2440</v>
      </c>
      <c r="F60" s="77">
        <v>2238</v>
      </c>
      <c r="G60" s="80">
        <v>1399863070</v>
      </c>
      <c r="H60" s="64">
        <v>20</v>
      </c>
      <c r="I60" s="64">
        <v>20</v>
      </c>
      <c r="J60" s="64">
        <v>1.2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>
      <c r="A61" s="78">
        <v>45352</v>
      </c>
      <c r="B61" s="64">
        <f t="shared" si="0"/>
        <v>2024</v>
      </c>
      <c r="C61" s="64">
        <f t="shared" si="1"/>
        <v>3</v>
      </c>
      <c r="D61" s="64" t="s">
        <v>113</v>
      </c>
      <c r="E61" s="77">
        <v>5601</v>
      </c>
      <c r="F61" s="77">
        <v>4976</v>
      </c>
      <c r="G61" s="80">
        <v>2613464333</v>
      </c>
      <c r="H61" s="64">
        <v>27</v>
      </c>
      <c r="I61" s="64">
        <v>19</v>
      </c>
      <c r="J61" s="64">
        <v>0.8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</row>
    <row r="62" spans="1:16">
      <c r="A62" s="78">
        <v>45352</v>
      </c>
      <c r="B62" s="64">
        <f t="shared" si="0"/>
        <v>2024</v>
      </c>
      <c r="C62" s="64">
        <f t="shared" si="1"/>
        <v>3</v>
      </c>
      <c r="D62" s="64" t="s">
        <v>118</v>
      </c>
      <c r="E62" s="64">
        <v>154</v>
      </c>
      <c r="F62" s="77">
        <v>141</v>
      </c>
      <c r="G62" s="80">
        <v>85056263</v>
      </c>
      <c r="H62" s="64">
        <v>26</v>
      </c>
      <c r="I62" s="64">
        <v>11</v>
      </c>
      <c r="J62" s="64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>
      <c r="A63" s="78">
        <v>45352</v>
      </c>
      <c r="B63" s="64">
        <f t="shared" si="0"/>
        <v>2024</v>
      </c>
      <c r="C63" s="64">
        <f t="shared" si="1"/>
        <v>3</v>
      </c>
      <c r="D63" s="64" t="s">
        <v>116</v>
      </c>
      <c r="E63" s="64">
        <v>54</v>
      </c>
      <c r="F63" s="77">
        <v>35</v>
      </c>
      <c r="G63" s="80">
        <v>25079941</v>
      </c>
      <c r="H63" s="64">
        <v>27</v>
      </c>
      <c r="I63" s="64">
        <v>15</v>
      </c>
      <c r="J63" s="64">
        <v>1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>
      <c r="A64" s="78">
        <v>45352</v>
      </c>
      <c r="B64" s="64">
        <f t="shared" si="0"/>
        <v>2024</v>
      </c>
      <c r="C64" s="64">
        <f t="shared" si="1"/>
        <v>3</v>
      </c>
      <c r="D64" s="64" t="s">
        <v>117</v>
      </c>
      <c r="E64" s="64">
        <v>399</v>
      </c>
      <c r="F64" s="77">
        <v>338</v>
      </c>
      <c r="G64" s="80">
        <v>123224051</v>
      </c>
      <c r="H64" s="64">
        <v>23</v>
      </c>
      <c r="I64" s="64">
        <v>15</v>
      </c>
      <c r="J64" s="64">
        <v>0.9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>
      <c r="A65" s="78">
        <v>45383</v>
      </c>
      <c r="B65" s="64">
        <f t="shared" si="0"/>
        <v>2024</v>
      </c>
      <c r="C65" s="64">
        <f t="shared" si="1"/>
        <v>4</v>
      </c>
      <c r="D65" s="64" t="s">
        <v>113</v>
      </c>
      <c r="E65" s="77">
        <v>2567</v>
      </c>
      <c r="F65" s="77">
        <v>2326</v>
      </c>
      <c r="G65" s="80">
        <v>930689145</v>
      </c>
      <c r="H65" s="64">
        <v>28</v>
      </c>
      <c r="I65" s="64">
        <v>22</v>
      </c>
      <c r="J65" s="64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</row>
    <row r="66" spans="1:16">
      <c r="A66" s="78">
        <v>45383</v>
      </c>
      <c r="B66" s="64">
        <f t="shared" si="0"/>
        <v>2024</v>
      </c>
      <c r="C66" s="64">
        <f t="shared" si="1"/>
        <v>4</v>
      </c>
      <c r="D66" s="64" t="s">
        <v>111</v>
      </c>
      <c r="E66" s="77">
        <v>582</v>
      </c>
      <c r="F66" s="77">
        <v>555</v>
      </c>
      <c r="G66" s="80">
        <v>283417055</v>
      </c>
      <c r="H66" s="64">
        <v>21</v>
      </c>
      <c r="I66" s="64">
        <v>15</v>
      </c>
      <c r="J66" s="64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</row>
    <row r="67" spans="1:16">
      <c r="A67" s="78">
        <v>45383</v>
      </c>
      <c r="B67" s="64">
        <f t="shared" si="0"/>
        <v>2024</v>
      </c>
      <c r="C67" s="64">
        <f t="shared" si="1"/>
        <v>4</v>
      </c>
      <c r="D67" s="64" t="s">
        <v>117</v>
      </c>
      <c r="E67" s="64">
        <v>198</v>
      </c>
      <c r="F67" s="77">
        <v>164</v>
      </c>
      <c r="G67" s="80">
        <v>56644725</v>
      </c>
      <c r="H67" s="64">
        <v>22</v>
      </c>
      <c r="I67" s="64">
        <v>16</v>
      </c>
      <c r="J67" s="64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</row>
    <row r="68" spans="1:16">
      <c r="A68" s="78">
        <v>45383</v>
      </c>
      <c r="B68" s="64">
        <f t="shared" si="0"/>
        <v>2024</v>
      </c>
      <c r="C68" s="64">
        <f t="shared" si="1"/>
        <v>4</v>
      </c>
      <c r="D68" s="64" t="s">
        <v>116</v>
      </c>
      <c r="E68" s="64">
        <v>361</v>
      </c>
      <c r="F68" s="77">
        <v>316</v>
      </c>
      <c r="G68" s="80">
        <v>179329420</v>
      </c>
      <c r="H68" s="64">
        <v>21</v>
      </c>
      <c r="I68" s="64">
        <v>16</v>
      </c>
      <c r="J68" s="64">
        <v>1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</row>
    <row r="69" spans="1:16">
      <c r="A69" s="78">
        <v>45383</v>
      </c>
      <c r="B69" s="64">
        <f t="shared" si="0"/>
        <v>2024</v>
      </c>
      <c r="C69" s="64">
        <f t="shared" si="1"/>
        <v>4</v>
      </c>
      <c r="D69" s="64" t="s">
        <v>118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1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</row>
    <row r="70" spans="1:16">
      <c r="A70" s="78">
        <v>45383</v>
      </c>
      <c r="B70" s="64">
        <f t="shared" si="0"/>
        <v>2024</v>
      </c>
      <c r="C70" s="64">
        <f t="shared" si="1"/>
        <v>4</v>
      </c>
      <c r="D70" s="64" t="s">
        <v>115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>
      <c r="A71" s="78">
        <v>45413</v>
      </c>
      <c r="B71" s="64">
        <f t="shared" si="0"/>
        <v>2024</v>
      </c>
      <c r="C71" s="64">
        <f t="shared" si="1"/>
        <v>5</v>
      </c>
      <c r="D71" s="64" t="s">
        <v>113</v>
      </c>
      <c r="E71" s="77">
        <v>1934</v>
      </c>
      <c r="F71" s="77">
        <v>1710</v>
      </c>
      <c r="G71" s="80">
        <v>609150572</v>
      </c>
      <c r="H71" s="64">
        <v>27</v>
      </c>
      <c r="I71" s="64">
        <v>21</v>
      </c>
      <c r="J71" s="64">
        <v>1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>
      <c r="A72" s="78">
        <v>45413</v>
      </c>
      <c r="B72" s="64">
        <f t="shared" si="0"/>
        <v>2024</v>
      </c>
      <c r="C72" s="64">
        <f t="shared" si="1"/>
        <v>5</v>
      </c>
      <c r="D72" s="64" t="s">
        <v>111</v>
      </c>
      <c r="E72" s="77">
        <v>1800</v>
      </c>
      <c r="F72" s="77">
        <v>1687</v>
      </c>
      <c r="G72" s="80">
        <v>754626752</v>
      </c>
      <c r="H72" s="64">
        <v>18</v>
      </c>
      <c r="I72" s="64">
        <v>13</v>
      </c>
      <c r="J72" s="64">
        <v>0.8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>
      <c r="A73" s="78">
        <v>45413</v>
      </c>
      <c r="B73" s="64">
        <f t="shared" si="0"/>
        <v>2024</v>
      </c>
      <c r="C73" s="64">
        <f t="shared" si="1"/>
        <v>5</v>
      </c>
      <c r="D73" s="64" t="s">
        <v>117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</row>
    <row r="74" spans="1:16">
      <c r="A74" s="78">
        <v>45413</v>
      </c>
      <c r="B74" s="64">
        <f t="shared" si="0"/>
        <v>2024</v>
      </c>
      <c r="C74" s="64">
        <f t="shared" si="1"/>
        <v>5</v>
      </c>
      <c r="D74" s="64" t="s">
        <v>116</v>
      </c>
      <c r="E74" s="64">
        <v>312</v>
      </c>
      <c r="F74" s="64">
        <v>285</v>
      </c>
      <c r="G74" s="80">
        <v>170356421</v>
      </c>
      <c r="H74" s="64">
        <v>9</v>
      </c>
      <c r="I74" s="64">
        <v>6</v>
      </c>
      <c r="J74" s="64">
        <v>1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>
      <c r="A75" s="78">
        <v>45413</v>
      </c>
      <c r="B75" s="64">
        <f t="shared" si="0"/>
        <v>2024</v>
      </c>
      <c r="C75" s="64">
        <f t="shared" si="1"/>
        <v>5</v>
      </c>
      <c r="D75" s="64" t="s">
        <v>118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>
      <c r="A76" s="78">
        <v>45413</v>
      </c>
      <c r="B76" s="64">
        <f t="shared" si="0"/>
        <v>2024</v>
      </c>
      <c r="C76" s="64">
        <f t="shared" si="1"/>
        <v>5</v>
      </c>
      <c r="D76" s="64" t="s">
        <v>115</v>
      </c>
      <c r="E76" s="64" t="s">
        <v>107</v>
      </c>
      <c r="F76" s="64" t="s">
        <v>107</v>
      </c>
      <c r="G76" s="64" t="s">
        <v>109</v>
      </c>
      <c r="H76" s="64" t="s">
        <v>107</v>
      </c>
      <c r="I76" s="64" t="s">
        <v>107</v>
      </c>
      <c r="J76" s="64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>
      <c r="A77" s="78">
        <v>45444</v>
      </c>
      <c r="B77" s="64">
        <f t="shared" si="0"/>
        <v>2024</v>
      </c>
      <c r="C77" s="64">
        <f t="shared" si="1"/>
        <v>6</v>
      </c>
      <c r="D77" s="64" t="s">
        <v>113</v>
      </c>
      <c r="E77" s="77">
        <v>3982</v>
      </c>
      <c r="F77" s="77">
        <v>3642</v>
      </c>
      <c r="G77" s="80">
        <v>1864907539</v>
      </c>
      <c r="H77" s="64">
        <v>29</v>
      </c>
      <c r="I77" s="64">
        <v>23</v>
      </c>
      <c r="J77" s="64">
        <v>0.96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>
      <c r="A78" s="78">
        <v>45444</v>
      </c>
      <c r="B78" s="64">
        <f t="shared" si="0"/>
        <v>2024</v>
      </c>
      <c r="C78" s="64">
        <f t="shared" si="1"/>
        <v>6</v>
      </c>
      <c r="D78" s="64" t="s">
        <v>111</v>
      </c>
      <c r="E78" s="77">
        <v>2583</v>
      </c>
      <c r="F78" s="77">
        <v>2352</v>
      </c>
      <c r="G78" s="80">
        <v>1394637184</v>
      </c>
      <c r="H78" s="64">
        <v>21</v>
      </c>
      <c r="I78" s="64">
        <v>14</v>
      </c>
      <c r="J78" s="64">
        <v>0.92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</row>
    <row r="79" spans="1:16">
      <c r="A79" s="78">
        <v>45444</v>
      </c>
      <c r="B79" s="64">
        <f t="shared" si="0"/>
        <v>2024</v>
      </c>
      <c r="C79" s="64">
        <f t="shared" si="1"/>
        <v>6</v>
      </c>
      <c r="D79" s="64" t="s">
        <v>116</v>
      </c>
      <c r="E79" s="77">
        <v>1828</v>
      </c>
      <c r="F79" s="77">
        <v>1016</v>
      </c>
      <c r="G79" s="80">
        <v>1753069425</v>
      </c>
      <c r="H79" s="64">
        <v>48</v>
      </c>
      <c r="I79" s="64">
        <v>54</v>
      </c>
      <c r="J79" s="64">
        <v>0.77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</row>
    <row r="80" spans="1:16">
      <c r="A80" s="78">
        <v>45444</v>
      </c>
      <c r="B80" s="64">
        <f t="shared" si="0"/>
        <v>2024</v>
      </c>
      <c r="C80" s="64">
        <f t="shared" si="1"/>
        <v>6</v>
      </c>
      <c r="D80" s="64" t="s">
        <v>117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>
      <c r="A81" s="78">
        <v>45444</v>
      </c>
      <c r="B81" s="64">
        <f t="shared" si="0"/>
        <v>2024</v>
      </c>
      <c r="C81" s="64">
        <f t="shared" si="1"/>
        <v>6</v>
      </c>
      <c r="D81" s="64" t="s">
        <v>118</v>
      </c>
      <c r="E81" s="64">
        <v>54</v>
      </c>
      <c r="F81" s="64">
        <v>46</v>
      </c>
      <c r="G81" s="80">
        <v>29756500</v>
      </c>
      <c r="H81" s="64">
        <v>27</v>
      </c>
      <c r="I81" s="64">
        <v>10</v>
      </c>
      <c r="J81" s="64">
        <v>1.1399999999999999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>
      <c r="A82" s="78">
        <v>45444</v>
      </c>
      <c r="B82" s="64">
        <f t="shared" si="0"/>
        <v>2024</v>
      </c>
      <c r="C82" s="64">
        <f t="shared" si="1"/>
        <v>6</v>
      </c>
      <c r="D82" s="64" t="s">
        <v>115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</row>
    <row r="83" spans="1:16">
      <c r="A83" s="78">
        <v>45474</v>
      </c>
      <c r="B83" s="64">
        <f t="shared" si="0"/>
        <v>2024</v>
      </c>
      <c r="C83" s="64">
        <f t="shared" si="1"/>
        <v>7</v>
      </c>
      <c r="D83" s="64" t="s">
        <v>111</v>
      </c>
      <c r="E83" s="77">
        <v>2069</v>
      </c>
      <c r="F83" s="77">
        <v>1918</v>
      </c>
      <c r="G83" s="82">
        <v>1234651848</v>
      </c>
      <c r="H83" s="64">
        <v>26</v>
      </c>
      <c r="I83" s="64">
        <v>57</v>
      </c>
      <c r="J83" s="64">
        <v>0.91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>
      <c r="A84" s="78">
        <v>45475</v>
      </c>
      <c r="B84" s="64">
        <f t="shared" si="0"/>
        <v>2024</v>
      </c>
      <c r="C84" s="64">
        <f t="shared" si="1"/>
        <v>7</v>
      </c>
      <c r="D84" s="64" t="s">
        <v>116</v>
      </c>
      <c r="E84" s="64">
        <v>242</v>
      </c>
      <c r="F84" s="77">
        <v>232</v>
      </c>
      <c r="G84" s="82">
        <v>84771495</v>
      </c>
      <c r="H84" s="64">
        <v>25</v>
      </c>
      <c r="I84" s="64">
        <v>47</v>
      </c>
      <c r="J84" s="64">
        <v>0.97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>
      <c r="A85" s="78">
        <v>45476</v>
      </c>
      <c r="B85" s="64">
        <f t="shared" si="0"/>
        <v>2024</v>
      </c>
      <c r="C85" s="64">
        <f t="shared" si="1"/>
        <v>7</v>
      </c>
      <c r="D85" s="64" t="s">
        <v>103</v>
      </c>
      <c r="E85" s="77">
        <v>0</v>
      </c>
      <c r="F85" s="77">
        <v>0</v>
      </c>
      <c r="G85" s="64">
        <v>0</v>
      </c>
      <c r="H85" s="64">
        <v>0</v>
      </c>
      <c r="I85" s="64">
        <v>0</v>
      </c>
      <c r="J85" s="64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</row>
    <row r="86" spans="1:16">
      <c r="A86" s="78">
        <v>45477</v>
      </c>
      <c r="B86" s="64">
        <f t="shared" si="0"/>
        <v>2024</v>
      </c>
      <c r="C86" s="64">
        <f t="shared" si="1"/>
        <v>7</v>
      </c>
      <c r="D86" s="64" t="s">
        <v>119</v>
      </c>
      <c r="E86" s="64">
        <v>503</v>
      </c>
      <c r="F86" s="77">
        <v>398</v>
      </c>
      <c r="G86" s="82">
        <v>186379965</v>
      </c>
      <c r="H86" s="64">
        <v>27</v>
      </c>
      <c r="I86" s="64">
        <v>70</v>
      </c>
      <c r="J86" s="64">
        <v>1.1000000000000001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</row>
    <row r="87" spans="1:16">
      <c r="A87" s="78">
        <v>45478</v>
      </c>
      <c r="B87" s="64">
        <f t="shared" si="0"/>
        <v>2024</v>
      </c>
      <c r="C87" s="64">
        <f t="shared" si="1"/>
        <v>7</v>
      </c>
      <c r="D87" s="64" t="s">
        <v>115</v>
      </c>
      <c r="E87" s="77">
        <v>0</v>
      </c>
      <c r="F87" s="77">
        <v>0</v>
      </c>
      <c r="G87" s="64">
        <v>0</v>
      </c>
      <c r="H87" s="64">
        <v>0</v>
      </c>
      <c r="I87" s="64">
        <v>0</v>
      </c>
      <c r="J87" s="64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</row>
    <row r="88" spans="1:16">
      <c r="A88" s="78">
        <v>45479</v>
      </c>
      <c r="B88" s="64">
        <f t="shared" si="0"/>
        <v>2024</v>
      </c>
      <c r="C88" s="64">
        <f t="shared" si="1"/>
        <v>7</v>
      </c>
      <c r="D88" s="64" t="s">
        <v>120</v>
      </c>
      <c r="E88" s="77">
        <v>0</v>
      </c>
      <c r="F88" s="77">
        <v>0</v>
      </c>
      <c r="G88" s="64">
        <v>0</v>
      </c>
      <c r="H88" s="64">
        <v>0</v>
      </c>
      <c r="I88" s="64">
        <v>0</v>
      </c>
      <c r="J88" s="64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>
      <c r="A89" s="78">
        <v>45480</v>
      </c>
      <c r="B89" s="64">
        <f t="shared" si="0"/>
        <v>2024</v>
      </c>
      <c r="C89" s="64">
        <f t="shared" si="1"/>
        <v>7</v>
      </c>
      <c r="D89" s="64" t="s">
        <v>113</v>
      </c>
      <c r="E89" s="77">
        <v>2443</v>
      </c>
      <c r="F89" s="77">
        <v>2191</v>
      </c>
      <c r="G89" s="82">
        <v>1230082968</v>
      </c>
      <c r="H89" s="64">
        <v>25</v>
      </c>
      <c r="I89" s="64">
        <v>47</v>
      </c>
      <c r="J89" s="64">
        <v>1.0024999999999999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>
      <c r="A90" s="78">
        <v>45481</v>
      </c>
      <c r="B90" s="64">
        <f t="shared" si="0"/>
        <v>2024</v>
      </c>
      <c r="C90" s="64">
        <f t="shared" si="1"/>
        <v>7</v>
      </c>
      <c r="D90" s="64" t="s">
        <v>118</v>
      </c>
      <c r="E90" s="64">
        <v>85</v>
      </c>
      <c r="F90" s="77">
        <v>83</v>
      </c>
      <c r="G90" s="82">
        <v>48464152</v>
      </c>
      <c r="H90" s="64">
        <v>25</v>
      </c>
      <c r="I90" s="64">
        <v>62</v>
      </c>
      <c r="J90" s="64">
        <v>0.96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</row>
    <row r="91" spans="1:16">
      <c r="A91" s="78">
        <v>45505</v>
      </c>
      <c r="B91" s="64">
        <f t="shared" si="0"/>
        <v>2024</v>
      </c>
      <c r="C91" s="64">
        <f t="shared" si="1"/>
        <v>8</v>
      </c>
      <c r="D91" s="64" t="s">
        <v>111</v>
      </c>
      <c r="E91" s="64">
        <v>915</v>
      </c>
      <c r="F91" s="77">
        <v>868</v>
      </c>
      <c r="G91" s="82">
        <v>462457782</v>
      </c>
      <c r="H91" s="64">
        <v>19</v>
      </c>
      <c r="I91" s="64">
        <v>11</v>
      </c>
      <c r="J91" s="64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>
      <c r="A92" s="78">
        <v>45505</v>
      </c>
      <c r="B92" s="64">
        <f t="shared" si="0"/>
        <v>2024</v>
      </c>
      <c r="C92" s="64">
        <f t="shared" si="1"/>
        <v>8</v>
      </c>
      <c r="D92" s="64" t="s">
        <v>116</v>
      </c>
      <c r="E92" s="64">
        <v>0</v>
      </c>
      <c r="F92" s="77">
        <v>0</v>
      </c>
      <c r="G92" s="64">
        <v>0</v>
      </c>
      <c r="H92" s="64">
        <v>0</v>
      </c>
      <c r="I92" s="64">
        <v>0</v>
      </c>
      <c r="J92" s="64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>
      <c r="A93" s="78">
        <v>45505</v>
      </c>
      <c r="B93" s="64">
        <f t="shared" si="0"/>
        <v>2024</v>
      </c>
      <c r="C93" s="64">
        <f t="shared" si="1"/>
        <v>8</v>
      </c>
      <c r="D93" s="64" t="s">
        <v>103</v>
      </c>
      <c r="E93" s="64">
        <v>0</v>
      </c>
      <c r="F93" s="77">
        <v>0</v>
      </c>
      <c r="G93" s="64">
        <v>0</v>
      </c>
      <c r="H93" s="64">
        <v>0</v>
      </c>
      <c r="I93" s="64">
        <v>0</v>
      </c>
      <c r="J93" s="64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</row>
    <row r="94" spans="1:16">
      <c r="A94" s="78">
        <v>45505</v>
      </c>
      <c r="B94" s="64">
        <f t="shared" si="0"/>
        <v>2024</v>
      </c>
      <c r="C94" s="64">
        <f t="shared" si="1"/>
        <v>8</v>
      </c>
      <c r="D94" s="64" t="s">
        <v>119</v>
      </c>
      <c r="E94" s="64">
        <v>0</v>
      </c>
      <c r="F94" s="77">
        <v>0</v>
      </c>
      <c r="G94" s="64">
        <v>0</v>
      </c>
      <c r="H94" s="64">
        <v>0</v>
      </c>
      <c r="I94" s="64">
        <v>0</v>
      </c>
      <c r="J94" s="64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>
      <c r="A95" s="78">
        <v>45505</v>
      </c>
      <c r="B95" s="64">
        <f t="shared" si="0"/>
        <v>2024</v>
      </c>
      <c r="C95" s="64">
        <f t="shared" si="1"/>
        <v>8</v>
      </c>
      <c r="D95" s="64" t="s">
        <v>115</v>
      </c>
      <c r="E95" s="64">
        <v>0</v>
      </c>
      <c r="F95" s="77">
        <v>0</v>
      </c>
      <c r="G95" s="64">
        <v>0</v>
      </c>
      <c r="H95" s="64">
        <v>0</v>
      </c>
      <c r="I95" s="64">
        <v>0</v>
      </c>
      <c r="J95" s="64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>
      <c r="A96" s="78">
        <v>45505</v>
      </c>
      <c r="B96" s="64">
        <f t="shared" si="0"/>
        <v>2024</v>
      </c>
      <c r="C96" s="64">
        <f t="shared" si="1"/>
        <v>8</v>
      </c>
      <c r="D96" s="64" t="s">
        <v>120</v>
      </c>
      <c r="E96" s="64">
        <v>0</v>
      </c>
      <c r="F96" s="77">
        <v>0</v>
      </c>
      <c r="G96" s="64">
        <v>0</v>
      </c>
      <c r="H96" s="64">
        <v>0</v>
      </c>
      <c r="I96" s="64">
        <v>0</v>
      </c>
      <c r="J96" s="64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>
      <c r="A97" s="78">
        <v>45505</v>
      </c>
      <c r="B97" s="64">
        <f t="shared" si="0"/>
        <v>2024</v>
      </c>
      <c r="C97" s="64">
        <f t="shared" si="1"/>
        <v>8</v>
      </c>
      <c r="D97" s="63" t="s">
        <v>113</v>
      </c>
      <c r="E97" s="77">
        <v>4939</v>
      </c>
      <c r="F97" s="77">
        <v>4408</v>
      </c>
      <c r="G97" s="82">
        <v>2289185647</v>
      </c>
      <c r="H97" s="64">
        <v>26</v>
      </c>
      <c r="I97" s="64">
        <v>19</v>
      </c>
      <c r="J97" s="64">
        <v>0.9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</row>
    <row r="98" spans="1:16">
      <c r="A98" s="78">
        <v>45505</v>
      </c>
      <c r="B98" s="64">
        <f t="shared" si="0"/>
        <v>2024</v>
      </c>
      <c r="C98" s="64">
        <f t="shared" si="1"/>
        <v>8</v>
      </c>
      <c r="D98" s="63" t="s">
        <v>118</v>
      </c>
      <c r="E98" s="64">
        <v>72</v>
      </c>
      <c r="F98" s="77">
        <v>64</v>
      </c>
      <c r="G98" s="82">
        <v>41750612</v>
      </c>
      <c r="H98" s="64">
        <v>21</v>
      </c>
      <c r="I98" s="64">
        <v>6</v>
      </c>
      <c r="J98" s="64">
        <v>0.9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>
      <c r="A99" s="78">
        <v>45536</v>
      </c>
      <c r="B99" s="64">
        <f t="shared" si="0"/>
        <v>2024</v>
      </c>
      <c r="C99" s="64">
        <f t="shared" si="1"/>
        <v>9</v>
      </c>
      <c r="D99" s="63" t="s">
        <v>119</v>
      </c>
      <c r="E99" s="77">
        <v>134</v>
      </c>
      <c r="F99" s="77">
        <v>100</v>
      </c>
      <c r="G99" s="80">
        <v>41787020</v>
      </c>
      <c r="H99" s="83">
        <v>16.850000000000001</v>
      </c>
      <c r="I99" s="83">
        <v>20.05</v>
      </c>
      <c r="J99" s="64">
        <v>1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>
      <c r="A100" s="78">
        <v>45536</v>
      </c>
      <c r="B100" s="64">
        <f t="shared" si="0"/>
        <v>2024</v>
      </c>
      <c r="C100" s="64">
        <f t="shared" si="1"/>
        <v>9</v>
      </c>
      <c r="D100" s="63" t="s">
        <v>116</v>
      </c>
      <c r="E100" s="77">
        <v>19</v>
      </c>
      <c r="F100" s="77">
        <v>12</v>
      </c>
      <c r="G100" s="80">
        <v>8480494</v>
      </c>
      <c r="H100" s="83">
        <v>27.91</v>
      </c>
      <c r="I100" s="83">
        <v>1.08</v>
      </c>
      <c r="J100" s="64">
        <v>0.4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</row>
    <row r="101" spans="1:16">
      <c r="A101" s="78">
        <v>45536</v>
      </c>
      <c r="B101" s="64">
        <f t="shared" si="0"/>
        <v>2024</v>
      </c>
      <c r="C101" s="64">
        <f t="shared" si="1"/>
        <v>9</v>
      </c>
      <c r="D101" s="63" t="s">
        <v>118</v>
      </c>
      <c r="E101" s="77">
        <v>61</v>
      </c>
      <c r="F101" s="77">
        <v>56</v>
      </c>
      <c r="G101" s="80">
        <v>32059377</v>
      </c>
      <c r="H101" s="83">
        <v>39.159999999999997</v>
      </c>
      <c r="I101" s="83">
        <v>15.26</v>
      </c>
      <c r="J101" s="64">
        <v>0.6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>
      <c r="A102" s="78">
        <v>45536</v>
      </c>
      <c r="B102" s="64">
        <f t="shared" si="0"/>
        <v>2024</v>
      </c>
      <c r="C102" s="64">
        <f t="shared" si="1"/>
        <v>9</v>
      </c>
      <c r="D102" s="64" t="s">
        <v>111</v>
      </c>
      <c r="E102" s="77">
        <v>711</v>
      </c>
      <c r="F102" s="77">
        <v>624</v>
      </c>
      <c r="G102" s="80">
        <v>324916395</v>
      </c>
      <c r="H102" s="83">
        <v>15.66</v>
      </c>
      <c r="I102" s="83">
        <v>11.7</v>
      </c>
      <c r="J102" s="64">
        <v>0.9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>
      <c r="A103" s="78">
        <v>45536</v>
      </c>
      <c r="B103" s="64">
        <f t="shared" si="0"/>
        <v>2024</v>
      </c>
      <c r="C103" s="64">
        <f t="shared" si="1"/>
        <v>9</v>
      </c>
      <c r="D103" s="64" t="s">
        <v>113</v>
      </c>
      <c r="E103" s="64">
        <v>4980</v>
      </c>
      <c r="F103" s="77">
        <v>4458</v>
      </c>
      <c r="G103" s="80">
        <v>2289820635</v>
      </c>
      <c r="H103" s="83">
        <v>26.36</v>
      </c>
      <c r="I103" s="83">
        <v>20.22</v>
      </c>
      <c r="J103" s="64">
        <v>0.9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</row>
    <row r="104" spans="1:16">
      <c r="A104" s="78">
        <v>45566</v>
      </c>
      <c r="B104" s="64">
        <v>2024</v>
      </c>
      <c r="C104" s="64">
        <v>10</v>
      </c>
      <c r="D104" s="64" t="s">
        <v>111</v>
      </c>
      <c r="E104" s="64">
        <v>711</v>
      </c>
      <c r="F104" s="64">
        <v>624</v>
      </c>
      <c r="G104" s="84">
        <v>324916395</v>
      </c>
      <c r="H104" s="83">
        <v>16</v>
      </c>
      <c r="I104" s="83">
        <v>12</v>
      </c>
      <c r="J104" s="85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>
      <c r="A105" s="78">
        <v>45566</v>
      </c>
      <c r="B105" s="64">
        <v>2024</v>
      </c>
      <c r="C105" s="64">
        <v>10</v>
      </c>
      <c r="D105" s="64" t="s">
        <v>113</v>
      </c>
      <c r="E105" s="77">
        <v>4980</v>
      </c>
      <c r="F105" s="77">
        <v>4458</v>
      </c>
      <c r="G105" s="77">
        <v>2289820635</v>
      </c>
      <c r="H105" s="64">
        <v>26</v>
      </c>
      <c r="I105" s="64">
        <v>20</v>
      </c>
      <c r="J105" s="64">
        <v>0.9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>
      <c r="A106" s="78">
        <v>45566</v>
      </c>
      <c r="B106" s="64">
        <v>2024</v>
      </c>
      <c r="C106" s="64">
        <v>10</v>
      </c>
      <c r="D106" s="64" t="s">
        <v>116</v>
      </c>
      <c r="E106" s="64">
        <v>19</v>
      </c>
      <c r="F106" s="64">
        <v>12</v>
      </c>
      <c r="G106" s="84">
        <v>8480494</v>
      </c>
      <c r="H106" s="83">
        <v>28</v>
      </c>
      <c r="I106" s="83">
        <v>1</v>
      </c>
      <c r="J106" s="64">
        <v>0.9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>
      <c r="A107" s="78">
        <v>45566</v>
      </c>
      <c r="B107" s="64">
        <v>2024</v>
      </c>
      <c r="C107" s="64">
        <v>10</v>
      </c>
      <c r="D107" s="64" t="s">
        <v>119</v>
      </c>
      <c r="E107" s="64">
        <v>134</v>
      </c>
      <c r="F107" s="64">
        <v>100</v>
      </c>
      <c r="G107" s="84">
        <v>41787020</v>
      </c>
      <c r="H107" s="83">
        <v>17</v>
      </c>
      <c r="I107" s="83">
        <v>20</v>
      </c>
      <c r="J107" s="85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>
      <c r="A108" s="78">
        <v>45567</v>
      </c>
      <c r="B108" s="64">
        <v>2024</v>
      </c>
      <c r="C108" s="64">
        <v>10</v>
      </c>
      <c r="D108" s="64" t="s">
        <v>118</v>
      </c>
      <c r="E108" s="64">
        <v>61</v>
      </c>
      <c r="F108" s="64">
        <v>56</v>
      </c>
      <c r="G108" s="84">
        <v>32059377</v>
      </c>
      <c r="H108" s="83">
        <v>39</v>
      </c>
      <c r="I108" s="83">
        <v>15</v>
      </c>
      <c r="J108" s="85">
        <v>1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>
      <c r="A109" s="78">
        <v>45597</v>
      </c>
      <c r="B109" s="64">
        <v>2024</v>
      </c>
      <c r="C109" s="64">
        <v>11</v>
      </c>
      <c r="D109" s="64" t="s">
        <v>111</v>
      </c>
      <c r="E109" s="77">
        <v>1067</v>
      </c>
      <c r="F109" s="77">
        <v>836</v>
      </c>
      <c r="G109" s="80">
        <v>385967359</v>
      </c>
      <c r="H109" s="64">
        <v>18</v>
      </c>
      <c r="I109" s="64">
        <v>15</v>
      </c>
      <c r="J109" s="64">
        <v>0.6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</row>
    <row r="110" spans="1:16">
      <c r="A110" s="78">
        <v>45597</v>
      </c>
      <c r="B110" s="64">
        <v>2024</v>
      </c>
      <c r="C110" s="64">
        <v>11</v>
      </c>
      <c r="D110" s="64" t="s">
        <v>116</v>
      </c>
      <c r="E110" s="77">
        <v>641</v>
      </c>
      <c r="F110" s="77">
        <v>516</v>
      </c>
      <c r="G110" s="80">
        <v>259250047</v>
      </c>
      <c r="H110" s="64">
        <v>21</v>
      </c>
      <c r="I110" s="64">
        <v>14</v>
      </c>
      <c r="J110" s="64">
        <v>1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>
      <c r="A111" s="78">
        <v>45597</v>
      </c>
      <c r="B111" s="64">
        <v>2024</v>
      </c>
      <c r="C111" s="64">
        <v>11</v>
      </c>
      <c r="D111" s="64" t="s">
        <v>103</v>
      </c>
      <c r="E111" s="77">
        <v>0</v>
      </c>
      <c r="F111" s="77">
        <v>0</v>
      </c>
      <c r="G111" s="80">
        <v>0</v>
      </c>
      <c r="H111" s="64">
        <v>0</v>
      </c>
      <c r="I111" s="64">
        <v>0</v>
      </c>
      <c r="J111" s="64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</row>
    <row r="112" spans="1:16">
      <c r="A112" s="78">
        <v>45597</v>
      </c>
      <c r="B112" s="64">
        <v>2024</v>
      </c>
      <c r="C112" s="64">
        <v>11</v>
      </c>
      <c r="D112" s="64" t="s">
        <v>119</v>
      </c>
      <c r="E112" s="77">
        <v>152</v>
      </c>
      <c r="F112" s="77">
        <v>132</v>
      </c>
      <c r="G112" s="80">
        <v>48093290</v>
      </c>
      <c r="H112" s="64">
        <v>23</v>
      </c>
      <c r="I112" s="64">
        <v>7</v>
      </c>
      <c r="J112" s="64">
        <v>1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>
      <c r="A113" s="78">
        <v>45597</v>
      </c>
      <c r="B113" s="64">
        <v>2024</v>
      </c>
      <c r="C113" s="64">
        <v>11</v>
      </c>
      <c r="D113" s="64" t="s">
        <v>113</v>
      </c>
      <c r="E113" s="77">
        <v>4401</v>
      </c>
      <c r="F113" s="77">
        <v>3941</v>
      </c>
      <c r="G113" s="80">
        <v>1979038105</v>
      </c>
      <c r="H113" s="64">
        <v>27</v>
      </c>
      <c r="I113" s="64">
        <v>20</v>
      </c>
      <c r="J113" s="64">
        <v>0.9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>
      <c r="A114" s="78">
        <v>45597</v>
      </c>
      <c r="B114" s="64">
        <v>2024</v>
      </c>
      <c r="C114" s="64">
        <v>11</v>
      </c>
      <c r="D114" s="64" t="s">
        <v>118</v>
      </c>
      <c r="E114" s="64">
        <v>0</v>
      </c>
      <c r="F114" s="77">
        <v>0</v>
      </c>
      <c r="G114" s="80">
        <v>0</v>
      </c>
      <c r="H114" s="77">
        <v>0</v>
      </c>
      <c r="I114" s="77">
        <v>0</v>
      </c>
      <c r="J114" s="79">
        <v>0.9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>
      <c r="A115" s="81">
        <v>45627</v>
      </c>
      <c r="B115" s="64">
        <f t="shared" ref="B115:B186" si="2">YEAR(A115)</f>
        <v>2024</v>
      </c>
      <c r="C115" s="64">
        <f t="shared" ref="C115:C186" si="3">MONTH(A115)</f>
        <v>12</v>
      </c>
      <c r="D115" s="63" t="s">
        <v>113</v>
      </c>
      <c r="E115" s="86">
        <v>47565</v>
      </c>
      <c r="F115" s="86">
        <v>42760</v>
      </c>
      <c r="G115" s="87">
        <v>21515092429</v>
      </c>
      <c r="H115" s="56">
        <v>27</v>
      </c>
      <c r="I115" s="56">
        <v>22</v>
      </c>
      <c r="J115" s="63">
        <v>0.91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>
      <c r="A116" s="81">
        <v>45628</v>
      </c>
      <c r="B116" s="64">
        <f t="shared" si="2"/>
        <v>2024</v>
      </c>
      <c r="C116" s="64">
        <f t="shared" si="3"/>
        <v>12</v>
      </c>
      <c r="D116" s="63" t="s">
        <v>111</v>
      </c>
      <c r="E116" s="86">
        <v>23645</v>
      </c>
      <c r="F116" s="86">
        <v>21183</v>
      </c>
      <c r="G116" s="87">
        <v>13111255684</v>
      </c>
      <c r="H116" s="56">
        <v>20</v>
      </c>
      <c r="I116" s="56">
        <v>18</v>
      </c>
      <c r="J116" s="63">
        <v>0.94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</row>
    <row r="117" spans="1:16">
      <c r="A117" s="81">
        <v>45629</v>
      </c>
      <c r="B117" s="64">
        <f t="shared" si="2"/>
        <v>2024</v>
      </c>
      <c r="C117" s="64">
        <f t="shared" si="3"/>
        <v>12</v>
      </c>
      <c r="D117" s="63" t="s">
        <v>116</v>
      </c>
      <c r="E117" s="86">
        <v>3130</v>
      </c>
      <c r="F117" s="86">
        <v>2642</v>
      </c>
      <c r="G117" s="87">
        <v>1471449624</v>
      </c>
      <c r="H117" s="56">
        <v>22</v>
      </c>
      <c r="I117" s="56">
        <v>15</v>
      </c>
      <c r="J117" s="63">
        <v>0.84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>
      <c r="A118" s="81">
        <v>45630</v>
      </c>
      <c r="B118" s="64">
        <f t="shared" si="2"/>
        <v>2024</v>
      </c>
      <c r="C118" s="64">
        <f t="shared" si="3"/>
        <v>12</v>
      </c>
      <c r="D118" s="63" t="s">
        <v>103</v>
      </c>
      <c r="E118" s="86">
        <v>1638</v>
      </c>
      <c r="F118" s="86">
        <v>851</v>
      </c>
      <c r="G118" s="87">
        <v>1657678972</v>
      </c>
      <c r="H118" s="56">
        <v>21</v>
      </c>
      <c r="I118" s="56">
        <v>39</v>
      </c>
      <c r="J118" s="63"/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>
      <c r="A119" s="81">
        <v>45631</v>
      </c>
      <c r="B119" s="64">
        <f t="shared" si="2"/>
        <v>2024</v>
      </c>
      <c r="C119" s="64">
        <f t="shared" si="3"/>
        <v>12</v>
      </c>
      <c r="D119" s="63" t="s">
        <v>119</v>
      </c>
      <c r="E119" s="86">
        <v>1386</v>
      </c>
      <c r="F119" s="86">
        <v>1132</v>
      </c>
      <c r="G119" s="87">
        <v>456129051</v>
      </c>
      <c r="H119" s="56">
        <v>22</v>
      </c>
      <c r="I119" s="56">
        <v>26</v>
      </c>
      <c r="J119" s="63">
        <v>0.98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>
      <c r="A120" s="81">
        <v>45632</v>
      </c>
      <c r="B120" s="64">
        <f t="shared" si="2"/>
        <v>2024</v>
      </c>
      <c r="C120" s="64">
        <f t="shared" si="3"/>
        <v>12</v>
      </c>
      <c r="D120" s="63" t="s">
        <v>118</v>
      </c>
      <c r="E120" s="86">
        <v>671</v>
      </c>
      <c r="F120" s="86">
        <v>621</v>
      </c>
      <c r="G120" s="87">
        <v>376302903</v>
      </c>
      <c r="H120" s="56">
        <v>27</v>
      </c>
      <c r="I120" s="56">
        <v>18</v>
      </c>
      <c r="J120" s="63">
        <v>0.85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>
      <c r="A121" s="81">
        <v>45633</v>
      </c>
      <c r="B121" s="64">
        <f t="shared" si="2"/>
        <v>2024</v>
      </c>
      <c r="C121" s="64">
        <f t="shared" si="3"/>
        <v>12</v>
      </c>
      <c r="D121" s="63" t="s">
        <v>115</v>
      </c>
      <c r="E121" s="63">
        <v>0</v>
      </c>
      <c r="F121" s="63">
        <v>0</v>
      </c>
      <c r="G121" s="63">
        <v>0</v>
      </c>
      <c r="H121" s="63">
        <v>0</v>
      </c>
      <c r="I121" s="63">
        <v>0</v>
      </c>
      <c r="J121" s="63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</row>
    <row r="122" spans="1:16">
      <c r="A122" s="81">
        <v>45634</v>
      </c>
      <c r="B122" s="64">
        <f t="shared" si="2"/>
        <v>2024</v>
      </c>
      <c r="C122" s="64">
        <f t="shared" si="3"/>
        <v>12</v>
      </c>
      <c r="D122" s="63" t="s">
        <v>120</v>
      </c>
      <c r="E122" s="63">
        <v>0</v>
      </c>
      <c r="F122" s="63">
        <v>0</v>
      </c>
      <c r="G122" s="63">
        <v>0</v>
      </c>
      <c r="H122" s="63">
        <v>0</v>
      </c>
      <c r="I122" s="63">
        <v>0</v>
      </c>
      <c r="J122" s="63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>
      <c r="A123" s="81">
        <v>45658</v>
      </c>
      <c r="B123" s="64">
        <f t="shared" si="2"/>
        <v>2025</v>
      </c>
      <c r="C123" s="64">
        <f t="shared" si="3"/>
        <v>1</v>
      </c>
      <c r="D123" s="63" t="s">
        <v>113</v>
      </c>
      <c r="E123" s="86">
        <v>4397</v>
      </c>
      <c r="F123" s="86">
        <v>3905</v>
      </c>
      <c r="G123" s="87">
        <v>2091200473</v>
      </c>
      <c r="H123" s="56">
        <v>27</v>
      </c>
      <c r="I123" s="56">
        <v>16</v>
      </c>
      <c r="J123" s="56">
        <v>0.84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</row>
    <row r="124" spans="1:16">
      <c r="A124" s="81">
        <v>45659</v>
      </c>
      <c r="B124" s="64">
        <f t="shared" si="2"/>
        <v>2025</v>
      </c>
      <c r="C124" s="64">
        <f t="shared" si="3"/>
        <v>1</v>
      </c>
      <c r="D124" s="63" t="s">
        <v>111</v>
      </c>
      <c r="E124" s="86">
        <v>921</v>
      </c>
      <c r="F124" s="86">
        <v>851</v>
      </c>
      <c r="G124" s="87">
        <v>330250895</v>
      </c>
      <c r="H124" s="56">
        <v>22</v>
      </c>
      <c r="I124" s="56">
        <v>16</v>
      </c>
      <c r="J124" s="56">
        <v>0.98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</row>
    <row r="125" spans="1:16">
      <c r="A125" s="81">
        <v>45660</v>
      </c>
      <c r="B125" s="64">
        <f t="shared" si="2"/>
        <v>2025</v>
      </c>
      <c r="C125" s="64">
        <f t="shared" si="3"/>
        <v>1</v>
      </c>
      <c r="D125" s="63" t="s">
        <v>119</v>
      </c>
      <c r="E125" s="86">
        <v>377</v>
      </c>
      <c r="F125" s="86">
        <v>321</v>
      </c>
      <c r="G125" s="87">
        <v>125732785</v>
      </c>
      <c r="H125" s="56">
        <v>27</v>
      </c>
      <c r="I125" s="56">
        <v>14</v>
      </c>
      <c r="J125" s="56">
        <v>0.95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</row>
    <row r="126" spans="1:16">
      <c r="A126" s="81">
        <v>45661</v>
      </c>
      <c r="B126" s="64">
        <f t="shared" si="2"/>
        <v>2025</v>
      </c>
      <c r="C126" s="64">
        <f t="shared" si="3"/>
        <v>1</v>
      </c>
      <c r="D126" s="63" t="s">
        <v>116</v>
      </c>
      <c r="E126" s="86">
        <v>244</v>
      </c>
      <c r="F126" s="86">
        <v>166</v>
      </c>
      <c r="G126" s="87">
        <v>63754467</v>
      </c>
      <c r="H126" s="56">
        <v>19</v>
      </c>
      <c r="I126" s="56">
        <v>13</v>
      </c>
      <c r="J126" s="56">
        <v>0.94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</row>
    <row r="127" spans="1:16">
      <c r="A127" s="81">
        <v>45662</v>
      </c>
      <c r="B127" s="64">
        <f t="shared" si="2"/>
        <v>2025</v>
      </c>
      <c r="C127" s="64">
        <f t="shared" si="3"/>
        <v>1</v>
      </c>
      <c r="D127" s="63" t="s">
        <v>103</v>
      </c>
      <c r="E127" s="63">
        <v>0</v>
      </c>
      <c r="F127" s="63">
        <v>0</v>
      </c>
      <c r="G127" s="63">
        <v>0</v>
      </c>
      <c r="H127" s="63">
        <v>0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</row>
    <row r="128" spans="1:16">
      <c r="A128" s="81">
        <v>45663</v>
      </c>
      <c r="B128" s="64">
        <f t="shared" si="2"/>
        <v>2025</v>
      </c>
      <c r="C128" s="64">
        <f t="shared" si="3"/>
        <v>1</v>
      </c>
      <c r="D128" s="63" t="s">
        <v>118</v>
      </c>
      <c r="E128" s="63">
        <v>0</v>
      </c>
      <c r="F128" s="63">
        <v>0</v>
      </c>
      <c r="G128" s="63">
        <v>0</v>
      </c>
      <c r="H128" s="63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</row>
    <row r="129" spans="1:16">
      <c r="A129" s="81">
        <v>45664</v>
      </c>
      <c r="B129" s="64">
        <f t="shared" si="2"/>
        <v>2025</v>
      </c>
      <c r="C129" s="64">
        <f t="shared" si="3"/>
        <v>1</v>
      </c>
      <c r="D129" s="63" t="s">
        <v>115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</row>
    <row r="130" spans="1:16">
      <c r="A130" s="81">
        <v>45665</v>
      </c>
      <c r="B130" s="64">
        <f t="shared" si="2"/>
        <v>2025</v>
      </c>
      <c r="C130" s="64">
        <f t="shared" si="3"/>
        <v>1</v>
      </c>
      <c r="D130" s="63" t="s">
        <v>120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</row>
    <row r="131" spans="1:16">
      <c r="A131" s="81">
        <v>45696</v>
      </c>
      <c r="B131" s="64">
        <f t="shared" si="2"/>
        <v>2025</v>
      </c>
      <c r="C131" s="64">
        <f t="shared" si="3"/>
        <v>2</v>
      </c>
      <c r="D131" s="63" t="s">
        <v>113</v>
      </c>
      <c r="E131" s="86">
        <v>9153</v>
      </c>
      <c r="F131" s="86">
        <v>8219</v>
      </c>
      <c r="G131" s="87">
        <v>4444586002</v>
      </c>
      <c r="H131" s="56">
        <v>26</v>
      </c>
      <c r="I131" s="56">
        <v>18</v>
      </c>
      <c r="J131" s="64">
        <v>0.9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</row>
    <row r="132" spans="1:16">
      <c r="A132" s="81">
        <v>45696</v>
      </c>
      <c r="B132" s="64">
        <f t="shared" si="2"/>
        <v>2025</v>
      </c>
      <c r="C132" s="64">
        <f t="shared" si="3"/>
        <v>2</v>
      </c>
      <c r="D132" s="63" t="s">
        <v>111</v>
      </c>
      <c r="E132" s="86">
        <v>2590</v>
      </c>
      <c r="F132" s="86">
        <v>2256</v>
      </c>
      <c r="G132" s="87">
        <v>1065940316</v>
      </c>
      <c r="H132" s="56">
        <v>22</v>
      </c>
      <c r="I132" s="56">
        <v>15</v>
      </c>
      <c r="J132" s="64">
        <v>0.99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</row>
    <row r="133" spans="1:16">
      <c r="A133" s="81">
        <v>45696</v>
      </c>
      <c r="B133" s="64">
        <f t="shared" si="2"/>
        <v>2025</v>
      </c>
      <c r="C133" s="64">
        <f t="shared" si="3"/>
        <v>2</v>
      </c>
      <c r="D133" s="63" t="s">
        <v>119</v>
      </c>
      <c r="E133" s="86">
        <v>1096</v>
      </c>
      <c r="F133" s="86">
        <v>916</v>
      </c>
      <c r="G133" s="87">
        <v>329242850</v>
      </c>
      <c r="H133" s="56">
        <v>25</v>
      </c>
      <c r="I133" s="56">
        <v>16</v>
      </c>
      <c r="J133" s="64">
        <v>0.94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</row>
    <row r="134" spans="1:16">
      <c r="A134" s="81">
        <v>45696</v>
      </c>
      <c r="B134" s="64">
        <f t="shared" si="2"/>
        <v>2025</v>
      </c>
      <c r="C134" s="64">
        <f t="shared" si="3"/>
        <v>2</v>
      </c>
      <c r="D134" s="63" t="s">
        <v>116</v>
      </c>
      <c r="E134" s="56">
        <v>817</v>
      </c>
      <c r="F134" s="86">
        <v>660</v>
      </c>
      <c r="G134" s="87">
        <v>500436765</v>
      </c>
      <c r="H134" s="56">
        <v>18</v>
      </c>
      <c r="I134" s="56">
        <v>13</v>
      </c>
      <c r="J134" s="64">
        <v>0.87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</row>
    <row r="135" spans="1:16">
      <c r="A135" s="81">
        <v>45696</v>
      </c>
      <c r="B135" s="64">
        <f t="shared" si="2"/>
        <v>2025</v>
      </c>
      <c r="C135" s="64">
        <f t="shared" si="3"/>
        <v>2</v>
      </c>
      <c r="D135" s="63" t="s">
        <v>103</v>
      </c>
      <c r="E135" s="63">
        <v>0</v>
      </c>
      <c r="F135" s="63">
        <v>0</v>
      </c>
      <c r="G135" s="63">
        <v>0</v>
      </c>
      <c r="H135" s="63">
        <v>0</v>
      </c>
      <c r="I135" s="63">
        <v>0</v>
      </c>
      <c r="J135" s="64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</row>
    <row r="136" spans="1:16">
      <c r="A136" s="81">
        <v>45696</v>
      </c>
      <c r="B136" s="64">
        <f t="shared" si="2"/>
        <v>2025</v>
      </c>
      <c r="C136" s="64">
        <f t="shared" si="3"/>
        <v>2</v>
      </c>
      <c r="D136" s="63" t="s">
        <v>118</v>
      </c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4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</row>
    <row r="137" spans="1:16">
      <c r="A137" s="81">
        <v>45696</v>
      </c>
      <c r="B137" s="64">
        <f t="shared" si="2"/>
        <v>2025</v>
      </c>
      <c r="C137" s="64">
        <f t="shared" si="3"/>
        <v>2</v>
      </c>
      <c r="D137" s="63" t="s">
        <v>115</v>
      </c>
      <c r="E137" s="63">
        <v>0</v>
      </c>
      <c r="F137" s="63">
        <v>0</v>
      </c>
      <c r="G137" s="63">
        <v>0</v>
      </c>
      <c r="H137" s="63">
        <v>0</v>
      </c>
      <c r="I137" s="63">
        <v>0</v>
      </c>
      <c r="J137" s="64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</row>
    <row r="138" spans="1:16">
      <c r="A138" s="81">
        <v>45696</v>
      </c>
      <c r="B138" s="64">
        <f t="shared" si="2"/>
        <v>2025</v>
      </c>
      <c r="C138" s="64">
        <f t="shared" si="3"/>
        <v>2</v>
      </c>
      <c r="D138" s="63" t="s">
        <v>120</v>
      </c>
      <c r="E138" s="63">
        <v>0</v>
      </c>
      <c r="F138" s="63">
        <v>0</v>
      </c>
      <c r="G138" s="63">
        <v>0</v>
      </c>
      <c r="H138" s="63">
        <v>0</v>
      </c>
      <c r="I138" s="63">
        <v>0</v>
      </c>
      <c r="J138" s="64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</row>
    <row r="139" spans="1:16">
      <c r="A139" s="81">
        <v>45724</v>
      </c>
      <c r="B139" s="64">
        <f t="shared" si="2"/>
        <v>2025</v>
      </c>
      <c r="C139" s="64">
        <f t="shared" si="3"/>
        <v>3</v>
      </c>
      <c r="D139" s="63" t="s">
        <v>113</v>
      </c>
      <c r="E139" s="88">
        <v>13621</v>
      </c>
      <c r="F139" s="88">
        <v>12228</v>
      </c>
      <c r="G139" s="89">
        <v>6398248202</v>
      </c>
      <c r="H139" s="63">
        <v>26</v>
      </c>
      <c r="I139" s="63">
        <v>18</v>
      </c>
      <c r="J139" s="90">
        <v>0.81727300000000003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</row>
    <row r="140" spans="1:16">
      <c r="A140" s="81">
        <v>45724</v>
      </c>
      <c r="B140" s="64">
        <f t="shared" si="2"/>
        <v>2025</v>
      </c>
      <c r="C140" s="64">
        <f t="shared" si="3"/>
        <v>3</v>
      </c>
      <c r="D140" s="63" t="s">
        <v>111</v>
      </c>
      <c r="E140" s="88">
        <v>3112</v>
      </c>
      <c r="F140" s="88">
        <v>2673</v>
      </c>
      <c r="G140" s="89">
        <v>1254228550</v>
      </c>
      <c r="H140" s="63">
        <v>20</v>
      </c>
      <c r="I140" s="63">
        <v>13</v>
      </c>
      <c r="J140" s="90">
        <v>0.88333300000000003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</row>
    <row r="141" spans="1:16">
      <c r="A141" s="81">
        <v>45724</v>
      </c>
      <c r="B141" s="64">
        <f t="shared" si="2"/>
        <v>2025</v>
      </c>
      <c r="C141" s="64">
        <f t="shared" si="3"/>
        <v>3</v>
      </c>
      <c r="D141" s="63" t="s">
        <v>119</v>
      </c>
      <c r="E141" s="88">
        <v>1333</v>
      </c>
      <c r="F141" s="88">
        <v>1098</v>
      </c>
      <c r="G141" s="89">
        <v>397783150</v>
      </c>
      <c r="H141" s="63">
        <v>23</v>
      </c>
      <c r="I141" s="63">
        <v>15</v>
      </c>
      <c r="J141" s="90">
        <v>0.73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</row>
    <row r="142" spans="1:16">
      <c r="A142" s="81">
        <v>45724</v>
      </c>
      <c r="B142" s="64">
        <f t="shared" si="2"/>
        <v>2025</v>
      </c>
      <c r="C142" s="64">
        <f t="shared" si="3"/>
        <v>3</v>
      </c>
      <c r="D142" s="63" t="s">
        <v>116</v>
      </c>
      <c r="E142" s="88">
        <v>1202</v>
      </c>
      <c r="F142" s="63">
        <v>993</v>
      </c>
      <c r="G142" s="89">
        <v>669714545</v>
      </c>
      <c r="H142" s="63">
        <v>17</v>
      </c>
      <c r="I142" s="63">
        <v>12</v>
      </c>
      <c r="J142" s="90">
        <v>0.79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</row>
    <row r="143" spans="1:16">
      <c r="A143" s="81">
        <v>45724</v>
      </c>
      <c r="B143" s="64">
        <f t="shared" si="2"/>
        <v>2025</v>
      </c>
      <c r="C143" s="64">
        <f t="shared" si="3"/>
        <v>3</v>
      </c>
      <c r="D143" s="63" t="s">
        <v>118</v>
      </c>
      <c r="E143" s="63">
        <v>178</v>
      </c>
      <c r="F143" s="63">
        <v>160</v>
      </c>
      <c r="G143" s="89">
        <v>54722225</v>
      </c>
      <c r="H143" s="63">
        <v>18</v>
      </c>
      <c r="I143" s="63">
        <v>12</v>
      </c>
      <c r="J143" s="90">
        <v>0.83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</row>
    <row r="144" spans="1:16">
      <c r="A144" s="81">
        <v>45724</v>
      </c>
      <c r="B144" s="64">
        <f t="shared" si="2"/>
        <v>2025</v>
      </c>
      <c r="C144" s="64">
        <f t="shared" si="3"/>
        <v>3</v>
      </c>
      <c r="D144" s="63" t="s">
        <v>103</v>
      </c>
      <c r="E144" s="63" t="s">
        <v>107</v>
      </c>
      <c r="F144" s="63" t="s">
        <v>107</v>
      </c>
      <c r="G144" s="63" t="s">
        <v>107</v>
      </c>
      <c r="H144" s="63" t="s">
        <v>107</v>
      </c>
      <c r="I144" s="63" t="s">
        <v>107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</row>
    <row r="145" spans="1:16">
      <c r="A145" s="81">
        <v>45724</v>
      </c>
      <c r="B145" s="64">
        <f t="shared" si="2"/>
        <v>2025</v>
      </c>
      <c r="C145" s="64">
        <f t="shared" si="3"/>
        <v>3</v>
      </c>
      <c r="D145" s="63" t="s">
        <v>115</v>
      </c>
      <c r="E145" s="63" t="s">
        <v>107</v>
      </c>
      <c r="F145" s="63" t="s">
        <v>107</v>
      </c>
      <c r="G145" s="63" t="s">
        <v>107</v>
      </c>
      <c r="H145" s="63" t="s">
        <v>107</v>
      </c>
      <c r="I145" s="63" t="s">
        <v>107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0</v>
      </c>
      <c r="P145" s="63">
        <v>0</v>
      </c>
    </row>
    <row r="146" spans="1:16">
      <c r="A146" s="81">
        <v>45724</v>
      </c>
      <c r="B146" s="64">
        <f t="shared" si="2"/>
        <v>2025</v>
      </c>
      <c r="C146" s="64">
        <f t="shared" si="3"/>
        <v>3</v>
      </c>
      <c r="D146" s="63" t="s">
        <v>120</v>
      </c>
      <c r="E146" s="63" t="s">
        <v>107</v>
      </c>
      <c r="F146" s="63" t="s">
        <v>107</v>
      </c>
      <c r="G146" s="63" t="s">
        <v>107</v>
      </c>
      <c r="H146" s="63" t="s">
        <v>107</v>
      </c>
      <c r="I146" s="63" t="s">
        <v>107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</row>
    <row r="147" spans="1:16">
      <c r="A147" s="81">
        <v>45755</v>
      </c>
      <c r="B147" s="64">
        <f t="shared" si="2"/>
        <v>2025</v>
      </c>
      <c r="C147" s="64">
        <f t="shared" si="3"/>
        <v>4</v>
      </c>
      <c r="D147" s="63" t="s">
        <v>113</v>
      </c>
      <c r="E147" s="86">
        <v>16903</v>
      </c>
      <c r="F147" s="86">
        <v>15186</v>
      </c>
      <c r="G147" s="87">
        <v>7930937106</v>
      </c>
      <c r="H147" s="56">
        <v>27</v>
      </c>
      <c r="I147" s="56">
        <v>18</v>
      </c>
      <c r="J147" s="64">
        <v>0.86399999999999999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</row>
    <row r="148" spans="1:16">
      <c r="A148" s="81">
        <v>45755</v>
      </c>
      <c r="B148" s="64">
        <f t="shared" si="2"/>
        <v>2025</v>
      </c>
      <c r="C148" s="64">
        <f t="shared" si="3"/>
        <v>4</v>
      </c>
      <c r="D148" s="63" t="s">
        <v>111</v>
      </c>
      <c r="E148" s="86">
        <v>3112</v>
      </c>
      <c r="F148" s="86">
        <v>2673</v>
      </c>
      <c r="G148" s="87">
        <v>1254228550</v>
      </c>
      <c r="H148" s="56">
        <v>20</v>
      </c>
      <c r="I148" s="56">
        <v>13</v>
      </c>
      <c r="J148" s="64">
        <v>0.96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</row>
    <row r="149" spans="1:16">
      <c r="A149" s="81">
        <v>45755</v>
      </c>
      <c r="B149" s="64">
        <f t="shared" si="2"/>
        <v>2025</v>
      </c>
      <c r="C149" s="64">
        <f t="shared" si="3"/>
        <v>4</v>
      </c>
      <c r="D149" s="63" t="s">
        <v>119</v>
      </c>
      <c r="E149" s="86">
        <v>1333</v>
      </c>
      <c r="F149" s="86">
        <v>1098</v>
      </c>
      <c r="G149" s="87">
        <v>397783150</v>
      </c>
      <c r="H149" s="56">
        <v>23</v>
      </c>
      <c r="I149" s="56">
        <v>15</v>
      </c>
      <c r="J149" s="64">
        <v>0.9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</row>
    <row r="150" spans="1:16">
      <c r="A150" s="81">
        <v>45755</v>
      </c>
      <c r="B150" s="64">
        <f t="shared" si="2"/>
        <v>2025</v>
      </c>
      <c r="C150" s="64">
        <f t="shared" si="3"/>
        <v>4</v>
      </c>
      <c r="D150" s="63" t="s">
        <v>116</v>
      </c>
      <c r="E150" s="86">
        <v>2094</v>
      </c>
      <c r="F150" s="86">
        <v>1651</v>
      </c>
      <c r="G150" s="87">
        <v>1565703964</v>
      </c>
      <c r="H150" s="56">
        <v>19</v>
      </c>
      <c r="I150" s="56">
        <v>15</v>
      </c>
      <c r="J150" s="64">
        <v>0.86750000000000005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</row>
    <row r="151" spans="1:16">
      <c r="A151" s="81">
        <v>45755</v>
      </c>
      <c r="B151" s="64">
        <f t="shared" si="2"/>
        <v>2025</v>
      </c>
      <c r="C151" s="64">
        <f t="shared" si="3"/>
        <v>4</v>
      </c>
      <c r="D151" s="63" t="s">
        <v>118</v>
      </c>
      <c r="E151" s="86">
        <v>178</v>
      </c>
      <c r="F151" s="86">
        <v>160</v>
      </c>
      <c r="G151" s="87">
        <v>54722225</v>
      </c>
      <c r="H151" s="56">
        <v>18</v>
      </c>
      <c r="I151" s="56">
        <v>12</v>
      </c>
      <c r="J151" s="64">
        <v>0.83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</row>
    <row r="152" spans="1:16">
      <c r="A152" s="81">
        <v>45755</v>
      </c>
      <c r="B152" s="64">
        <f t="shared" si="2"/>
        <v>2025</v>
      </c>
      <c r="C152" s="64">
        <f t="shared" si="3"/>
        <v>4</v>
      </c>
      <c r="D152" s="63" t="s">
        <v>103</v>
      </c>
      <c r="E152" s="86" t="s">
        <v>107</v>
      </c>
      <c r="F152" s="86" t="s">
        <v>107</v>
      </c>
      <c r="G152" s="87" t="s">
        <v>107</v>
      </c>
      <c r="H152" s="56" t="s">
        <v>107</v>
      </c>
      <c r="I152" s="56" t="s">
        <v>107</v>
      </c>
      <c r="J152" s="64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</row>
    <row r="153" spans="1:16">
      <c r="A153" s="81">
        <v>45755</v>
      </c>
      <c r="B153" s="64">
        <f t="shared" si="2"/>
        <v>2025</v>
      </c>
      <c r="C153" s="64">
        <f t="shared" si="3"/>
        <v>4</v>
      </c>
      <c r="D153" s="63" t="s">
        <v>115</v>
      </c>
      <c r="E153" s="86" t="s">
        <v>107</v>
      </c>
      <c r="F153" s="86" t="s">
        <v>107</v>
      </c>
      <c r="G153" s="87" t="s">
        <v>107</v>
      </c>
      <c r="H153" s="56" t="s">
        <v>107</v>
      </c>
      <c r="I153" s="56" t="s">
        <v>107</v>
      </c>
      <c r="J153" s="64">
        <v>0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</row>
    <row r="154" spans="1:16">
      <c r="A154" s="81">
        <v>45755</v>
      </c>
      <c r="B154" s="64">
        <f t="shared" si="2"/>
        <v>2025</v>
      </c>
      <c r="C154" s="64">
        <f t="shared" si="3"/>
        <v>4</v>
      </c>
      <c r="D154" s="63" t="s">
        <v>120</v>
      </c>
      <c r="E154" s="86" t="s">
        <v>107</v>
      </c>
      <c r="F154" s="86" t="s">
        <v>107</v>
      </c>
      <c r="G154" s="87" t="s">
        <v>107</v>
      </c>
      <c r="H154" s="56" t="s">
        <v>107</v>
      </c>
      <c r="I154" s="56" t="s">
        <v>107</v>
      </c>
      <c r="J154" s="64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</row>
    <row r="155" spans="1:16">
      <c r="A155" s="81">
        <v>45785</v>
      </c>
      <c r="B155" s="64">
        <f t="shared" si="2"/>
        <v>2025</v>
      </c>
      <c r="C155" s="64">
        <f t="shared" si="3"/>
        <v>5</v>
      </c>
      <c r="D155" s="56" t="s">
        <v>113</v>
      </c>
      <c r="E155" s="86">
        <v>22129</v>
      </c>
      <c r="F155" s="86">
        <v>19855</v>
      </c>
      <c r="G155" s="87">
        <v>10280616554</v>
      </c>
      <c r="H155" s="56">
        <v>26</v>
      </c>
      <c r="I155" s="56">
        <v>18</v>
      </c>
      <c r="J155" s="64">
        <v>0.87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</row>
    <row r="156" spans="1:16">
      <c r="A156" s="81">
        <v>45786</v>
      </c>
      <c r="B156" s="64">
        <f t="shared" si="2"/>
        <v>2025</v>
      </c>
      <c r="C156" s="64">
        <f t="shared" si="3"/>
        <v>5</v>
      </c>
      <c r="D156" s="63" t="s">
        <v>111</v>
      </c>
      <c r="E156" s="86">
        <v>3545</v>
      </c>
      <c r="F156" s="86">
        <v>3088</v>
      </c>
      <c r="G156" s="87">
        <v>1389111935</v>
      </c>
      <c r="H156" s="56">
        <v>21</v>
      </c>
      <c r="I156" s="56">
        <v>15</v>
      </c>
      <c r="J156" s="64">
        <v>0.95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</row>
    <row r="157" spans="1:16">
      <c r="A157" s="81">
        <v>45787</v>
      </c>
      <c r="B157" s="64">
        <f t="shared" si="2"/>
        <v>2025</v>
      </c>
      <c r="C157" s="64">
        <f t="shared" si="3"/>
        <v>5</v>
      </c>
      <c r="D157" s="56" t="s">
        <v>116</v>
      </c>
      <c r="E157" s="86">
        <v>2404</v>
      </c>
      <c r="F157" s="86">
        <v>1950</v>
      </c>
      <c r="G157" s="87">
        <v>1682738859</v>
      </c>
      <c r="H157" s="56">
        <v>18</v>
      </c>
      <c r="I157" s="56">
        <v>14</v>
      </c>
      <c r="J157" s="64">
        <v>0.86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</row>
    <row r="158" spans="1:16">
      <c r="A158" s="81">
        <v>45788</v>
      </c>
      <c r="B158" s="64">
        <f t="shared" si="2"/>
        <v>2025</v>
      </c>
      <c r="C158" s="64">
        <f t="shared" si="3"/>
        <v>5</v>
      </c>
      <c r="D158" s="63" t="s">
        <v>119</v>
      </c>
      <c r="E158" s="86">
        <v>1333</v>
      </c>
      <c r="F158" s="86">
        <v>1098</v>
      </c>
      <c r="G158" s="87">
        <v>397783150</v>
      </c>
      <c r="H158" s="56">
        <v>23</v>
      </c>
      <c r="I158" s="56">
        <v>15</v>
      </c>
      <c r="J158" s="64">
        <v>0.9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</row>
    <row r="159" spans="1:16">
      <c r="A159" s="81">
        <v>45789</v>
      </c>
      <c r="B159" s="64">
        <f t="shared" si="2"/>
        <v>2025</v>
      </c>
      <c r="C159" s="64">
        <f t="shared" si="3"/>
        <v>5</v>
      </c>
      <c r="D159" s="63" t="s">
        <v>118</v>
      </c>
      <c r="E159" s="56">
        <v>178</v>
      </c>
      <c r="F159" s="86">
        <v>160</v>
      </c>
      <c r="G159" s="87">
        <v>54722225</v>
      </c>
      <c r="H159" s="56">
        <v>18</v>
      </c>
      <c r="I159" s="56">
        <v>12</v>
      </c>
      <c r="J159" s="64">
        <v>0.83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</row>
    <row r="160" spans="1:16">
      <c r="A160" s="81">
        <v>45790</v>
      </c>
      <c r="B160" s="64">
        <f t="shared" si="2"/>
        <v>2025</v>
      </c>
      <c r="C160" s="64">
        <f t="shared" si="3"/>
        <v>5</v>
      </c>
      <c r="D160" s="62" t="s">
        <v>103</v>
      </c>
      <c r="E160" s="56" t="s">
        <v>107</v>
      </c>
      <c r="F160" s="56" t="s">
        <v>107</v>
      </c>
      <c r="G160" s="56" t="s">
        <v>107</v>
      </c>
      <c r="H160" s="56" t="s">
        <v>107</v>
      </c>
      <c r="I160" s="56" t="s">
        <v>107</v>
      </c>
      <c r="J160" s="64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</row>
    <row r="161" spans="1:16">
      <c r="A161" s="81">
        <v>45791</v>
      </c>
      <c r="B161" s="64">
        <f t="shared" si="2"/>
        <v>2025</v>
      </c>
      <c r="C161" s="64">
        <f t="shared" si="3"/>
        <v>5</v>
      </c>
      <c r="D161" s="63" t="s">
        <v>115</v>
      </c>
      <c r="E161" s="56" t="s">
        <v>107</v>
      </c>
      <c r="F161" s="56" t="s">
        <v>107</v>
      </c>
      <c r="G161" s="56" t="s">
        <v>107</v>
      </c>
      <c r="H161" s="56" t="s">
        <v>107</v>
      </c>
      <c r="I161" s="56" t="s">
        <v>107</v>
      </c>
      <c r="J161" s="64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</row>
    <row r="162" spans="1:16">
      <c r="A162" s="81">
        <v>45792</v>
      </c>
      <c r="B162" s="64">
        <f t="shared" si="2"/>
        <v>2025</v>
      </c>
      <c r="C162" s="64">
        <f t="shared" si="3"/>
        <v>5</v>
      </c>
      <c r="D162" s="63" t="s">
        <v>120</v>
      </c>
      <c r="E162" s="56" t="s">
        <v>107</v>
      </c>
      <c r="F162" s="56" t="s">
        <v>107</v>
      </c>
      <c r="G162" s="56" t="s">
        <v>107</v>
      </c>
      <c r="H162" s="56" t="s">
        <v>107</v>
      </c>
      <c r="I162" s="56" t="s">
        <v>107</v>
      </c>
      <c r="J162" s="64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</row>
    <row r="163" spans="1:16">
      <c r="A163" s="81">
        <v>45824</v>
      </c>
      <c r="B163" s="64">
        <f t="shared" si="2"/>
        <v>2025</v>
      </c>
      <c r="C163" s="64">
        <f t="shared" si="3"/>
        <v>6</v>
      </c>
      <c r="D163" s="63" t="s">
        <v>113</v>
      </c>
      <c r="E163" s="86">
        <v>27676</v>
      </c>
      <c r="F163" s="86">
        <v>24905</v>
      </c>
      <c r="G163" s="87">
        <v>12804295989</v>
      </c>
      <c r="H163" s="56">
        <v>26</v>
      </c>
      <c r="I163" s="56">
        <v>18</v>
      </c>
      <c r="J163" s="64">
        <v>0.88</v>
      </c>
      <c r="K163" s="63">
        <v>0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</row>
    <row r="164" spans="1:16">
      <c r="A164" s="81">
        <v>45824</v>
      </c>
      <c r="B164" s="64">
        <f t="shared" si="2"/>
        <v>2025</v>
      </c>
      <c r="C164" s="64">
        <f t="shared" si="3"/>
        <v>6</v>
      </c>
      <c r="D164" s="63" t="s">
        <v>111</v>
      </c>
      <c r="E164" s="86">
        <v>3650</v>
      </c>
      <c r="F164" s="86">
        <v>3188</v>
      </c>
      <c r="G164" s="87">
        <v>1439660305</v>
      </c>
      <c r="H164" s="56">
        <v>20</v>
      </c>
      <c r="I164" s="56">
        <v>14</v>
      </c>
      <c r="J164" s="64">
        <v>0.95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</row>
    <row r="165" spans="1:16">
      <c r="A165" s="81">
        <v>45824</v>
      </c>
      <c r="B165" s="64">
        <f t="shared" si="2"/>
        <v>2025</v>
      </c>
      <c r="C165" s="64">
        <f t="shared" si="3"/>
        <v>6</v>
      </c>
      <c r="D165" s="63" t="s">
        <v>116</v>
      </c>
      <c r="E165" s="86">
        <v>2404</v>
      </c>
      <c r="F165" s="86">
        <v>1950</v>
      </c>
      <c r="G165" s="87">
        <v>1682738859</v>
      </c>
      <c r="H165" s="56">
        <v>18</v>
      </c>
      <c r="I165" s="56">
        <v>14</v>
      </c>
      <c r="J165" s="64">
        <v>0.86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</row>
    <row r="166" spans="1:16">
      <c r="A166" s="81">
        <v>45824</v>
      </c>
      <c r="B166" s="64">
        <f t="shared" si="2"/>
        <v>2025</v>
      </c>
      <c r="C166" s="64">
        <f t="shared" si="3"/>
        <v>6</v>
      </c>
      <c r="D166" s="63" t="s">
        <v>119</v>
      </c>
      <c r="E166" s="86">
        <v>1333</v>
      </c>
      <c r="F166" s="86">
        <v>1098</v>
      </c>
      <c r="G166" s="87">
        <v>397783150</v>
      </c>
      <c r="H166" s="56">
        <v>23</v>
      </c>
      <c r="I166" s="56">
        <v>15</v>
      </c>
      <c r="J166" s="64">
        <v>0.9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</row>
    <row r="167" spans="1:16">
      <c r="A167" s="81">
        <v>45825</v>
      </c>
      <c r="B167" s="64">
        <f t="shared" si="2"/>
        <v>2025</v>
      </c>
      <c r="C167" s="64">
        <f t="shared" si="3"/>
        <v>6</v>
      </c>
      <c r="D167" s="63" t="s">
        <v>118</v>
      </c>
      <c r="E167" s="56">
        <v>178</v>
      </c>
      <c r="F167" s="56">
        <v>160</v>
      </c>
      <c r="G167" s="87">
        <v>54722225</v>
      </c>
      <c r="H167" s="56">
        <v>18</v>
      </c>
      <c r="I167" s="56">
        <v>12</v>
      </c>
      <c r="J167" s="64">
        <v>0.83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</row>
    <row r="168" spans="1:16">
      <c r="A168" s="81">
        <v>45826</v>
      </c>
      <c r="B168" s="64">
        <f t="shared" si="2"/>
        <v>2025</v>
      </c>
      <c r="C168" s="64">
        <f t="shared" si="3"/>
        <v>6</v>
      </c>
      <c r="D168" s="63" t="s">
        <v>103</v>
      </c>
      <c r="E168" s="56" t="s">
        <v>107</v>
      </c>
      <c r="F168" s="56" t="s">
        <v>107</v>
      </c>
      <c r="G168" s="56" t="s">
        <v>107</v>
      </c>
      <c r="H168" s="56" t="s">
        <v>107</v>
      </c>
      <c r="I168" s="56" t="s">
        <v>107</v>
      </c>
      <c r="J168" s="64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</row>
    <row r="169" spans="1:16">
      <c r="A169" s="81">
        <v>45827</v>
      </c>
      <c r="B169" s="64">
        <f t="shared" si="2"/>
        <v>2025</v>
      </c>
      <c r="C169" s="64">
        <f t="shared" si="3"/>
        <v>6</v>
      </c>
      <c r="D169" s="63" t="s">
        <v>115</v>
      </c>
      <c r="E169" s="56" t="s">
        <v>107</v>
      </c>
      <c r="F169" s="56" t="s">
        <v>107</v>
      </c>
      <c r="G169" s="56" t="s">
        <v>107</v>
      </c>
      <c r="H169" s="56" t="s">
        <v>107</v>
      </c>
      <c r="I169" s="56" t="s">
        <v>107</v>
      </c>
      <c r="J169" s="64">
        <v>0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</row>
    <row r="170" spans="1:16">
      <c r="A170" s="81">
        <v>45828</v>
      </c>
      <c r="B170" s="64">
        <f t="shared" si="2"/>
        <v>2025</v>
      </c>
      <c r="C170" s="64">
        <f t="shared" si="3"/>
        <v>6</v>
      </c>
      <c r="D170" s="63" t="s">
        <v>120</v>
      </c>
      <c r="E170" s="56" t="s">
        <v>107</v>
      </c>
      <c r="F170" s="56" t="s">
        <v>107</v>
      </c>
      <c r="G170" s="56" t="s">
        <v>107</v>
      </c>
      <c r="H170" s="56" t="s">
        <v>107</v>
      </c>
      <c r="I170" s="56" t="s">
        <v>107</v>
      </c>
      <c r="J170" s="64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</row>
    <row r="171" spans="1:16">
      <c r="A171" s="81">
        <v>45839</v>
      </c>
      <c r="B171" s="64">
        <f t="shared" si="2"/>
        <v>2025</v>
      </c>
      <c r="C171" s="64">
        <f t="shared" si="3"/>
        <v>7</v>
      </c>
      <c r="D171" s="63" t="s">
        <v>113</v>
      </c>
      <c r="E171" s="86">
        <v>33129</v>
      </c>
      <c r="F171" s="86">
        <v>29693</v>
      </c>
      <c r="G171" s="87">
        <v>15323992210</v>
      </c>
      <c r="H171" s="56">
        <v>27</v>
      </c>
      <c r="I171" s="56">
        <v>19</v>
      </c>
      <c r="J171" s="91">
        <v>0.92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</row>
    <row r="172" spans="1:16">
      <c r="A172" s="81">
        <v>45840</v>
      </c>
      <c r="B172" s="64">
        <f t="shared" si="2"/>
        <v>2025</v>
      </c>
      <c r="C172" s="64">
        <f t="shared" si="3"/>
        <v>7</v>
      </c>
      <c r="D172" s="63" t="s">
        <v>111</v>
      </c>
      <c r="E172" s="86">
        <v>3650</v>
      </c>
      <c r="F172" s="86">
        <v>3188</v>
      </c>
      <c r="G172" s="87">
        <v>1439660305</v>
      </c>
      <c r="H172" s="56">
        <v>20</v>
      </c>
      <c r="I172" s="56">
        <v>14</v>
      </c>
      <c r="J172" s="63" t="s">
        <v>107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</row>
    <row r="173" spans="1:16">
      <c r="A173" s="81">
        <v>45841</v>
      </c>
      <c r="B173" s="64">
        <f t="shared" si="2"/>
        <v>2025</v>
      </c>
      <c r="C173" s="64">
        <f t="shared" si="3"/>
        <v>7</v>
      </c>
      <c r="D173" s="63" t="s">
        <v>116</v>
      </c>
      <c r="E173" s="86">
        <v>3405</v>
      </c>
      <c r="F173" s="86">
        <v>2790</v>
      </c>
      <c r="G173" s="87">
        <v>2418718709</v>
      </c>
      <c r="H173" s="56">
        <v>18</v>
      </c>
      <c r="I173" s="56">
        <v>15</v>
      </c>
      <c r="J173" s="56">
        <v>0.88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</row>
    <row r="174" spans="1:16">
      <c r="A174" s="81">
        <v>45842</v>
      </c>
      <c r="B174" s="64">
        <f t="shared" si="2"/>
        <v>2025</v>
      </c>
      <c r="C174" s="64">
        <f t="shared" si="3"/>
        <v>7</v>
      </c>
      <c r="D174" s="63" t="s">
        <v>119</v>
      </c>
      <c r="E174" s="86">
        <v>1333</v>
      </c>
      <c r="F174" s="86">
        <v>1098</v>
      </c>
      <c r="G174" s="87">
        <v>397783150</v>
      </c>
      <c r="H174" s="56">
        <v>23</v>
      </c>
      <c r="I174" s="56">
        <v>15</v>
      </c>
      <c r="J174" s="63" t="s">
        <v>107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</row>
    <row r="175" spans="1:16">
      <c r="A175" s="81">
        <v>45843</v>
      </c>
      <c r="B175" s="64">
        <f t="shared" si="2"/>
        <v>2025</v>
      </c>
      <c r="C175" s="64">
        <f t="shared" si="3"/>
        <v>7</v>
      </c>
      <c r="D175" s="63" t="s">
        <v>118</v>
      </c>
      <c r="E175" s="56">
        <v>178</v>
      </c>
      <c r="F175" s="56">
        <v>160</v>
      </c>
      <c r="G175" s="87">
        <v>54722225</v>
      </c>
      <c r="H175" s="56">
        <v>18</v>
      </c>
      <c r="I175" s="56">
        <v>12</v>
      </c>
      <c r="J175" s="63" t="s">
        <v>107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</row>
    <row r="176" spans="1:16">
      <c r="A176" s="81">
        <v>45844</v>
      </c>
      <c r="B176" s="64">
        <f t="shared" si="2"/>
        <v>2025</v>
      </c>
      <c r="C176" s="64">
        <f t="shared" si="3"/>
        <v>7</v>
      </c>
      <c r="D176" s="63" t="s">
        <v>103</v>
      </c>
      <c r="E176" s="56" t="s">
        <v>107</v>
      </c>
      <c r="F176" s="56" t="s">
        <v>107</v>
      </c>
      <c r="G176" s="56" t="s">
        <v>107</v>
      </c>
      <c r="H176" s="56" t="s">
        <v>107</v>
      </c>
      <c r="I176" s="56" t="s">
        <v>107</v>
      </c>
      <c r="J176" s="63" t="s">
        <v>107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</row>
    <row r="177" spans="1:16">
      <c r="A177" s="81">
        <v>45845</v>
      </c>
      <c r="B177" s="64">
        <f t="shared" si="2"/>
        <v>2025</v>
      </c>
      <c r="C177" s="64">
        <f t="shared" si="3"/>
        <v>7</v>
      </c>
      <c r="D177" s="63" t="s">
        <v>115</v>
      </c>
      <c r="E177" s="56" t="s">
        <v>107</v>
      </c>
      <c r="F177" s="56" t="s">
        <v>107</v>
      </c>
      <c r="G177" s="56" t="s">
        <v>107</v>
      </c>
      <c r="H177" s="56" t="s">
        <v>107</v>
      </c>
      <c r="I177" s="56" t="s">
        <v>107</v>
      </c>
      <c r="J177" s="63" t="s">
        <v>107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</row>
    <row r="178" spans="1:16">
      <c r="A178" s="81">
        <v>45846</v>
      </c>
      <c r="B178" s="64">
        <f t="shared" si="2"/>
        <v>2025</v>
      </c>
      <c r="C178" s="64">
        <f t="shared" si="3"/>
        <v>7</v>
      </c>
      <c r="D178" s="63" t="s">
        <v>120</v>
      </c>
      <c r="E178" s="56" t="s">
        <v>107</v>
      </c>
      <c r="F178" s="56" t="s">
        <v>107</v>
      </c>
      <c r="G178" s="56" t="s">
        <v>107</v>
      </c>
      <c r="H178" s="56" t="s">
        <v>107</v>
      </c>
      <c r="I178" s="56" t="s">
        <v>107</v>
      </c>
      <c r="J178" s="63" t="s">
        <v>107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</row>
    <row r="179" spans="1:16">
      <c r="A179" s="81">
        <v>45870</v>
      </c>
      <c r="B179" s="64">
        <f t="shared" si="2"/>
        <v>2025</v>
      </c>
      <c r="C179" s="64">
        <f t="shared" si="3"/>
        <v>8</v>
      </c>
      <c r="D179" s="92" t="s">
        <v>113</v>
      </c>
      <c r="E179" s="93">
        <v>36676</v>
      </c>
      <c r="F179" s="93">
        <v>32919</v>
      </c>
      <c r="G179" s="93">
        <v>17108054468</v>
      </c>
      <c r="H179" s="92">
        <v>26</v>
      </c>
      <c r="I179" s="92">
        <v>18</v>
      </c>
      <c r="J179" s="63">
        <v>1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</row>
    <row r="180" spans="1:16">
      <c r="A180" s="81">
        <v>45871</v>
      </c>
      <c r="B180" s="64">
        <f t="shared" si="2"/>
        <v>2025</v>
      </c>
      <c r="C180" s="64">
        <f t="shared" si="3"/>
        <v>8</v>
      </c>
      <c r="D180" s="92" t="s">
        <v>111</v>
      </c>
      <c r="E180" s="93">
        <v>3650</v>
      </c>
      <c r="F180" s="93">
        <v>3188</v>
      </c>
      <c r="G180" s="94">
        <v>1439660305</v>
      </c>
      <c r="H180" s="92">
        <v>20</v>
      </c>
      <c r="I180" s="92">
        <v>14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</row>
    <row r="181" spans="1:16">
      <c r="A181" s="81">
        <v>45872</v>
      </c>
      <c r="B181" s="64">
        <f t="shared" si="2"/>
        <v>2025</v>
      </c>
      <c r="C181" s="64">
        <f t="shared" si="3"/>
        <v>8</v>
      </c>
      <c r="D181" s="92" t="s">
        <v>116</v>
      </c>
      <c r="E181" s="93">
        <v>3654</v>
      </c>
      <c r="F181" s="93">
        <v>3026</v>
      </c>
      <c r="G181" s="94">
        <v>2533360226</v>
      </c>
      <c r="H181" s="92">
        <v>18</v>
      </c>
      <c r="I181" s="92">
        <v>14</v>
      </c>
      <c r="J181" s="63">
        <v>1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</row>
    <row r="182" spans="1:16">
      <c r="A182" s="81">
        <v>45873</v>
      </c>
      <c r="B182" s="64">
        <f t="shared" si="2"/>
        <v>2025</v>
      </c>
      <c r="C182" s="64">
        <f t="shared" si="3"/>
        <v>8</v>
      </c>
      <c r="D182" s="92" t="s">
        <v>119</v>
      </c>
      <c r="E182" s="93">
        <v>1333</v>
      </c>
      <c r="F182" s="93">
        <v>1098</v>
      </c>
      <c r="G182" s="94">
        <v>397783150</v>
      </c>
      <c r="H182" s="92">
        <v>23</v>
      </c>
      <c r="I182" s="92">
        <v>15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0</v>
      </c>
    </row>
    <row r="183" spans="1:16">
      <c r="A183" s="81">
        <v>45874</v>
      </c>
      <c r="B183" s="64">
        <f t="shared" si="2"/>
        <v>2025</v>
      </c>
      <c r="C183" s="64">
        <f t="shared" si="3"/>
        <v>8</v>
      </c>
      <c r="D183" s="92" t="s">
        <v>118</v>
      </c>
      <c r="E183" s="92">
        <v>236</v>
      </c>
      <c r="F183" s="92">
        <v>213</v>
      </c>
      <c r="G183" s="94">
        <v>88047269</v>
      </c>
      <c r="H183" s="92">
        <v>21</v>
      </c>
      <c r="I183" s="92">
        <v>13</v>
      </c>
      <c r="J183" s="63">
        <v>1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</row>
    <row r="184" spans="1:16">
      <c r="A184" s="81">
        <v>45875</v>
      </c>
      <c r="B184" s="64">
        <f t="shared" si="2"/>
        <v>2025</v>
      </c>
      <c r="C184" s="64">
        <f t="shared" si="3"/>
        <v>8</v>
      </c>
      <c r="D184" s="92" t="s">
        <v>103</v>
      </c>
      <c r="E184" s="92" t="s">
        <v>107</v>
      </c>
      <c r="F184" s="92" t="s">
        <v>107</v>
      </c>
      <c r="G184" s="92" t="s">
        <v>107</v>
      </c>
      <c r="H184" s="92" t="s">
        <v>107</v>
      </c>
      <c r="I184" s="92" t="s">
        <v>107</v>
      </c>
      <c r="J184" s="92" t="s">
        <v>107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</row>
    <row r="185" spans="1:16">
      <c r="A185" s="81">
        <v>45876</v>
      </c>
      <c r="B185" s="64">
        <f t="shared" si="2"/>
        <v>2025</v>
      </c>
      <c r="C185" s="64">
        <f t="shared" si="3"/>
        <v>8</v>
      </c>
      <c r="D185" s="92" t="s">
        <v>115</v>
      </c>
      <c r="E185" s="92" t="s">
        <v>107</v>
      </c>
      <c r="F185" s="92" t="s">
        <v>107</v>
      </c>
      <c r="G185" s="92" t="s">
        <v>107</v>
      </c>
      <c r="H185" s="92" t="s">
        <v>107</v>
      </c>
      <c r="I185" s="92" t="s">
        <v>107</v>
      </c>
      <c r="J185" s="92" t="s">
        <v>107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</row>
    <row r="186" spans="1:16">
      <c r="A186" s="81">
        <v>45877</v>
      </c>
      <c r="B186" s="64">
        <f t="shared" si="2"/>
        <v>2025</v>
      </c>
      <c r="C186" s="64">
        <f t="shared" si="3"/>
        <v>8</v>
      </c>
      <c r="D186" s="92" t="s">
        <v>120</v>
      </c>
      <c r="E186" s="92" t="s">
        <v>107</v>
      </c>
      <c r="F186" s="93" t="s">
        <v>107</v>
      </c>
      <c r="G186" s="92" t="s">
        <v>107</v>
      </c>
      <c r="H186" s="92" t="s">
        <v>107</v>
      </c>
      <c r="I186" s="92" t="s">
        <v>107</v>
      </c>
      <c r="J186" s="92" t="s">
        <v>107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</row>
    <row r="187" spans="1:16">
      <c r="A187" s="81">
        <v>45909</v>
      </c>
      <c r="B187" s="64">
        <v>2025</v>
      </c>
      <c r="C187" s="64">
        <v>9</v>
      </c>
      <c r="D187" s="64" t="s">
        <v>113</v>
      </c>
      <c r="E187" s="77">
        <v>39923</v>
      </c>
      <c r="F187" s="77">
        <v>35865</v>
      </c>
      <c r="G187" s="80">
        <v>18316141343</v>
      </c>
      <c r="H187" s="64">
        <v>27</v>
      </c>
      <c r="I187" s="64">
        <v>19</v>
      </c>
      <c r="J187" s="64"/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</row>
    <row r="188" spans="1:16">
      <c r="A188" s="81">
        <v>45909</v>
      </c>
      <c r="B188" s="64">
        <v>2025</v>
      </c>
      <c r="C188" s="64">
        <v>9</v>
      </c>
      <c r="D188" s="64" t="s">
        <v>111</v>
      </c>
      <c r="E188" s="77">
        <v>3872</v>
      </c>
      <c r="F188" s="77">
        <v>3394</v>
      </c>
      <c r="G188" s="80">
        <v>1533369425</v>
      </c>
      <c r="H188" s="64">
        <v>19</v>
      </c>
      <c r="I188" s="64">
        <v>13</v>
      </c>
      <c r="J188" s="64"/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</row>
    <row r="189" spans="1:16">
      <c r="A189" s="81">
        <v>45909</v>
      </c>
      <c r="B189" s="64">
        <v>2025</v>
      </c>
      <c r="C189" s="64">
        <v>9</v>
      </c>
      <c r="D189" s="64" t="s">
        <v>116</v>
      </c>
      <c r="E189" s="77">
        <v>4570</v>
      </c>
      <c r="F189" s="77">
        <v>3730</v>
      </c>
      <c r="G189" s="80">
        <v>3226407489</v>
      </c>
      <c r="H189" s="64">
        <v>18</v>
      </c>
      <c r="I189" s="64">
        <v>15</v>
      </c>
      <c r="J189" s="64"/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</row>
    <row r="190" spans="1:16">
      <c r="A190" s="81">
        <v>45909</v>
      </c>
      <c r="B190" s="64">
        <v>2025</v>
      </c>
      <c r="C190" s="64">
        <v>9</v>
      </c>
      <c r="D190" s="64" t="s">
        <v>119</v>
      </c>
      <c r="E190" s="77">
        <v>1333</v>
      </c>
      <c r="F190" s="77">
        <v>1098</v>
      </c>
      <c r="G190" s="80">
        <v>397783150</v>
      </c>
      <c r="H190" s="64">
        <v>23</v>
      </c>
      <c r="I190" s="64">
        <v>15</v>
      </c>
      <c r="J190" s="64"/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</row>
    <row r="191" spans="1:16">
      <c r="A191" s="81">
        <v>45909</v>
      </c>
      <c r="B191" s="64">
        <v>2025</v>
      </c>
      <c r="C191" s="64">
        <v>9</v>
      </c>
      <c r="D191" s="64" t="s">
        <v>118</v>
      </c>
      <c r="E191" s="64">
        <v>236</v>
      </c>
      <c r="F191" s="77">
        <v>213</v>
      </c>
      <c r="G191" s="80">
        <v>88047269</v>
      </c>
      <c r="H191" s="64">
        <v>21</v>
      </c>
      <c r="I191" s="64">
        <v>13</v>
      </c>
      <c r="J191" s="64"/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</row>
    <row r="192" spans="1:16">
      <c r="A192" s="81">
        <v>45909</v>
      </c>
      <c r="B192" s="64">
        <v>2025</v>
      </c>
      <c r="C192" s="64">
        <v>9</v>
      </c>
      <c r="D192" s="64" t="s">
        <v>103</v>
      </c>
      <c r="E192" s="64" t="s">
        <v>107</v>
      </c>
      <c r="F192" s="77" t="s">
        <v>107</v>
      </c>
      <c r="G192" s="64" t="s">
        <v>107</v>
      </c>
      <c r="H192" s="64" t="s">
        <v>107</v>
      </c>
      <c r="I192" s="64" t="s">
        <v>107</v>
      </c>
      <c r="J192" s="64"/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</row>
    <row r="193" spans="1:16">
      <c r="A193" s="81">
        <v>45909</v>
      </c>
      <c r="B193" s="64">
        <v>2025</v>
      </c>
      <c r="C193" s="64">
        <v>9</v>
      </c>
      <c r="D193" s="64" t="s">
        <v>115</v>
      </c>
      <c r="E193" s="64" t="s">
        <v>107</v>
      </c>
      <c r="F193" s="77" t="s">
        <v>107</v>
      </c>
      <c r="G193" s="64" t="s">
        <v>107</v>
      </c>
      <c r="H193" s="64" t="s">
        <v>107</v>
      </c>
      <c r="I193" s="64" t="s">
        <v>107</v>
      </c>
      <c r="J193" s="64"/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</row>
    <row r="194" spans="1:16">
      <c r="A194" s="81">
        <v>45909</v>
      </c>
      <c r="B194" s="64">
        <v>2025</v>
      </c>
      <c r="C194" s="64">
        <v>9</v>
      </c>
      <c r="D194" s="64" t="s">
        <v>120</v>
      </c>
      <c r="E194" s="64" t="s">
        <v>107</v>
      </c>
      <c r="F194" s="77" t="s">
        <v>107</v>
      </c>
      <c r="G194" s="64" t="s">
        <v>107</v>
      </c>
      <c r="H194" s="64" t="s">
        <v>107</v>
      </c>
      <c r="I194" s="64" t="s">
        <v>107</v>
      </c>
      <c r="J194" s="64"/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</row>
    <row r="195" spans="1:16">
      <c r="A195" s="81">
        <v>45939</v>
      </c>
      <c r="B195" s="64">
        <v>2025</v>
      </c>
      <c r="C195" s="64">
        <v>10</v>
      </c>
      <c r="D195" s="64" t="s">
        <v>113</v>
      </c>
      <c r="E195" s="77">
        <v>44618</v>
      </c>
      <c r="F195" s="77">
        <v>40.055</v>
      </c>
      <c r="G195" s="80">
        <v>20544662555</v>
      </c>
      <c r="H195" s="64">
        <v>27</v>
      </c>
      <c r="I195" s="64">
        <v>19</v>
      </c>
      <c r="J195" s="64">
        <v>0.9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</row>
    <row r="196" spans="1:16">
      <c r="A196" s="81">
        <v>45940</v>
      </c>
      <c r="B196" s="64">
        <v>2025</v>
      </c>
      <c r="C196" s="64">
        <v>10</v>
      </c>
      <c r="D196" s="64" t="s">
        <v>111</v>
      </c>
      <c r="E196" s="77">
        <v>5132</v>
      </c>
      <c r="F196" s="77">
        <v>4.2480000000000002</v>
      </c>
      <c r="G196" s="80">
        <v>3551654323</v>
      </c>
      <c r="H196" s="64">
        <v>18</v>
      </c>
      <c r="I196" s="64">
        <v>15</v>
      </c>
      <c r="J196" s="64">
        <v>1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</row>
    <row r="197" spans="1:16">
      <c r="A197" s="81">
        <v>45941</v>
      </c>
      <c r="B197" s="64">
        <v>2025</v>
      </c>
      <c r="C197" s="64">
        <v>10</v>
      </c>
      <c r="D197" s="64" t="s">
        <v>116</v>
      </c>
      <c r="E197" s="77">
        <v>3872</v>
      </c>
      <c r="F197" s="77">
        <v>3.3940000000000001</v>
      </c>
      <c r="G197" s="80">
        <v>1533369425</v>
      </c>
      <c r="H197" s="64">
        <v>19</v>
      </c>
      <c r="I197" s="64">
        <v>13</v>
      </c>
      <c r="J197" s="64">
        <v>1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</row>
    <row r="198" spans="1:16">
      <c r="A198" s="81">
        <v>45942</v>
      </c>
      <c r="B198" s="64">
        <v>2025</v>
      </c>
      <c r="C198" s="64">
        <v>10</v>
      </c>
      <c r="D198" s="64" t="s">
        <v>119</v>
      </c>
      <c r="E198" s="77">
        <v>1333</v>
      </c>
      <c r="F198" s="77">
        <v>1.0980000000000001</v>
      </c>
      <c r="G198" s="80">
        <v>397783150</v>
      </c>
      <c r="H198" s="64">
        <v>23</v>
      </c>
      <c r="I198" s="64">
        <v>15</v>
      </c>
      <c r="J198" s="64">
        <v>0.9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</row>
    <row r="199" spans="1:16">
      <c r="A199" s="81">
        <v>45943</v>
      </c>
      <c r="B199" s="64">
        <v>2025</v>
      </c>
      <c r="C199" s="64">
        <v>10</v>
      </c>
      <c r="D199" s="64" t="s">
        <v>118</v>
      </c>
      <c r="E199" s="64">
        <v>236</v>
      </c>
      <c r="F199" s="77">
        <v>213</v>
      </c>
      <c r="G199" s="80">
        <v>88047269</v>
      </c>
      <c r="H199" s="64">
        <v>21</v>
      </c>
      <c r="I199" s="64">
        <v>13</v>
      </c>
      <c r="J199" s="64">
        <v>0.9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</row>
    <row r="200" spans="1:16">
      <c r="A200" s="81">
        <v>45944</v>
      </c>
      <c r="B200" s="64">
        <v>2025</v>
      </c>
      <c r="C200" s="64">
        <v>10</v>
      </c>
      <c r="D200" s="64" t="s">
        <v>103</v>
      </c>
      <c r="E200" s="64" t="s">
        <v>107</v>
      </c>
      <c r="F200" s="77" t="s">
        <v>107</v>
      </c>
      <c r="G200" s="64" t="s">
        <v>107</v>
      </c>
      <c r="H200" s="64" t="s">
        <v>107</v>
      </c>
      <c r="I200" s="64" t="s">
        <v>107</v>
      </c>
      <c r="J200" s="92" t="s">
        <v>107</v>
      </c>
      <c r="K200" s="63">
        <v>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</row>
    <row r="201" spans="1:16">
      <c r="A201" s="81">
        <v>45945</v>
      </c>
      <c r="B201" s="64">
        <v>2025</v>
      </c>
      <c r="C201" s="64">
        <v>10</v>
      </c>
      <c r="D201" s="64" t="s">
        <v>115</v>
      </c>
      <c r="E201" s="64" t="s">
        <v>107</v>
      </c>
      <c r="F201" s="77" t="s">
        <v>107</v>
      </c>
      <c r="G201" s="64" t="s">
        <v>107</v>
      </c>
      <c r="H201" s="64" t="s">
        <v>107</v>
      </c>
      <c r="I201" s="64" t="s">
        <v>107</v>
      </c>
      <c r="J201" s="92" t="s">
        <v>107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</row>
    <row r="202" spans="1:16">
      <c r="A202" s="81">
        <v>45946</v>
      </c>
      <c r="B202" s="64">
        <v>2025</v>
      </c>
      <c r="C202" s="64">
        <v>10</v>
      </c>
      <c r="D202" s="64" t="s">
        <v>120</v>
      </c>
      <c r="E202" s="64" t="s">
        <v>107</v>
      </c>
      <c r="F202" s="77" t="s">
        <v>107</v>
      </c>
      <c r="G202" s="64" t="s">
        <v>107</v>
      </c>
      <c r="H202" s="64" t="s">
        <v>107</v>
      </c>
      <c r="I202" s="64" t="s">
        <v>107</v>
      </c>
      <c r="J202" s="92" t="s">
        <v>107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</row>
    <row r="203" spans="1:16">
      <c r="A203" s="81">
        <v>45962</v>
      </c>
      <c r="B203" s="64">
        <v>2025</v>
      </c>
      <c r="C203" s="64">
        <v>11</v>
      </c>
      <c r="D203" s="64" t="s">
        <v>113</v>
      </c>
      <c r="E203" s="77">
        <v>49863</v>
      </c>
      <c r="F203" s="77">
        <v>44713</v>
      </c>
      <c r="G203" s="80">
        <v>22937522373</v>
      </c>
      <c r="H203" s="64">
        <v>27</v>
      </c>
      <c r="I203" s="64">
        <v>18</v>
      </c>
      <c r="J203" s="64">
        <v>0.9</v>
      </c>
      <c r="K203" s="63">
        <v>0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</row>
    <row r="204" spans="1:16">
      <c r="A204" s="81">
        <v>45962</v>
      </c>
      <c r="B204" s="64">
        <v>2025</v>
      </c>
      <c r="C204" s="64">
        <v>11</v>
      </c>
      <c r="D204" s="64" t="s">
        <v>111</v>
      </c>
      <c r="E204" s="77">
        <v>5790</v>
      </c>
      <c r="F204" s="77">
        <v>4822</v>
      </c>
      <c r="G204" s="80">
        <v>3781047228</v>
      </c>
      <c r="H204" s="64">
        <v>18</v>
      </c>
      <c r="I204" s="64">
        <v>14</v>
      </c>
      <c r="J204" s="64">
        <v>1</v>
      </c>
      <c r="K204" s="63">
        <v>0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</row>
    <row r="205" spans="1:16">
      <c r="A205" s="81">
        <v>45962</v>
      </c>
      <c r="B205" s="64">
        <v>2025</v>
      </c>
      <c r="C205" s="64">
        <v>11</v>
      </c>
      <c r="D205" s="64" t="s">
        <v>116</v>
      </c>
      <c r="E205" s="77">
        <v>5121</v>
      </c>
      <c r="F205" s="77">
        <v>4560</v>
      </c>
      <c r="G205" s="80">
        <v>2055698760</v>
      </c>
      <c r="H205" s="64">
        <v>20</v>
      </c>
      <c r="I205" s="64">
        <v>14</v>
      </c>
      <c r="J205" s="64">
        <v>1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</row>
    <row r="206" spans="1:16">
      <c r="A206" s="81">
        <v>45962</v>
      </c>
      <c r="B206" s="64">
        <v>2025</v>
      </c>
      <c r="C206" s="64">
        <v>11</v>
      </c>
      <c r="D206" s="64" t="s">
        <v>119</v>
      </c>
      <c r="E206" s="77">
        <v>1535</v>
      </c>
      <c r="F206" s="77">
        <v>1286</v>
      </c>
      <c r="G206" s="80">
        <v>480362355</v>
      </c>
      <c r="H206" s="64">
        <v>22</v>
      </c>
      <c r="I206" s="64">
        <v>15</v>
      </c>
      <c r="J206" s="64">
        <v>0.9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</row>
    <row r="207" spans="1:16">
      <c r="A207" s="81">
        <v>45962</v>
      </c>
      <c r="B207" s="64">
        <v>2025</v>
      </c>
      <c r="C207" s="64">
        <v>11</v>
      </c>
      <c r="D207" s="64" t="s">
        <v>118</v>
      </c>
      <c r="E207" s="64">
        <v>236</v>
      </c>
      <c r="F207" s="77">
        <v>213</v>
      </c>
      <c r="G207" s="80">
        <v>88047269</v>
      </c>
      <c r="H207" s="64">
        <v>21</v>
      </c>
      <c r="I207" s="64">
        <v>13</v>
      </c>
      <c r="J207" s="64">
        <v>0.9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</row>
    <row r="208" spans="1:16">
      <c r="A208" s="81">
        <v>45962</v>
      </c>
      <c r="B208" s="64">
        <v>2025</v>
      </c>
      <c r="C208" s="64">
        <v>11</v>
      </c>
      <c r="D208" s="64" t="s">
        <v>103</v>
      </c>
      <c r="E208" s="64" t="s">
        <v>107</v>
      </c>
      <c r="F208" s="77" t="s">
        <v>107</v>
      </c>
      <c r="G208" s="64" t="s">
        <v>107</v>
      </c>
      <c r="H208" s="64" t="s">
        <v>107</v>
      </c>
      <c r="I208" s="64" t="s">
        <v>107</v>
      </c>
      <c r="J208" s="92" t="s">
        <v>107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</row>
    <row r="209" spans="1:16">
      <c r="A209" s="81">
        <v>45962</v>
      </c>
      <c r="B209" s="64">
        <v>2025</v>
      </c>
      <c r="C209" s="64">
        <v>11</v>
      </c>
      <c r="D209" s="64" t="s">
        <v>115</v>
      </c>
      <c r="E209" s="64" t="s">
        <v>107</v>
      </c>
      <c r="F209" s="77" t="s">
        <v>107</v>
      </c>
      <c r="G209" s="64" t="s">
        <v>107</v>
      </c>
      <c r="H209" s="64" t="s">
        <v>107</v>
      </c>
      <c r="I209" s="64" t="s">
        <v>107</v>
      </c>
      <c r="J209" s="92" t="s">
        <v>107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</row>
    <row r="210" spans="1:16">
      <c r="A210" s="81">
        <v>45962</v>
      </c>
      <c r="B210" s="64">
        <v>2025</v>
      </c>
      <c r="C210" s="64">
        <v>11</v>
      </c>
      <c r="D210" s="64" t="s">
        <v>120</v>
      </c>
      <c r="E210" s="64" t="s">
        <v>107</v>
      </c>
      <c r="F210" s="77" t="s">
        <v>107</v>
      </c>
      <c r="G210" s="64" t="s">
        <v>107</v>
      </c>
      <c r="H210" s="64" t="s">
        <v>107</v>
      </c>
      <c r="I210" s="64" t="s">
        <v>107</v>
      </c>
      <c r="J210" s="92" t="s">
        <v>107</v>
      </c>
      <c r="K210" s="63">
        <v>0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</row>
    <row r="211" spans="1:16">
      <c r="A211" s="81">
        <v>45992</v>
      </c>
      <c r="B211" s="64">
        <v>2025</v>
      </c>
      <c r="C211" s="64">
        <v>12</v>
      </c>
      <c r="D211" s="64" t="s">
        <v>113</v>
      </c>
      <c r="E211" s="77">
        <v>55699</v>
      </c>
      <c r="F211" s="77">
        <v>49824</v>
      </c>
      <c r="G211" s="80">
        <v>25344774503</v>
      </c>
      <c r="H211" s="64">
        <v>27</v>
      </c>
      <c r="I211" s="64">
        <v>18</v>
      </c>
      <c r="J211" s="64">
        <v>0.9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</row>
    <row r="212" spans="1:16">
      <c r="A212" s="81">
        <v>45992</v>
      </c>
      <c r="B212" s="64">
        <v>2025</v>
      </c>
      <c r="C212" s="64">
        <v>12</v>
      </c>
      <c r="D212" s="64" t="s">
        <v>111</v>
      </c>
      <c r="E212" s="77">
        <v>6793</v>
      </c>
      <c r="F212" s="77">
        <v>5851</v>
      </c>
      <c r="G212" s="80">
        <v>2750875412</v>
      </c>
      <c r="H212" s="64">
        <v>20</v>
      </c>
      <c r="I212" s="64">
        <v>14</v>
      </c>
      <c r="J212" s="64">
        <v>1</v>
      </c>
      <c r="K212" s="63">
        <v>0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</row>
    <row r="213" spans="1:16">
      <c r="A213" s="81">
        <v>45992</v>
      </c>
      <c r="B213" s="64">
        <v>2025</v>
      </c>
      <c r="C213" s="64">
        <v>12</v>
      </c>
      <c r="D213" s="64" t="s">
        <v>116</v>
      </c>
      <c r="E213" s="77">
        <v>6054</v>
      </c>
      <c r="F213" s="77">
        <v>5069</v>
      </c>
      <c r="G213" s="80">
        <v>3952104543</v>
      </c>
      <c r="H213" s="64">
        <v>18</v>
      </c>
      <c r="I213" s="64">
        <v>15</v>
      </c>
      <c r="J213" s="64">
        <v>0.9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</row>
    <row r="214" spans="1:16">
      <c r="A214" s="81">
        <v>45992</v>
      </c>
      <c r="B214" s="64">
        <v>2025</v>
      </c>
      <c r="C214" s="64">
        <v>12</v>
      </c>
      <c r="D214" s="64" t="s">
        <v>119</v>
      </c>
      <c r="E214" s="77">
        <v>1535</v>
      </c>
      <c r="F214" s="77">
        <v>1286</v>
      </c>
      <c r="G214" s="80">
        <v>480362355</v>
      </c>
      <c r="H214" s="64">
        <v>22</v>
      </c>
      <c r="I214" s="64">
        <v>15</v>
      </c>
      <c r="J214" s="64">
        <v>1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</row>
    <row r="215" spans="1:16">
      <c r="A215" s="81">
        <v>45992</v>
      </c>
      <c r="B215" s="64">
        <v>2025</v>
      </c>
      <c r="C215" s="64">
        <v>12</v>
      </c>
      <c r="D215" s="64" t="s">
        <v>118</v>
      </c>
      <c r="E215" s="64">
        <v>236</v>
      </c>
      <c r="F215" s="77">
        <v>213</v>
      </c>
      <c r="G215" s="80">
        <v>88047269</v>
      </c>
      <c r="H215" s="64">
        <v>21</v>
      </c>
      <c r="I215" s="64">
        <v>13</v>
      </c>
      <c r="J215" s="64">
        <v>0.9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</row>
    <row r="216" spans="1:16">
      <c r="A216" s="81">
        <v>45992</v>
      </c>
      <c r="B216" s="64">
        <v>2025</v>
      </c>
      <c r="C216" s="64">
        <v>12</v>
      </c>
      <c r="D216" s="64" t="s">
        <v>103</v>
      </c>
      <c r="E216" s="64" t="s">
        <v>107</v>
      </c>
      <c r="F216" s="77" t="s">
        <v>107</v>
      </c>
      <c r="G216" s="64" t="s">
        <v>107</v>
      </c>
      <c r="H216" s="64" t="s">
        <v>107</v>
      </c>
      <c r="I216" s="64" t="s">
        <v>107</v>
      </c>
      <c r="J216" s="64" t="s">
        <v>107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</row>
    <row r="217" spans="1:16">
      <c r="A217" s="81">
        <v>45992</v>
      </c>
      <c r="B217" s="64">
        <v>2025</v>
      </c>
      <c r="C217" s="64">
        <v>12</v>
      </c>
      <c r="D217" s="64" t="s">
        <v>115</v>
      </c>
      <c r="E217" s="64" t="s">
        <v>107</v>
      </c>
      <c r="F217" s="77" t="s">
        <v>107</v>
      </c>
      <c r="G217" s="64" t="s">
        <v>107</v>
      </c>
      <c r="H217" s="64" t="s">
        <v>107</v>
      </c>
      <c r="I217" s="64" t="s">
        <v>107</v>
      </c>
      <c r="J217" s="64" t="s">
        <v>107</v>
      </c>
      <c r="K217" s="63">
        <v>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</row>
    <row r="218" spans="1:16">
      <c r="A218" s="81">
        <v>45992</v>
      </c>
      <c r="B218" s="64">
        <v>2025</v>
      </c>
      <c r="C218" s="64">
        <v>12</v>
      </c>
      <c r="D218" s="64" t="s">
        <v>120</v>
      </c>
      <c r="E218" s="64" t="s">
        <v>107</v>
      </c>
      <c r="F218" s="77" t="s">
        <v>107</v>
      </c>
      <c r="G218" s="64" t="s">
        <v>107</v>
      </c>
      <c r="H218" s="64" t="s">
        <v>107</v>
      </c>
      <c r="I218" s="64" t="s">
        <v>107</v>
      </c>
      <c r="J218" s="64" t="s">
        <v>107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</row>
    <row r="219" spans="1:16">
      <c r="A219" s="81">
        <v>46023</v>
      </c>
      <c r="B219" s="64">
        <v>2026</v>
      </c>
      <c r="C219" s="11">
        <f t="shared" ref="C219:C226" si="4">MONTH(A219)</f>
        <v>1</v>
      </c>
      <c r="D219" s="27" t="s">
        <v>111</v>
      </c>
      <c r="E219" s="13">
        <v>3196</v>
      </c>
      <c r="F219" s="13">
        <v>2854</v>
      </c>
      <c r="G219" s="95">
        <v>1266872099</v>
      </c>
      <c r="H219" s="11">
        <v>18</v>
      </c>
      <c r="I219" s="11">
        <v>20</v>
      </c>
      <c r="J219" s="11">
        <v>10.9</v>
      </c>
    </row>
    <row r="220" spans="1:16">
      <c r="A220" s="81">
        <v>46024</v>
      </c>
      <c r="B220" s="64">
        <v>2026</v>
      </c>
      <c r="C220" s="11">
        <f t="shared" si="4"/>
        <v>1</v>
      </c>
      <c r="D220" s="27" t="s">
        <v>113</v>
      </c>
      <c r="E220" s="13">
        <v>2958</v>
      </c>
      <c r="F220" s="13">
        <v>2591</v>
      </c>
      <c r="G220" s="95">
        <v>1233238525</v>
      </c>
      <c r="H220" s="11">
        <v>24</v>
      </c>
      <c r="I220" s="11">
        <v>13</v>
      </c>
      <c r="J220" s="11">
        <v>7</v>
      </c>
    </row>
    <row r="221" spans="1:16">
      <c r="A221" s="81">
        <v>46025</v>
      </c>
      <c r="B221" s="64">
        <v>2026</v>
      </c>
      <c r="C221" s="11">
        <f t="shared" si="4"/>
        <v>1</v>
      </c>
      <c r="D221" s="27" t="s">
        <v>116</v>
      </c>
      <c r="E221" s="13">
        <v>1157</v>
      </c>
      <c r="F221" s="13">
        <v>999</v>
      </c>
      <c r="G221" s="95">
        <v>431336320</v>
      </c>
      <c r="H221" s="11">
        <v>16</v>
      </c>
      <c r="I221" s="11">
        <v>15</v>
      </c>
      <c r="J221" s="11">
        <v>3.21</v>
      </c>
    </row>
    <row r="222" spans="1:16">
      <c r="A222" s="81">
        <v>46026</v>
      </c>
      <c r="B222" s="64">
        <v>2026</v>
      </c>
      <c r="C222" s="11">
        <f t="shared" si="4"/>
        <v>1</v>
      </c>
      <c r="D222" s="27" t="s">
        <v>119</v>
      </c>
      <c r="E222" s="11" t="s">
        <v>107</v>
      </c>
      <c r="F222" s="13" t="s">
        <v>107</v>
      </c>
      <c r="G222" s="95">
        <v>0</v>
      </c>
      <c r="H222" s="11" t="s">
        <v>107</v>
      </c>
      <c r="I222" s="11" t="s">
        <v>107</v>
      </c>
      <c r="J222" s="11" t="s">
        <v>107</v>
      </c>
    </row>
    <row r="223" spans="1:16">
      <c r="A223" s="81">
        <v>46027</v>
      </c>
      <c r="B223" s="64">
        <v>2026</v>
      </c>
      <c r="C223" s="11">
        <f t="shared" si="4"/>
        <v>1</v>
      </c>
      <c r="D223" s="27" t="s">
        <v>118</v>
      </c>
      <c r="E223" s="11" t="s">
        <v>107</v>
      </c>
      <c r="F223" s="13" t="s">
        <v>107</v>
      </c>
      <c r="G223" s="95">
        <v>0</v>
      </c>
      <c r="H223" s="11" t="s">
        <v>107</v>
      </c>
      <c r="I223" s="11" t="s">
        <v>107</v>
      </c>
      <c r="J223" s="11" t="s">
        <v>107</v>
      </c>
    </row>
    <row r="224" spans="1:16">
      <c r="A224" s="81">
        <v>46028</v>
      </c>
      <c r="B224" s="64">
        <v>2026</v>
      </c>
      <c r="C224" s="11">
        <f t="shared" si="4"/>
        <v>1</v>
      </c>
      <c r="D224" s="27" t="s">
        <v>103</v>
      </c>
      <c r="E224" s="11" t="s">
        <v>107</v>
      </c>
      <c r="F224" s="13" t="s">
        <v>107</v>
      </c>
      <c r="G224" s="11" t="s">
        <v>107</v>
      </c>
      <c r="H224" s="11" t="s">
        <v>107</v>
      </c>
      <c r="I224" s="11" t="s">
        <v>107</v>
      </c>
      <c r="J224" s="11" t="s">
        <v>107</v>
      </c>
    </row>
    <row r="225" spans="1:10">
      <c r="A225" s="81">
        <v>46029</v>
      </c>
      <c r="B225" s="64">
        <v>2026</v>
      </c>
      <c r="C225" s="11">
        <f t="shared" si="4"/>
        <v>1</v>
      </c>
      <c r="D225" s="27" t="s">
        <v>115</v>
      </c>
      <c r="E225" s="11" t="s">
        <v>107</v>
      </c>
      <c r="F225" s="13" t="s">
        <v>107</v>
      </c>
      <c r="G225" s="11" t="s">
        <v>107</v>
      </c>
      <c r="H225" s="11" t="s">
        <v>107</v>
      </c>
      <c r="I225" s="11" t="s">
        <v>107</v>
      </c>
      <c r="J225" s="11" t="s">
        <v>107</v>
      </c>
    </row>
    <row r="226" spans="1:10">
      <c r="A226" s="81">
        <v>46030</v>
      </c>
      <c r="B226" s="64">
        <v>2026</v>
      </c>
      <c r="C226" s="11">
        <f t="shared" si="4"/>
        <v>1</v>
      </c>
      <c r="D226" s="27" t="s">
        <v>120</v>
      </c>
      <c r="E226" s="11" t="s">
        <v>107</v>
      </c>
      <c r="F226" s="13" t="s">
        <v>107</v>
      </c>
      <c r="G226" s="11" t="s">
        <v>107</v>
      </c>
      <c r="H226" s="11" t="s">
        <v>107</v>
      </c>
      <c r="I226" s="11" t="s">
        <v>107</v>
      </c>
      <c r="J226" s="11" t="s">
        <v>107</v>
      </c>
    </row>
    <row r="227" spans="1:10">
      <c r="D227" s="27"/>
      <c r="F227" s="13"/>
    </row>
    <row r="228" spans="1:10">
      <c r="D228" s="27"/>
      <c r="F228" s="13"/>
    </row>
    <row r="229" spans="1:10">
      <c r="D229" s="27"/>
      <c r="F229" s="13"/>
    </row>
    <row r="230" spans="1:10">
      <c r="D230" s="27"/>
      <c r="F230" s="13"/>
    </row>
    <row r="231" spans="1:10">
      <c r="D231" s="27"/>
      <c r="F231" s="13"/>
    </row>
    <row r="232" spans="1:10">
      <c r="D232" s="27"/>
      <c r="F232" s="13"/>
    </row>
    <row r="233" spans="1:10">
      <c r="D233" s="27"/>
      <c r="F233" s="13"/>
    </row>
    <row r="234" spans="1:10">
      <c r="D234" s="27"/>
      <c r="F234" s="13"/>
    </row>
    <row r="235" spans="1:10">
      <c r="D235" s="27"/>
      <c r="F235" s="13"/>
    </row>
    <row r="236" spans="1:10">
      <c r="D236" s="27"/>
      <c r="F236" s="13"/>
    </row>
    <row r="237" spans="1:10">
      <c r="D237" s="27"/>
      <c r="F237" s="13"/>
    </row>
    <row r="238" spans="1:10">
      <c r="D238" s="27"/>
      <c r="F238" s="13"/>
    </row>
    <row r="239" spans="1:10">
      <c r="D239" s="27"/>
      <c r="F239" s="13"/>
    </row>
    <row r="240" spans="1:10">
      <c r="D240" s="27"/>
      <c r="F240" s="13"/>
    </row>
    <row r="241" spans="4:6">
      <c r="D241" s="27"/>
      <c r="F241" s="13"/>
    </row>
    <row r="242" spans="4:6">
      <c r="D242" s="27"/>
      <c r="F242" s="13"/>
    </row>
    <row r="243" spans="4:6">
      <c r="D243" s="27"/>
      <c r="F243" s="13"/>
    </row>
    <row r="244" spans="4:6">
      <c r="D244" s="27"/>
      <c r="F244" s="13"/>
    </row>
    <row r="245" spans="4:6">
      <c r="D245" s="27"/>
      <c r="F245" s="13"/>
    </row>
    <row r="246" spans="4:6">
      <c r="D246" s="27"/>
      <c r="F246" s="13"/>
    </row>
    <row r="247" spans="4:6">
      <c r="D247" s="27"/>
      <c r="F247" s="13"/>
    </row>
    <row r="248" spans="4:6">
      <c r="D248" s="27"/>
      <c r="F248" s="13"/>
    </row>
    <row r="249" spans="4:6">
      <c r="D249" s="27"/>
      <c r="F249" s="13"/>
    </row>
    <row r="250" spans="4:6">
      <c r="D250" s="27"/>
      <c r="F250" s="13"/>
    </row>
    <row r="251" spans="4:6">
      <c r="D251" s="27"/>
      <c r="F251" s="13"/>
    </row>
    <row r="252" spans="4:6">
      <c r="D252" s="27"/>
      <c r="F252" s="13"/>
    </row>
    <row r="253" spans="4:6">
      <c r="D253" s="27"/>
      <c r="F253" s="13"/>
    </row>
    <row r="254" spans="4:6">
      <c r="D254" s="27"/>
      <c r="F254" s="13"/>
    </row>
    <row r="255" spans="4:6">
      <c r="D255" s="27"/>
      <c r="F255" s="13"/>
    </row>
    <row r="256" spans="4:6">
      <c r="D256" s="27"/>
      <c r="F256" s="13"/>
    </row>
    <row r="257" spans="4:6">
      <c r="D257" s="27"/>
      <c r="F257" s="13"/>
    </row>
    <row r="258" spans="4:6">
      <c r="D258" s="27"/>
      <c r="F258" s="13"/>
    </row>
    <row r="259" spans="4:6">
      <c r="D259" s="27"/>
      <c r="F259" s="13"/>
    </row>
    <row r="260" spans="4:6">
      <c r="D260" s="27"/>
      <c r="F260" s="13"/>
    </row>
    <row r="261" spans="4:6">
      <c r="D261" s="27"/>
      <c r="F261" s="13"/>
    </row>
    <row r="262" spans="4:6">
      <c r="D262" s="27"/>
      <c r="F262" s="13"/>
    </row>
    <row r="263" spans="4:6">
      <c r="D263" s="27"/>
      <c r="F263" s="13"/>
    </row>
    <row r="264" spans="4:6">
      <c r="D264" s="27"/>
      <c r="F264" s="13"/>
    </row>
    <row r="265" spans="4:6">
      <c r="D265" s="27"/>
      <c r="F265" s="13"/>
    </row>
    <row r="266" spans="4:6">
      <c r="D266" s="27"/>
      <c r="F266" s="13"/>
    </row>
    <row r="267" spans="4:6">
      <c r="D267" s="27"/>
      <c r="F267" s="13"/>
    </row>
    <row r="268" spans="4:6">
      <c r="D268" s="27"/>
      <c r="F268" s="13"/>
    </row>
    <row r="269" spans="4:6">
      <c r="D269" s="27"/>
      <c r="F269" s="13"/>
    </row>
    <row r="270" spans="4:6">
      <c r="D270" s="27"/>
      <c r="F270" s="13"/>
    </row>
    <row r="271" spans="4:6">
      <c r="D271" s="27"/>
      <c r="F271" s="13"/>
    </row>
    <row r="272" spans="4:6">
      <c r="D272" s="27"/>
      <c r="F272" s="13"/>
    </row>
    <row r="273" spans="4:6">
      <c r="D273" s="27"/>
      <c r="F273" s="13"/>
    </row>
    <row r="274" spans="4:6">
      <c r="D274" s="27"/>
      <c r="F274" s="13"/>
    </row>
    <row r="275" spans="4:6">
      <c r="D275" s="27"/>
      <c r="F275" s="13"/>
    </row>
    <row r="276" spans="4:6">
      <c r="D276" s="27"/>
      <c r="F276" s="13"/>
    </row>
    <row r="277" spans="4:6">
      <c r="D277" s="27"/>
      <c r="F277" s="13"/>
    </row>
    <row r="278" spans="4:6">
      <c r="D278" s="27"/>
      <c r="F278" s="13"/>
    </row>
    <row r="279" spans="4:6">
      <c r="D279" s="27"/>
      <c r="F279" s="13"/>
    </row>
    <row r="280" spans="4:6">
      <c r="D280" s="27"/>
      <c r="F280" s="13"/>
    </row>
    <row r="281" spans="4:6">
      <c r="D281" s="27"/>
      <c r="F281" s="13"/>
    </row>
    <row r="282" spans="4:6">
      <c r="D282" s="27"/>
      <c r="F282" s="13"/>
    </row>
    <row r="283" spans="4:6">
      <c r="D283" s="27"/>
      <c r="F283" s="13"/>
    </row>
    <row r="284" spans="4:6">
      <c r="D284" s="27"/>
      <c r="F284" s="13"/>
    </row>
    <row r="285" spans="4:6">
      <c r="D285" s="27"/>
      <c r="F285" s="13"/>
    </row>
    <row r="286" spans="4:6">
      <c r="D286" s="27"/>
      <c r="F286" s="13"/>
    </row>
    <row r="287" spans="4:6">
      <c r="D287" s="27"/>
      <c r="F287" s="13"/>
    </row>
    <row r="288" spans="4:6">
      <c r="D288" s="27"/>
      <c r="F288" s="13"/>
    </row>
    <row r="289" spans="4:6">
      <c r="D289" s="27"/>
      <c r="F289" s="13"/>
    </row>
    <row r="290" spans="4:6">
      <c r="D290" s="27"/>
      <c r="F290" s="13"/>
    </row>
    <row r="291" spans="4:6">
      <c r="D291" s="27"/>
      <c r="F291" s="13"/>
    </row>
    <row r="292" spans="4:6">
      <c r="D292" s="27"/>
      <c r="F292" s="13"/>
    </row>
    <row r="293" spans="4:6">
      <c r="D293" s="27"/>
      <c r="F293" s="13"/>
    </row>
    <row r="294" spans="4:6">
      <c r="D294" s="27"/>
      <c r="F294" s="13"/>
    </row>
    <row r="295" spans="4:6">
      <c r="D295" s="27"/>
      <c r="F295" s="13"/>
    </row>
    <row r="296" spans="4:6">
      <c r="D296" s="27"/>
      <c r="F296" s="13"/>
    </row>
    <row r="297" spans="4:6">
      <c r="D297" s="27"/>
      <c r="F297" s="13"/>
    </row>
    <row r="298" spans="4:6">
      <c r="D298" s="27"/>
      <c r="F298" s="13"/>
    </row>
    <row r="299" spans="4:6">
      <c r="D299" s="27"/>
      <c r="F299" s="13"/>
    </row>
    <row r="300" spans="4:6">
      <c r="D300" s="27"/>
      <c r="F300" s="13"/>
    </row>
    <row r="301" spans="4:6">
      <c r="D301" s="27"/>
      <c r="F301" s="13"/>
    </row>
    <row r="302" spans="4:6">
      <c r="D302" s="27"/>
      <c r="F302" s="13"/>
    </row>
    <row r="303" spans="4:6">
      <c r="D303" s="27"/>
      <c r="F303" s="13"/>
    </row>
    <row r="304" spans="4:6">
      <c r="D304" s="27"/>
      <c r="F304" s="13"/>
    </row>
    <row r="305" spans="4:6">
      <c r="D305" s="27"/>
      <c r="F305" s="13"/>
    </row>
    <row r="306" spans="4:6">
      <c r="D306" s="27"/>
      <c r="F306" s="13"/>
    </row>
    <row r="307" spans="4:6">
      <c r="D307" s="27"/>
      <c r="F307" s="13"/>
    </row>
    <row r="308" spans="4:6">
      <c r="D308" s="27"/>
      <c r="F308" s="13"/>
    </row>
    <row r="309" spans="4:6">
      <c r="D309" s="27"/>
      <c r="F309" s="13"/>
    </row>
    <row r="310" spans="4:6">
      <c r="D310" s="27"/>
      <c r="F310" s="13"/>
    </row>
    <row r="311" spans="4:6">
      <c r="D311" s="27"/>
      <c r="F311" s="13"/>
    </row>
    <row r="312" spans="4:6">
      <c r="D312" s="27"/>
      <c r="F312" s="13"/>
    </row>
    <row r="313" spans="4:6">
      <c r="D313" s="27"/>
      <c r="F313" s="13"/>
    </row>
    <row r="314" spans="4:6">
      <c r="D314" s="27"/>
      <c r="F314" s="13"/>
    </row>
    <row r="315" spans="4:6">
      <c r="D315" s="27"/>
      <c r="F315" s="13"/>
    </row>
    <row r="316" spans="4:6">
      <c r="D316" s="27"/>
      <c r="F316" s="13"/>
    </row>
    <row r="317" spans="4:6">
      <c r="D317" s="27"/>
      <c r="F317" s="13"/>
    </row>
    <row r="318" spans="4:6">
      <c r="D318" s="27"/>
      <c r="F318" s="13"/>
    </row>
    <row r="319" spans="4:6">
      <c r="D319" s="27"/>
      <c r="F319" s="13"/>
    </row>
    <row r="320" spans="4:6">
      <c r="D320" s="27"/>
      <c r="F320" s="13"/>
    </row>
    <row r="321" spans="4:6">
      <c r="D321" s="27"/>
      <c r="F321" s="13"/>
    </row>
    <row r="322" spans="4:6">
      <c r="D322" s="27"/>
      <c r="F322" s="13"/>
    </row>
    <row r="323" spans="4:6">
      <c r="D323" s="27"/>
      <c r="F323" s="13"/>
    </row>
    <row r="324" spans="4:6">
      <c r="D324" s="27"/>
      <c r="F324" s="13"/>
    </row>
    <row r="325" spans="4:6">
      <c r="D325" s="27"/>
      <c r="F325" s="13"/>
    </row>
    <row r="326" spans="4:6">
      <c r="D326" s="27"/>
      <c r="F326" s="13"/>
    </row>
    <row r="327" spans="4:6">
      <c r="D327" s="27"/>
      <c r="F327" s="13"/>
    </row>
    <row r="328" spans="4:6">
      <c r="D328" s="27"/>
      <c r="F328" s="13"/>
    </row>
    <row r="329" spans="4:6">
      <c r="D329" s="27"/>
      <c r="F329" s="13"/>
    </row>
    <row r="330" spans="4:6">
      <c r="D330" s="27"/>
      <c r="F330" s="13"/>
    </row>
    <row r="331" spans="4:6">
      <c r="D331" s="27"/>
      <c r="F331" s="13"/>
    </row>
    <row r="332" spans="4:6">
      <c r="D332" s="27"/>
      <c r="F332" s="13"/>
    </row>
    <row r="333" spans="4:6">
      <c r="D333" s="27"/>
      <c r="F333" s="13"/>
    </row>
    <row r="334" spans="4:6">
      <c r="D334" s="27"/>
      <c r="F334" s="13"/>
    </row>
    <row r="335" spans="4:6">
      <c r="D335" s="27"/>
      <c r="F335" s="13"/>
    </row>
    <row r="336" spans="4:6">
      <c r="D336" s="27"/>
      <c r="F336" s="13"/>
    </row>
    <row r="337" spans="4:6">
      <c r="D337" s="27"/>
      <c r="F337" s="13"/>
    </row>
    <row r="338" spans="4:6">
      <c r="D338" s="27"/>
      <c r="F338" s="13"/>
    </row>
    <row r="339" spans="4:6">
      <c r="D339" s="27"/>
      <c r="F339" s="13"/>
    </row>
    <row r="340" spans="4:6">
      <c r="D340" s="27"/>
      <c r="F340" s="13"/>
    </row>
    <row r="341" spans="4:6">
      <c r="D341" s="27"/>
      <c r="F341" s="13"/>
    </row>
    <row r="342" spans="4:6">
      <c r="D342" s="27"/>
      <c r="F342" s="13"/>
    </row>
    <row r="343" spans="4:6">
      <c r="D343" s="27"/>
      <c r="F343" s="13"/>
    </row>
    <row r="344" spans="4:6">
      <c r="D344" s="27"/>
      <c r="F344" s="13"/>
    </row>
    <row r="345" spans="4:6">
      <c r="D345" s="27"/>
      <c r="F345" s="13"/>
    </row>
    <row r="346" spans="4:6">
      <c r="D346" s="27"/>
      <c r="F346" s="13"/>
    </row>
    <row r="347" spans="4:6">
      <c r="D347" s="27"/>
      <c r="F347" s="13"/>
    </row>
    <row r="348" spans="4:6">
      <c r="D348" s="27"/>
      <c r="F348" s="13"/>
    </row>
    <row r="349" spans="4:6">
      <c r="D349" s="27"/>
      <c r="F349" s="13"/>
    </row>
    <row r="350" spans="4:6">
      <c r="D350" s="27"/>
      <c r="F350" s="13"/>
    </row>
    <row r="351" spans="4:6">
      <c r="D351" s="27"/>
      <c r="F351" s="13"/>
    </row>
    <row r="352" spans="4:6">
      <c r="D352" s="27"/>
      <c r="F352" s="13"/>
    </row>
    <row r="353" spans="4:6">
      <c r="D353" s="27"/>
      <c r="F353" s="13"/>
    </row>
    <row r="354" spans="4:6">
      <c r="D354" s="27"/>
      <c r="F354" s="13"/>
    </row>
    <row r="355" spans="4:6">
      <c r="D355" s="27"/>
      <c r="F355" s="13"/>
    </row>
    <row r="356" spans="4:6">
      <c r="D356" s="27"/>
      <c r="F356" s="13"/>
    </row>
    <row r="357" spans="4:6">
      <c r="D357" s="27"/>
      <c r="F357" s="13"/>
    </row>
    <row r="358" spans="4:6">
      <c r="D358" s="27"/>
      <c r="F358" s="13"/>
    </row>
    <row r="359" spans="4:6">
      <c r="D359" s="27"/>
      <c r="F359" s="13"/>
    </row>
    <row r="360" spans="4:6">
      <c r="D360" s="27"/>
      <c r="F360" s="13"/>
    </row>
    <row r="361" spans="4:6">
      <c r="D361" s="27"/>
      <c r="F361" s="13"/>
    </row>
    <row r="362" spans="4:6">
      <c r="D362" s="27"/>
      <c r="F362" s="13"/>
    </row>
    <row r="363" spans="4:6">
      <c r="D363" s="27"/>
      <c r="F363" s="13"/>
    </row>
    <row r="364" spans="4:6">
      <c r="D364" s="27"/>
      <c r="F364" s="13"/>
    </row>
    <row r="365" spans="4:6">
      <c r="D365" s="27"/>
      <c r="F365" s="13"/>
    </row>
    <row r="366" spans="4:6">
      <c r="D366" s="27"/>
      <c r="F366" s="13"/>
    </row>
    <row r="367" spans="4:6">
      <c r="D367" s="27"/>
      <c r="F367" s="13"/>
    </row>
    <row r="368" spans="4:6">
      <c r="D368" s="27"/>
      <c r="F368" s="13"/>
    </row>
    <row r="369" spans="4:6">
      <c r="D369" s="27"/>
      <c r="F369" s="13"/>
    </row>
    <row r="370" spans="4:6">
      <c r="D370" s="27"/>
      <c r="F370" s="13"/>
    </row>
    <row r="371" spans="4:6">
      <c r="D371" s="27"/>
      <c r="F371" s="13"/>
    </row>
    <row r="372" spans="4:6">
      <c r="D372" s="27"/>
      <c r="F372" s="13"/>
    </row>
    <row r="373" spans="4:6">
      <c r="D373" s="27"/>
      <c r="F373" s="13"/>
    </row>
    <row r="374" spans="4:6">
      <c r="D374" s="27"/>
      <c r="F374" s="13"/>
    </row>
    <row r="375" spans="4:6">
      <c r="D375" s="27"/>
      <c r="F375" s="13"/>
    </row>
    <row r="376" spans="4:6">
      <c r="D376" s="27"/>
      <c r="F376" s="13"/>
    </row>
    <row r="377" spans="4:6">
      <c r="D377" s="27"/>
      <c r="F377" s="13"/>
    </row>
    <row r="378" spans="4:6">
      <c r="D378" s="27"/>
      <c r="F378" s="13"/>
    </row>
    <row r="379" spans="4:6">
      <c r="D379" s="27"/>
      <c r="F379" s="13"/>
    </row>
    <row r="380" spans="4:6">
      <c r="D380" s="27"/>
      <c r="F380" s="13"/>
    </row>
    <row r="381" spans="4:6">
      <c r="D381" s="27"/>
      <c r="F381" s="13"/>
    </row>
    <row r="382" spans="4:6">
      <c r="D382" s="27"/>
      <c r="F382" s="13"/>
    </row>
    <row r="383" spans="4:6">
      <c r="D383" s="27"/>
      <c r="F383" s="13"/>
    </row>
    <row r="384" spans="4:6">
      <c r="D384" s="27"/>
      <c r="F384" s="13"/>
    </row>
    <row r="385" spans="4:6">
      <c r="D385" s="27"/>
      <c r="F385" s="13"/>
    </row>
    <row r="386" spans="4:6">
      <c r="D386" s="27"/>
      <c r="F386" s="13"/>
    </row>
    <row r="387" spans="4:6">
      <c r="D387" s="27"/>
      <c r="F387" s="13"/>
    </row>
    <row r="388" spans="4:6">
      <c r="D388" s="27"/>
      <c r="F388" s="13"/>
    </row>
    <row r="389" spans="4:6">
      <c r="D389" s="27"/>
      <c r="F389" s="13"/>
    </row>
    <row r="390" spans="4:6">
      <c r="D390" s="27"/>
      <c r="F390" s="13"/>
    </row>
    <row r="391" spans="4:6">
      <c r="D391" s="27"/>
      <c r="F391" s="13"/>
    </row>
    <row r="392" spans="4:6">
      <c r="D392" s="27"/>
      <c r="F392" s="13"/>
    </row>
    <row r="393" spans="4:6">
      <c r="D393" s="27"/>
      <c r="F393" s="13"/>
    </row>
    <row r="394" spans="4:6">
      <c r="D394" s="27"/>
      <c r="F394" s="13"/>
    </row>
    <row r="395" spans="4:6">
      <c r="D395" s="27"/>
      <c r="F395" s="13"/>
    </row>
    <row r="396" spans="4:6">
      <c r="D396" s="27"/>
      <c r="F396" s="13"/>
    </row>
    <row r="397" spans="4:6">
      <c r="D397" s="27"/>
      <c r="F397" s="13"/>
    </row>
    <row r="398" spans="4:6">
      <c r="D398" s="27"/>
      <c r="F398" s="13"/>
    </row>
    <row r="399" spans="4:6">
      <c r="D399" s="27"/>
      <c r="F399" s="13"/>
    </row>
    <row r="400" spans="4:6">
      <c r="D400" s="27"/>
      <c r="F400" s="13"/>
    </row>
    <row r="401" spans="4:6">
      <c r="D401" s="27"/>
      <c r="F401" s="13"/>
    </row>
    <row r="402" spans="4:6">
      <c r="D402" s="27"/>
      <c r="F402" s="13"/>
    </row>
    <row r="403" spans="4:6">
      <c r="D403" s="27"/>
      <c r="F403" s="13"/>
    </row>
    <row r="404" spans="4:6">
      <c r="D404" s="27"/>
      <c r="F404" s="13"/>
    </row>
    <row r="405" spans="4:6">
      <c r="D405" s="27"/>
      <c r="F405" s="13"/>
    </row>
    <row r="406" spans="4:6">
      <c r="D406" s="27"/>
      <c r="F406" s="13"/>
    </row>
    <row r="407" spans="4:6">
      <c r="D407" s="27"/>
      <c r="F407" s="13"/>
    </row>
    <row r="408" spans="4:6">
      <c r="D408" s="27"/>
      <c r="F408" s="13"/>
    </row>
    <row r="409" spans="4:6">
      <c r="D409" s="27"/>
      <c r="F409" s="13"/>
    </row>
    <row r="410" spans="4:6">
      <c r="D410" s="27"/>
      <c r="F410" s="13"/>
    </row>
    <row r="411" spans="4:6">
      <c r="D411" s="27"/>
      <c r="F411" s="13"/>
    </row>
    <row r="412" spans="4:6">
      <c r="D412" s="27"/>
      <c r="F412" s="13"/>
    </row>
    <row r="413" spans="4:6">
      <c r="D413" s="27"/>
      <c r="F413" s="13"/>
    </row>
    <row r="414" spans="4:6">
      <c r="D414" s="27"/>
      <c r="F414" s="13"/>
    </row>
    <row r="415" spans="4:6">
      <c r="D415" s="27"/>
      <c r="F415" s="13"/>
    </row>
    <row r="416" spans="4:6">
      <c r="D416" s="27"/>
      <c r="F416" s="13"/>
    </row>
    <row r="417" spans="4:6">
      <c r="D417" s="27"/>
      <c r="F417" s="13"/>
    </row>
    <row r="418" spans="4:6">
      <c r="D418" s="27"/>
      <c r="F418" s="13"/>
    </row>
    <row r="419" spans="4:6">
      <c r="D419" s="27"/>
      <c r="F419" s="13"/>
    </row>
    <row r="420" spans="4:6">
      <c r="D420" s="27"/>
      <c r="F420" s="13"/>
    </row>
    <row r="421" spans="4:6">
      <c r="D421" s="27"/>
      <c r="F421" s="13"/>
    </row>
    <row r="422" spans="4:6">
      <c r="D422" s="27"/>
      <c r="F422" s="13"/>
    </row>
    <row r="423" spans="4:6">
      <c r="D423" s="27"/>
      <c r="F423" s="13"/>
    </row>
    <row r="424" spans="4:6">
      <c r="D424" s="27"/>
      <c r="F424" s="13"/>
    </row>
    <row r="425" spans="4:6">
      <c r="D425" s="27"/>
      <c r="F425" s="13"/>
    </row>
    <row r="426" spans="4:6">
      <c r="D426" s="27"/>
      <c r="F426" s="13"/>
    </row>
    <row r="427" spans="4:6">
      <c r="D427" s="27"/>
      <c r="F427" s="13"/>
    </row>
    <row r="428" spans="4:6">
      <c r="D428" s="27"/>
      <c r="F428" s="13"/>
    </row>
    <row r="429" spans="4:6">
      <c r="D429" s="27"/>
      <c r="F429" s="13"/>
    </row>
    <row r="430" spans="4:6">
      <c r="D430" s="27"/>
      <c r="F430" s="13"/>
    </row>
    <row r="431" spans="4:6">
      <c r="D431" s="27"/>
      <c r="F431" s="13"/>
    </row>
    <row r="432" spans="4:6">
      <c r="D432" s="27"/>
      <c r="F432" s="13"/>
    </row>
    <row r="433" spans="4:6">
      <c r="D433" s="27"/>
      <c r="F433" s="13"/>
    </row>
    <row r="434" spans="4:6">
      <c r="D434" s="27"/>
      <c r="F434" s="13"/>
    </row>
    <row r="435" spans="4:6">
      <c r="D435" s="27"/>
      <c r="F435" s="13"/>
    </row>
    <row r="436" spans="4:6">
      <c r="D436" s="27"/>
      <c r="F436" s="13"/>
    </row>
    <row r="437" spans="4:6">
      <c r="D437" s="27"/>
      <c r="F437" s="13"/>
    </row>
    <row r="438" spans="4:6">
      <c r="D438" s="27"/>
      <c r="F438" s="13"/>
    </row>
    <row r="439" spans="4:6">
      <c r="D439" s="27"/>
      <c r="F439" s="13"/>
    </row>
    <row r="440" spans="4:6">
      <c r="D440" s="27"/>
      <c r="F440" s="13"/>
    </row>
    <row r="441" spans="4:6">
      <c r="D441" s="27"/>
      <c r="F441" s="13"/>
    </row>
    <row r="442" spans="4:6">
      <c r="D442" s="27"/>
      <c r="F442" s="13"/>
    </row>
    <row r="443" spans="4:6">
      <c r="D443" s="27"/>
      <c r="F443" s="13"/>
    </row>
    <row r="444" spans="4:6">
      <c r="D444" s="27"/>
      <c r="F444" s="13"/>
    </row>
    <row r="445" spans="4:6">
      <c r="D445" s="27"/>
      <c r="F445" s="13"/>
    </row>
    <row r="446" spans="4:6">
      <c r="D446" s="27"/>
      <c r="F446" s="13"/>
    </row>
    <row r="447" spans="4:6">
      <c r="D447" s="27"/>
      <c r="F447" s="13"/>
    </row>
    <row r="448" spans="4:6">
      <c r="D448" s="27"/>
      <c r="F448" s="13"/>
    </row>
    <row r="449" spans="4:6">
      <c r="D449" s="27"/>
      <c r="F449" s="13"/>
    </row>
    <row r="450" spans="4:6">
      <c r="D450" s="27"/>
      <c r="F450" s="13"/>
    </row>
    <row r="451" spans="4:6">
      <c r="D451" s="27"/>
      <c r="F451" s="13"/>
    </row>
    <row r="452" spans="4:6">
      <c r="D452" s="27"/>
      <c r="F452" s="13"/>
    </row>
    <row r="453" spans="4:6">
      <c r="D453" s="27"/>
      <c r="F453" s="13"/>
    </row>
    <row r="454" spans="4:6">
      <c r="D454" s="27"/>
      <c r="F454" s="13"/>
    </row>
    <row r="455" spans="4:6">
      <c r="D455" s="27"/>
      <c r="F455" s="13"/>
    </row>
    <row r="456" spans="4:6">
      <c r="D456" s="27"/>
      <c r="F456" s="13"/>
    </row>
    <row r="457" spans="4:6">
      <c r="D457" s="27"/>
      <c r="F457" s="13"/>
    </row>
    <row r="458" spans="4:6">
      <c r="D458" s="27"/>
      <c r="F458" s="13"/>
    </row>
    <row r="459" spans="4:6">
      <c r="D459" s="27"/>
      <c r="F459" s="13"/>
    </row>
    <row r="460" spans="4:6">
      <c r="D460" s="27"/>
      <c r="F460" s="13"/>
    </row>
    <row r="461" spans="4:6">
      <c r="D461" s="27"/>
      <c r="F461" s="13"/>
    </row>
    <row r="462" spans="4:6">
      <c r="D462" s="27"/>
      <c r="F462" s="13"/>
    </row>
    <row r="463" spans="4:6">
      <c r="D463" s="27"/>
      <c r="F463" s="13"/>
    </row>
    <row r="464" spans="4:6">
      <c r="D464" s="27"/>
      <c r="F464" s="13"/>
    </row>
    <row r="465" spans="4:6">
      <c r="D465" s="27"/>
      <c r="F465" s="13"/>
    </row>
    <row r="466" spans="4:6">
      <c r="D466" s="27"/>
      <c r="F466" s="13"/>
    </row>
    <row r="467" spans="4:6">
      <c r="D467" s="27"/>
      <c r="F467" s="13"/>
    </row>
    <row r="468" spans="4:6">
      <c r="D468" s="27"/>
      <c r="F468" s="13"/>
    </row>
    <row r="469" spans="4:6">
      <c r="D469" s="27"/>
      <c r="F469" s="13"/>
    </row>
    <row r="470" spans="4:6">
      <c r="D470" s="27"/>
      <c r="F470" s="13"/>
    </row>
    <row r="471" spans="4:6">
      <c r="D471" s="27"/>
      <c r="F471" s="13"/>
    </row>
    <row r="472" spans="4:6">
      <c r="D472" s="27"/>
      <c r="F472" s="13"/>
    </row>
    <row r="473" spans="4:6">
      <c r="D473" s="27"/>
      <c r="F473" s="13"/>
    </row>
    <row r="474" spans="4:6">
      <c r="D474" s="27"/>
      <c r="F474" s="13"/>
    </row>
    <row r="475" spans="4:6">
      <c r="D475" s="27"/>
      <c r="F475" s="13"/>
    </row>
    <row r="476" spans="4:6">
      <c r="D476" s="27"/>
      <c r="F476" s="13"/>
    </row>
    <row r="477" spans="4:6">
      <c r="D477" s="27"/>
      <c r="F477" s="13"/>
    </row>
    <row r="478" spans="4:6">
      <c r="D478" s="27"/>
      <c r="F478" s="13"/>
    </row>
    <row r="479" spans="4:6">
      <c r="D479" s="27"/>
      <c r="F479" s="13"/>
    </row>
    <row r="480" spans="4:6">
      <c r="D480" s="27"/>
      <c r="F480" s="13"/>
    </row>
    <row r="481" spans="4:6">
      <c r="D481" s="27"/>
      <c r="F481" s="13"/>
    </row>
    <row r="482" spans="4:6">
      <c r="D482" s="27"/>
      <c r="F482" s="13"/>
    </row>
    <row r="483" spans="4:6">
      <c r="D483" s="27"/>
      <c r="F483" s="13"/>
    </row>
    <row r="484" spans="4:6">
      <c r="D484" s="27"/>
      <c r="F484" s="13"/>
    </row>
    <row r="485" spans="4:6">
      <c r="D485" s="27"/>
      <c r="F485" s="13"/>
    </row>
    <row r="486" spans="4:6">
      <c r="D486" s="27"/>
      <c r="F486" s="13"/>
    </row>
    <row r="487" spans="4:6">
      <c r="D487" s="27"/>
      <c r="F487" s="13"/>
    </row>
    <row r="488" spans="4:6">
      <c r="D488" s="27"/>
      <c r="F488" s="13"/>
    </row>
    <row r="489" spans="4:6">
      <c r="D489" s="27"/>
      <c r="F489" s="13"/>
    </row>
    <row r="490" spans="4:6">
      <c r="D490" s="27"/>
      <c r="F490" s="13"/>
    </row>
    <row r="491" spans="4:6">
      <c r="D491" s="27"/>
      <c r="F491" s="13"/>
    </row>
    <row r="492" spans="4:6">
      <c r="D492" s="27"/>
      <c r="F492" s="13"/>
    </row>
    <row r="493" spans="4:6">
      <c r="D493" s="27"/>
      <c r="F493" s="13"/>
    </row>
    <row r="494" spans="4:6">
      <c r="D494" s="27"/>
      <c r="F494" s="13"/>
    </row>
    <row r="495" spans="4:6">
      <c r="D495" s="27"/>
      <c r="F495" s="13"/>
    </row>
    <row r="496" spans="4:6">
      <c r="D496" s="27"/>
      <c r="F496" s="13"/>
    </row>
    <row r="497" spans="4:6">
      <c r="D497" s="27"/>
      <c r="F497" s="13"/>
    </row>
    <row r="498" spans="4:6">
      <c r="D498" s="27"/>
      <c r="F498" s="13"/>
    </row>
    <row r="499" spans="4:6">
      <c r="D499" s="27"/>
      <c r="F499" s="13"/>
    </row>
    <row r="500" spans="4:6">
      <c r="D500" s="27"/>
      <c r="F500" s="13"/>
    </row>
    <row r="501" spans="4:6">
      <c r="D501" s="27"/>
      <c r="F501" s="13"/>
    </row>
    <row r="502" spans="4:6">
      <c r="D502" s="27"/>
      <c r="F502" s="13"/>
    </row>
    <row r="503" spans="4:6">
      <c r="D503" s="27"/>
      <c r="F503" s="13"/>
    </row>
    <row r="504" spans="4:6">
      <c r="D504" s="27"/>
      <c r="F504" s="13"/>
    </row>
    <row r="505" spans="4:6">
      <c r="D505" s="27"/>
      <c r="F505" s="13"/>
    </row>
    <row r="506" spans="4:6">
      <c r="D506" s="27"/>
      <c r="F506" s="13"/>
    </row>
    <row r="507" spans="4:6">
      <c r="D507" s="27"/>
      <c r="F507" s="13"/>
    </row>
    <row r="508" spans="4:6">
      <c r="D508" s="27"/>
      <c r="F508" s="13"/>
    </row>
    <row r="509" spans="4:6">
      <c r="D509" s="27"/>
      <c r="F509" s="13"/>
    </row>
    <row r="510" spans="4:6">
      <c r="D510" s="27"/>
      <c r="F510" s="13"/>
    </row>
    <row r="511" spans="4:6">
      <c r="D511" s="27"/>
      <c r="F511" s="13"/>
    </row>
    <row r="512" spans="4:6">
      <c r="D512" s="27"/>
      <c r="F512" s="13"/>
    </row>
    <row r="513" spans="4:6">
      <c r="D513" s="27"/>
      <c r="F513" s="13"/>
    </row>
    <row r="514" spans="4:6">
      <c r="D514" s="27"/>
      <c r="F514" s="13"/>
    </row>
    <row r="515" spans="4:6">
      <c r="D515" s="27"/>
      <c r="F515" s="13"/>
    </row>
    <row r="516" spans="4:6">
      <c r="D516" s="27"/>
      <c r="F516" s="13"/>
    </row>
    <row r="517" spans="4:6">
      <c r="D517" s="27"/>
      <c r="F517" s="13"/>
    </row>
    <row r="518" spans="4:6">
      <c r="D518" s="27"/>
      <c r="F518" s="13"/>
    </row>
    <row r="519" spans="4:6">
      <c r="D519" s="27"/>
      <c r="F519" s="13"/>
    </row>
    <row r="520" spans="4:6">
      <c r="D520" s="27"/>
      <c r="F520" s="13"/>
    </row>
    <row r="521" spans="4:6">
      <c r="D521" s="27"/>
      <c r="F521" s="13"/>
    </row>
    <row r="522" spans="4:6">
      <c r="D522" s="27"/>
      <c r="F522" s="13"/>
    </row>
    <row r="523" spans="4:6">
      <c r="D523" s="27"/>
      <c r="F523" s="13"/>
    </row>
    <row r="524" spans="4:6">
      <c r="D524" s="27"/>
      <c r="F524" s="13"/>
    </row>
    <row r="525" spans="4:6">
      <c r="D525" s="27"/>
      <c r="F525" s="13"/>
    </row>
    <row r="526" spans="4:6">
      <c r="D526" s="27"/>
      <c r="F526" s="13"/>
    </row>
    <row r="527" spans="4:6">
      <c r="D527" s="27"/>
      <c r="F527" s="13"/>
    </row>
    <row r="528" spans="4:6">
      <c r="D528" s="27"/>
      <c r="F528" s="13"/>
    </row>
    <row r="529" spans="4:6">
      <c r="D529" s="27"/>
      <c r="F529" s="13"/>
    </row>
    <row r="530" spans="4:6">
      <c r="D530" s="27"/>
      <c r="F530" s="13"/>
    </row>
    <row r="531" spans="4:6">
      <c r="D531" s="27"/>
      <c r="F531" s="13"/>
    </row>
    <row r="532" spans="4:6">
      <c r="D532" s="27"/>
      <c r="F532" s="13"/>
    </row>
    <row r="533" spans="4:6">
      <c r="D533" s="27"/>
      <c r="F533" s="13"/>
    </row>
    <row r="534" spans="4:6">
      <c r="D534" s="27"/>
      <c r="F534" s="13"/>
    </row>
    <row r="535" spans="4:6">
      <c r="D535" s="27"/>
      <c r="F535" s="13"/>
    </row>
    <row r="536" spans="4:6">
      <c r="D536" s="27"/>
      <c r="F536" s="13"/>
    </row>
    <row r="537" spans="4:6">
      <c r="D537" s="27"/>
      <c r="F537" s="13"/>
    </row>
    <row r="538" spans="4:6">
      <c r="D538" s="27"/>
      <c r="F538" s="13"/>
    </row>
    <row r="539" spans="4:6">
      <c r="D539" s="27"/>
      <c r="F539" s="13"/>
    </row>
    <row r="540" spans="4:6">
      <c r="D540" s="27"/>
      <c r="F540" s="13"/>
    </row>
    <row r="541" spans="4:6">
      <c r="D541" s="27"/>
      <c r="F541" s="13"/>
    </row>
    <row r="542" spans="4:6">
      <c r="D542" s="27"/>
      <c r="F542" s="13"/>
    </row>
    <row r="543" spans="4:6">
      <c r="D543" s="27"/>
      <c r="F543" s="13"/>
    </row>
    <row r="544" spans="4:6">
      <c r="D544" s="27"/>
      <c r="F544" s="13"/>
    </row>
    <row r="545" spans="4:6">
      <c r="D545" s="27"/>
      <c r="F545" s="13"/>
    </row>
    <row r="546" spans="4:6">
      <c r="D546" s="27"/>
      <c r="F546" s="13"/>
    </row>
    <row r="547" spans="4:6">
      <c r="D547" s="27"/>
      <c r="F547" s="13"/>
    </row>
    <row r="548" spans="4:6">
      <c r="D548" s="27"/>
      <c r="F548" s="13"/>
    </row>
    <row r="549" spans="4:6">
      <c r="D549" s="27"/>
      <c r="F549" s="13"/>
    </row>
    <row r="550" spans="4:6">
      <c r="D550" s="27"/>
      <c r="F550" s="13"/>
    </row>
    <row r="551" spans="4:6">
      <c r="D551" s="27"/>
      <c r="F551" s="13"/>
    </row>
    <row r="552" spans="4:6">
      <c r="D552" s="27"/>
      <c r="F552" s="13"/>
    </row>
    <row r="553" spans="4:6">
      <c r="D553" s="27"/>
      <c r="F553" s="13"/>
    </row>
    <row r="554" spans="4:6">
      <c r="D554" s="27"/>
      <c r="F554" s="13"/>
    </row>
    <row r="555" spans="4:6">
      <c r="D555" s="27"/>
      <c r="F555" s="13"/>
    </row>
    <row r="556" spans="4:6">
      <c r="D556" s="27"/>
      <c r="F556" s="13"/>
    </row>
    <row r="557" spans="4:6">
      <c r="D557" s="27"/>
      <c r="F557" s="13"/>
    </row>
    <row r="558" spans="4:6">
      <c r="D558" s="27"/>
      <c r="F558" s="13"/>
    </row>
    <row r="559" spans="4:6">
      <c r="D559" s="27"/>
      <c r="F559" s="13"/>
    </row>
    <row r="560" spans="4:6">
      <c r="D560" s="27"/>
      <c r="F560" s="13"/>
    </row>
    <row r="561" spans="4:6">
      <c r="D561" s="27"/>
      <c r="F561" s="13"/>
    </row>
    <row r="562" spans="4:6">
      <c r="D562" s="27"/>
      <c r="F562" s="13"/>
    </row>
    <row r="563" spans="4:6">
      <c r="D563" s="27"/>
      <c r="F563" s="13"/>
    </row>
    <row r="564" spans="4:6">
      <c r="D564" s="27"/>
      <c r="F564" s="13"/>
    </row>
    <row r="565" spans="4:6">
      <c r="D565" s="27"/>
      <c r="F565" s="13"/>
    </row>
    <row r="566" spans="4:6">
      <c r="D566" s="27"/>
      <c r="F566" s="13"/>
    </row>
    <row r="567" spans="4:6">
      <c r="D567" s="27"/>
      <c r="F567" s="13"/>
    </row>
    <row r="568" spans="4:6">
      <c r="D568" s="27"/>
      <c r="F568" s="13"/>
    </row>
    <row r="569" spans="4:6">
      <c r="D569" s="27"/>
      <c r="F569" s="13"/>
    </row>
    <row r="570" spans="4:6">
      <c r="D570" s="27"/>
      <c r="F570" s="13"/>
    </row>
    <row r="571" spans="4:6">
      <c r="D571" s="27"/>
      <c r="F571" s="13"/>
    </row>
    <row r="572" spans="4:6">
      <c r="D572" s="27"/>
      <c r="F572" s="13"/>
    </row>
    <row r="573" spans="4:6">
      <c r="D573" s="27"/>
      <c r="F573" s="13"/>
    </row>
    <row r="574" spans="4:6">
      <c r="D574" s="27"/>
      <c r="F574" s="13"/>
    </row>
    <row r="575" spans="4:6">
      <c r="D575" s="27"/>
      <c r="F575" s="13"/>
    </row>
    <row r="576" spans="4:6">
      <c r="D576" s="27"/>
      <c r="F576" s="13"/>
    </row>
    <row r="577" spans="4:6">
      <c r="D577" s="27"/>
      <c r="F577" s="13"/>
    </row>
    <row r="578" spans="4:6">
      <c r="D578" s="27"/>
      <c r="F578" s="13"/>
    </row>
    <row r="579" spans="4:6">
      <c r="D579" s="27"/>
      <c r="F579" s="13"/>
    </row>
    <row r="580" spans="4:6">
      <c r="D580" s="27"/>
      <c r="F580" s="13"/>
    </row>
    <row r="581" spans="4:6">
      <c r="D581" s="27"/>
      <c r="F581" s="13"/>
    </row>
    <row r="582" spans="4:6">
      <c r="D582" s="27"/>
      <c r="F582" s="13"/>
    </row>
    <row r="583" spans="4:6">
      <c r="D583" s="27"/>
      <c r="F583" s="13"/>
    </row>
    <row r="584" spans="4:6">
      <c r="D584" s="27"/>
      <c r="F584" s="13"/>
    </row>
    <row r="585" spans="4:6">
      <c r="D585" s="27"/>
      <c r="F585" s="13"/>
    </row>
    <row r="586" spans="4:6">
      <c r="D586" s="27"/>
      <c r="F586" s="13"/>
    </row>
    <row r="587" spans="4:6">
      <c r="D587" s="27"/>
      <c r="F587" s="13"/>
    </row>
    <row r="588" spans="4:6">
      <c r="D588" s="27"/>
      <c r="F588" s="13"/>
    </row>
    <row r="589" spans="4:6">
      <c r="D589" s="27"/>
      <c r="F589" s="13"/>
    </row>
    <row r="590" spans="4:6">
      <c r="D590" s="27"/>
      <c r="F590" s="13"/>
    </row>
    <row r="591" spans="4:6">
      <c r="D591" s="27"/>
      <c r="F591" s="13"/>
    </row>
    <row r="592" spans="4:6">
      <c r="D592" s="27"/>
      <c r="F592" s="13"/>
    </row>
    <row r="593" spans="4:6">
      <c r="D593" s="27"/>
      <c r="F593" s="13"/>
    </row>
    <row r="594" spans="4:6">
      <c r="D594" s="27"/>
      <c r="F594" s="13"/>
    </row>
    <row r="595" spans="4:6">
      <c r="D595" s="27"/>
      <c r="F595" s="13"/>
    </row>
    <row r="596" spans="4:6">
      <c r="D596" s="27"/>
      <c r="F596" s="13"/>
    </row>
    <row r="597" spans="4:6">
      <c r="D597" s="27"/>
      <c r="F597" s="13"/>
    </row>
    <row r="598" spans="4:6">
      <c r="D598" s="27"/>
      <c r="F598" s="13"/>
    </row>
    <row r="599" spans="4:6">
      <c r="D599" s="27"/>
      <c r="F599" s="13"/>
    </row>
    <row r="600" spans="4:6">
      <c r="D600" s="27"/>
      <c r="F600" s="13"/>
    </row>
    <row r="601" spans="4:6">
      <c r="D601" s="27"/>
      <c r="F601" s="13"/>
    </row>
    <row r="602" spans="4:6">
      <c r="D602" s="27"/>
      <c r="F602" s="13"/>
    </row>
    <row r="603" spans="4:6">
      <c r="D603" s="27"/>
      <c r="F603" s="13"/>
    </row>
    <row r="604" spans="4:6">
      <c r="D604" s="27"/>
      <c r="F604" s="13"/>
    </row>
    <row r="605" spans="4:6">
      <c r="D605" s="27"/>
      <c r="F605" s="13"/>
    </row>
    <row r="606" spans="4:6">
      <c r="D606" s="27"/>
      <c r="F606" s="13"/>
    </row>
    <row r="607" spans="4:6">
      <c r="D607" s="27"/>
      <c r="F607" s="13"/>
    </row>
    <row r="608" spans="4:6">
      <c r="D608" s="27"/>
      <c r="F608" s="13"/>
    </row>
    <row r="609" spans="4:6">
      <c r="D609" s="27"/>
      <c r="F609" s="13"/>
    </row>
    <row r="610" spans="4:6">
      <c r="D610" s="27"/>
      <c r="F610" s="13"/>
    </row>
    <row r="611" spans="4:6">
      <c r="D611" s="27"/>
      <c r="F611" s="13"/>
    </row>
    <row r="612" spans="4:6">
      <c r="D612" s="27"/>
      <c r="F612" s="13"/>
    </row>
    <row r="613" spans="4:6">
      <c r="D613" s="27"/>
      <c r="F613" s="13"/>
    </row>
    <row r="614" spans="4:6">
      <c r="D614" s="27"/>
      <c r="F614" s="13"/>
    </row>
    <row r="615" spans="4:6">
      <c r="D615" s="27"/>
      <c r="F615" s="13"/>
    </row>
    <row r="616" spans="4:6">
      <c r="D616" s="27"/>
      <c r="F616" s="13"/>
    </row>
    <row r="617" spans="4:6">
      <c r="D617" s="27"/>
      <c r="F617" s="13"/>
    </row>
    <row r="618" spans="4:6">
      <c r="D618" s="27"/>
      <c r="F618" s="13"/>
    </row>
    <row r="619" spans="4:6">
      <c r="D619" s="27"/>
      <c r="F619" s="13"/>
    </row>
    <row r="620" spans="4:6">
      <c r="D620" s="27"/>
      <c r="F620" s="13"/>
    </row>
    <row r="621" spans="4:6">
      <c r="D621" s="27"/>
      <c r="F621" s="13"/>
    </row>
    <row r="622" spans="4:6">
      <c r="D622" s="27"/>
      <c r="F622" s="13"/>
    </row>
    <row r="623" spans="4:6">
      <c r="D623" s="27"/>
      <c r="F623" s="13"/>
    </row>
    <row r="624" spans="4:6">
      <c r="D624" s="27"/>
      <c r="F624" s="13"/>
    </row>
    <row r="625" spans="4:6">
      <c r="D625" s="27"/>
      <c r="F625" s="13"/>
    </row>
    <row r="626" spans="4:6">
      <c r="D626" s="27"/>
      <c r="F626" s="13"/>
    </row>
    <row r="627" spans="4:6">
      <c r="D627" s="27"/>
      <c r="F627" s="13"/>
    </row>
    <row r="628" spans="4:6">
      <c r="D628" s="27"/>
      <c r="F628" s="13"/>
    </row>
    <row r="629" spans="4:6">
      <c r="D629" s="27"/>
      <c r="F629" s="13"/>
    </row>
    <row r="630" spans="4:6">
      <c r="D630" s="27"/>
      <c r="F630" s="13"/>
    </row>
    <row r="631" spans="4:6">
      <c r="D631" s="27"/>
      <c r="F631" s="13"/>
    </row>
    <row r="632" spans="4:6">
      <c r="D632" s="27"/>
      <c r="F632" s="13"/>
    </row>
    <row r="633" spans="4:6">
      <c r="D633" s="27"/>
      <c r="F633" s="13"/>
    </row>
    <row r="634" spans="4:6">
      <c r="D634" s="27"/>
      <c r="F634" s="13"/>
    </row>
    <row r="635" spans="4:6">
      <c r="D635" s="27"/>
      <c r="F635" s="13"/>
    </row>
    <row r="636" spans="4:6">
      <c r="D636" s="27"/>
      <c r="F636" s="13"/>
    </row>
    <row r="637" spans="4:6">
      <c r="D637" s="27"/>
      <c r="F637" s="13"/>
    </row>
    <row r="638" spans="4:6">
      <c r="D638" s="27"/>
      <c r="F638" s="13"/>
    </row>
    <row r="639" spans="4:6">
      <c r="D639" s="27"/>
      <c r="F639" s="13"/>
    </row>
    <row r="640" spans="4:6">
      <c r="D640" s="27"/>
      <c r="F640" s="13"/>
    </row>
    <row r="641" spans="4:6">
      <c r="D641" s="27"/>
      <c r="F641" s="13"/>
    </row>
    <row r="642" spans="4:6">
      <c r="D642" s="27"/>
      <c r="F642" s="13"/>
    </row>
    <row r="643" spans="4:6">
      <c r="D643" s="27"/>
      <c r="F643" s="13"/>
    </row>
    <row r="644" spans="4:6">
      <c r="D644" s="27"/>
      <c r="F644" s="13"/>
    </row>
    <row r="645" spans="4:6">
      <c r="D645" s="27"/>
      <c r="F645" s="13"/>
    </row>
    <row r="646" spans="4:6">
      <c r="D646" s="27"/>
      <c r="F646" s="13"/>
    </row>
    <row r="647" spans="4:6">
      <c r="D647" s="27"/>
      <c r="F647" s="13"/>
    </row>
    <row r="648" spans="4:6">
      <c r="D648" s="27"/>
      <c r="F648" s="13"/>
    </row>
    <row r="649" spans="4:6">
      <c r="D649" s="27"/>
      <c r="F649" s="13"/>
    </row>
    <row r="650" spans="4:6">
      <c r="D650" s="27"/>
      <c r="F650" s="13"/>
    </row>
    <row r="651" spans="4:6">
      <c r="D651" s="27"/>
      <c r="F651" s="13"/>
    </row>
    <row r="652" spans="4:6">
      <c r="D652" s="27"/>
      <c r="F652" s="13"/>
    </row>
    <row r="653" spans="4:6">
      <c r="D653" s="27"/>
      <c r="F653" s="13"/>
    </row>
    <row r="654" spans="4:6">
      <c r="D654" s="27"/>
      <c r="F654" s="13"/>
    </row>
    <row r="655" spans="4:6">
      <c r="D655" s="27"/>
      <c r="F655" s="13"/>
    </row>
    <row r="656" spans="4:6">
      <c r="D656" s="27"/>
      <c r="F656" s="13"/>
    </row>
    <row r="657" spans="4:6">
      <c r="D657" s="27"/>
      <c r="F657" s="13"/>
    </row>
    <row r="658" spans="4:6">
      <c r="D658" s="27"/>
      <c r="F658" s="13"/>
    </row>
    <row r="659" spans="4:6">
      <c r="D659" s="27"/>
      <c r="F659" s="13"/>
    </row>
    <row r="660" spans="4:6">
      <c r="D660" s="27"/>
      <c r="F660" s="13"/>
    </row>
    <row r="661" spans="4:6">
      <c r="D661" s="27"/>
      <c r="F661" s="13"/>
    </row>
    <row r="662" spans="4:6">
      <c r="D662" s="27"/>
      <c r="F662" s="13"/>
    </row>
    <row r="663" spans="4:6">
      <c r="D663" s="27"/>
      <c r="F663" s="13"/>
    </row>
    <row r="664" spans="4:6">
      <c r="D664" s="27"/>
      <c r="F664" s="13"/>
    </row>
    <row r="665" spans="4:6">
      <c r="D665" s="27"/>
      <c r="F665" s="13"/>
    </row>
    <row r="666" spans="4:6">
      <c r="D666" s="27"/>
      <c r="F666" s="13"/>
    </row>
    <row r="667" spans="4:6">
      <c r="D667" s="27"/>
      <c r="F667" s="13"/>
    </row>
    <row r="668" spans="4:6">
      <c r="D668" s="27"/>
      <c r="F668" s="13"/>
    </row>
    <row r="669" spans="4:6">
      <c r="D669" s="27"/>
      <c r="F669" s="13"/>
    </row>
    <row r="670" spans="4:6">
      <c r="D670" s="27"/>
      <c r="F670" s="13"/>
    </row>
    <row r="671" spans="4:6">
      <c r="D671" s="27"/>
      <c r="F671" s="13"/>
    </row>
    <row r="672" spans="4:6">
      <c r="D672" s="27"/>
      <c r="F672" s="13"/>
    </row>
    <row r="673" spans="4:6">
      <c r="D673" s="27"/>
      <c r="F673" s="13"/>
    </row>
    <row r="674" spans="4:6">
      <c r="D674" s="27"/>
      <c r="F674" s="13"/>
    </row>
    <row r="675" spans="4:6">
      <c r="D675" s="27"/>
      <c r="F675" s="13"/>
    </row>
    <row r="676" spans="4:6">
      <c r="D676" s="27"/>
      <c r="F676" s="13"/>
    </row>
    <row r="677" spans="4:6">
      <c r="D677" s="27"/>
      <c r="F677" s="13"/>
    </row>
    <row r="678" spans="4:6">
      <c r="D678" s="27"/>
      <c r="F678" s="13"/>
    </row>
    <row r="679" spans="4:6">
      <c r="D679" s="27"/>
      <c r="F679" s="13"/>
    </row>
    <row r="680" spans="4:6">
      <c r="D680" s="27"/>
      <c r="F680" s="13"/>
    </row>
    <row r="681" spans="4:6">
      <c r="D681" s="27"/>
      <c r="F681" s="13"/>
    </row>
    <row r="682" spans="4:6">
      <c r="D682" s="27"/>
      <c r="F682" s="13"/>
    </row>
    <row r="683" spans="4:6">
      <c r="D683" s="27"/>
      <c r="F683" s="13"/>
    </row>
    <row r="684" spans="4:6">
      <c r="D684" s="27"/>
      <c r="F684" s="13"/>
    </row>
    <row r="685" spans="4:6">
      <c r="D685" s="27"/>
      <c r="F685" s="13"/>
    </row>
    <row r="686" spans="4:6">
      <c r="D686" s="27"/>
      <c r="F686" s="13"/>
    </row>
    <row r="687" spans="4:6">
      <c r="D687" s="27"/>
      <c r="F687" s="13"/>
    </row>
    <row r="688" spans="4:6">
      <c r="D688" s="27"/>
      <c r="F688" s="13"/>
    </row>
    <row r="689" spans="4:6">
      <c r="D689" s="27"/>
      <c r="F689" s="13"/>
    </row>
    <row r="690" spans="4:6">
      <c r="D690" s="27"/>
      <c r="F690" s="13"/>
    </row>
    <row r="691" spans="4:6">
      <c r="D691" s="27"/>
      <c r="F691" s="13"/>
    </row>
    <row r="692" spans="4:6">
      <c r="D692" s="27"/>
      <c r="F692" s="13"/>
    </row>
    <row r="693" spans="4:6">
      <c r="D693" s="27"/>
      <c r="F693" s="13"/>
    </row>
    <row r="694" spans="4:6">
      <c r="D694" s="27"/>
      <c r="F694" s="13"/>
    </row>
    <row r="695" spans="4:6">
      <c r="D695" s="27"/>
      <c r="F695" s="13"/>
    </row>
    <row r="696" spans="4:6">
      <c r="D696" s="27"/>
      <c r="F696" s="13"/>
    </row>
    <row r="697" spans="4:6">
      <c r="D697" s="27"/>
      <c r="F697" s="13"/>
    </row>
    <row r="698" spans="4:6">
      <c r="D698" s="27"/>
      <c r="F698" s="13"/>
    </row>
    <row r="699" spans="4:6">
      <c r="D699" s="27"/>
      <c r="F699" s="13"/>
    </row>
    <row r="700" spans="4:6">
      <c r="D700" s="27"/>
      <c r="F700" s="13"/>
    </row>
    <row r="701" spans="4:6">
      <c r="D701" s="27"/>
      <c r="F701" s="13"/>
    </row>
    <row r="702" spans="4:6">
      <c r="D702" s="27"/>
      <c r="F702" s="13"/>
    </row>
    <row r="703" spans="4:6">
      <c r="D703" s="27"/>
      <c r="F703" s="13"/>
    </row>
    <row r="704" spans="4:6">
      <c r="D704" s="27"/>
      <c r="F704" s="13"/>
    </row>
    <row r="705" spans="4:6">
      <c r="D705" s="27"/>
      <c r="F705" s="13"/>
    </row>
    <row r="706" spans="4:6">
      <c r="D706" s="27"/>
      <c r="F706" s="13"/>
    </row>
    <row r="707" spans="4:6">
      <c r="D707" s="27"/>
      <c r="F707" s="13"/>
    </row>
    <row r="708" spans="4:6">
      <c r="D708" s="27"/>
      <c r="F708" s="13"/>
    </row>
    <row r="709" spans="4:6">
      <c r="D709" s="27"/>
      <c r="F709" s="13"/>
    </row>
    <row r="710" spans="4:6">
      <c r="D710" s="27"/>
      <c r="F710" s="13"/>
    </row>
    <row r="711" spans="4:6">
      <c r="D711" s="27"/>
      <c r="F711" s="13"/>
    </row>
    <row r="712" spans="4:6">
      <c r="D712" s="27"/>
      <c r="F712" s="13"/>
    </row>
    <row r="713" spans="4:6">
      <c r="D713" s="27"/>
      <c r="F713" s="13"/>
    </row>
    <row r="714" spans="4:6">
      <c r="D714" s="27"/>
      <c r="F714" s="13"/>
    </row>
    <row r="715" spans="4:6">
      <c r="D715" s="27"/>
      <c r="F715" s="13"/>
    </row>
    <row r="716" spans="4:6">
      <c r="D716" s="27"/>
      <c r="F716" s="13"/>
    </row>
    <row r="717" spans="4:6">
      <c r="D717" s="27"/>
      <c r="F717" s="13"/>
    </row>
    <row r="718" spans="4:6">
      <c r="D718" s="27"/>
      <c r="F718" s="13"/>
    </row>
    <row r="719" spans="4:6">
      <c r="D719" s="27"/>
      <c r="F719" s="13"/>
    </row>
    <row r="720" spans="4:6">
      <c r="D720" s="27"/>
      <c r="F720" s="13"/>
    </row>
    <row r="721" spans="4:6">
      <c r="D721" s="27"/>
      <c r="F721" s="13"/>
    </row>
    <row r="722" spans="4:6">
      <c r="D722" s="27"/>
      <c r="F722" s="13"/>
    </row>
    <row r="723" spans="4:6">
      <c r="D723" s="27"/>
      <c r="F723" s="13"/>
    </row>
    <row r="724" spans="4:6">
      <c r="D724" s="27"/>
      <c r="F724" s="13"/>
    </row>
    <row r="725" spans="4:6">
      <c r="D725" s="27"/>
      <c r="F725" s="13"/>
    </row>
    <row r="726" spans="4:6">
      <c r="D726" s="27"/>
      <c r="F726" s="13"/>
    </row>
    <row r="727" spans="4:6">
      <c r="D727" s="27"/>
      <c r="F727" s="13"/>
    </row>
    <row r="728" spans="4:6">
      <c r="D728" s="27"/>
      <c r="F728" s="13"/>
    </row>
    <row r="729" spans="4:6">
      <c r="D729" s="27"/>
      <c r="F729" s="13"/>
    </row>
    <row r="730" spans="4:6">
      <c r="D730" s="27"/>
      <c r="F730" s="13"/>
    </row>
    <row r="731" spans="4:6">
      <c r="D731" s="27"/>
      <c r="F731" s="13"/>
    </row>
    <row r="732" spans="4:6">
      <c r="D732" s="27"/>
      <c r="F732" s="13"/>
    </row>
    <row r="733" spans="4:6">
      <c r="D733" s="27"/>
      <c r="F733" s="13"/>
    </row>
    <row r="734" spans="4:6">
      <c r="D734" s="27"/>
      <c r="F734" s="13"/>
    </row>
    <row r="735" spans="4:6">
      <c r="D735" s="27"/>
      <c r="F735" s="13"/>
    </row>
    <row r="736" spans="4:6">
      <c r="D736" s="27"/>
      <c r="F736" s="13"/>
    </row>
    <row r="737" spans="4:6">
      <c r="D737" s="27"/>
      <c r="F737" s="13"/>
    </row>
    <row r="738" spans="4:6">
      <c r="D738" s="27"/>
      <c r="F738" s="13"/>
    </row>
    <row r="739" spans="4:6">
      <c r="D739" s="27"/>
      <c r="F739" s="13"/>
    </row>
    <row r="740" spans="4:6">
      <c r="D740" s="27"/>
      <c r="F740" s="13"/>
    </row>
    <row r="741" spans="4:6">
      <c r="D741" s="27"/>
      <c r="F741" s="13"/>
    </row>
    <row r="742" spans="4:6">
      <c r="D742" s="27"/>
      <c r="F742" s="13"/>
    </row>
    <row r="743" spans="4:6">
      <c r="D743" s="27"/>
      <c r="F743" s="13"/>
    </row>
    <row r="744" spans="4:6">
      <c r="D744" s="27"/>
      <c r="F744" s="13"/>
    </row>
    <row r="745" spans="4:6">
      <c r="D745" s="27"/>
      <c r="F745" s="13"/>
    </row>
    <row r="746" spans="4:6">
      <c r="D746" s="27"/>
      <c r="F746" s="13"/>
    </row>
    <row r="747" spans="4:6">
      <c r="D747" s="27"/>
      <c r="F747" s="13"/>
    </row>
    <row r="748" spans="4:6">
      <c r="D748" s="27"/>
      <c r="F748" s="13"/>
    </row>
    <row r="749" spans="4:6">
      <c r="D749" s="27"/>
      <c r="F749" s="13"/>
    </row>
    <row r="750" spans="4:6">
      <c r="D750" s="27"/>
      <c r="F750" s="13"/>
    </row>
    <row r="751" spans="4:6">
      <c r="D751" s="27"/>
      <c r="F751" s="13"/>
    </row>
    <row r="752" spans="4:6">
      <c r="D752" s="27"/>
      <c r="F752" s="13"/>
    </row>
    <row r="753" spans="4:6">
      <c r="D753" s="27"/>
      <c r="F753" s="13"/>
    </row>
    <row r="754" spans="4:6">
      <c r="D754" s="27"/>
      <c r="F754" s="13"/>
    </row>
    <row r="755" spans="4:6">
      <c r="D755" s="27"/>
      <c r="F755" s="13"/>
    </row>
    <row r="756" spans="4:6">
      <c r="D756" s="27"/>
      <c r="F756" s="13"/>
    </row>
    <row r="757" spans="4:6">
      <c r="D757" s="27"/>
      <c r="F757" s="13"/>
    </row>
    <row r="758" spans="4:6">
      <c r="D758" s="27"/>
      <c r="F758" s="13"/>
    </row>
    <row r="759" spans="4:6">
      <c r="D759" s="27"/>
      <c r="F759" s="13"/>
    </row>
    <row r="760" spans="4:6">
      <c r="D760" s="27"/>
      <c r="F760" s="13"/>
    </row>
    <row r="761" spans="4:6">
      <c r="D761" s="27"/>
      <c r="F761" s="13"/>
    </row>
    <row r="762" spans="4:6">
      <c r="D762" s="27"/>
      <c r="F762" s="13"/>
    </row>
    <row r="763" spans="4:6">
      <c r="D763" s="27"/>
      <c r="F763" s="13"/>
    </row>
    <row r="764" spans="4:6">
      <c r="D764" s="27"/>
      <c r="F764" s="13"/>
    </row>
    <row r="765" spans="4:6">
      <c r="D765" s="27"/>
      <c r="F765" s="13"/>
    </row>
    <row r="766" spans="4:6">
      <c r="D766" s="27"/>
      <c r="F766" s="13"/>
    </row>
    <row r="767" spans="4:6">
      <c r="D767" s="27"/>
      <c r="F767" s="13"/>
    </row>
    <row r="768" spans="4:6">
      <c r="D768" s="27"/>
      <c r="F768" s="13"/>
    </row>
    <row r="769" spans="4:6">
      <c r="D769" s="27"/>
      <c r="F769" s="13"/>
    </row>
    <row r="770" spans="4:6">
      <c r="D770" s="27"/>
      <c r="F770" s="13"/>
    </row>
    <row r="771" spans="4:6">
      <c r="D771" s="27"/>
      <c r="F771" s="13"/>
    </row>
    <row r="772" spans="4:6">
      <c r="D772" s="27"/>
      <c r="F772" s="13"/>
    </row>
    <row r="773" spans="4:6">
      <c r="D773" s="27"/>
      <c r="F773" s="13"/>
    </row>
    <row r="774" spans="4:6">
      <c r="D774" s="27"/>
      <c r="F774" s="13"/>
    </row>
    <row r="775" spans="4:6">
      <c r="D775" s="27"/>
      <c r="F775" s="13"/>
    </row>
    <row r="776" spans="4:6">
      <c r="D776" s="27"/>
      <c r="F776" s="13"/>
    </row>
    <row r="777" spans="4:6">
      <c r="D777" s="27"/>
      <c r="F777" s="13"/>
    </row>
    <row r="778" spans="4:6">
      <c r="D778" s="27"/>
      <c r="F778" s="13"/>
    </row>
    <row r="779" spans="4:6">
      <c r="D779" s="27"/>
      <c r="F779" s="13"/>
    </row>
    <row r="780" spans="4:6">
      <c r="D780" s="27"/>
      <c r="F780" s="13"/>
    </row>
    <row r="781" spans="4:6">
      <c r="D781" s="27"/>
      <c r="F781" s="13"/>
    </row>
    <row r="782" spans="4:6">
      <c r="D782" s="27"/>
      <c r="F782" s="13"/>
    </row>
    <row r="783" spans="4:6">
      <c r="D783" s="27"/>
      <c r="F783" s="13"/>
    </row>
    <row r="784" spans="4:6">
      <c r="D784" s="27"/>
      <c r="F784" s="13"/>
    </row>
    <row r="785" spans="4:6">
      <c r="D785" s="27"/>
      <c r="F785" s="13"/>
    </row>
    <row r="786" spans="4:6">
      <c r="D786" s="27"/>
      <c r="F786" s="13"/>
    </row>
    <row r="787" spans="4:6">
      <c r="D787" s="27"/>
      <c r="F787" s="13"/>
    </row>
    <row r="788" spans="4:6">
      <c r="D788" s="27"/>
      <c r="F788" s="13"/>
    </row>
    <row r="789" spans="4:6">
      <c r="D789" s="27"/>
      <c r="F789" s="13"/>
    </row>
    <row r="790" spans="4:6">
      <c r="D790" s="27"/>
      <c r="F790" s="13"/>
    </row>
    <row r="791" spans="4:6">
      <c r="D791" s="27"/>
      <c r="F791" s="13"/>
    </row>
    <row r="792" spans="4:6">
      <c r="D792" s="27"/>
      <c r="F792" s="13"/>
    </row>
    <row r="793" spans="4:6">
      <c r="D793" s="27"/>
      <c r="F793" s="13"/>
    </row>
    <row r="794" spans="4:6">
      <c r="D794" s="27"/>
      <c r="F794" s="13"/>
    </row>
    <row r="795" spans="4:6">
      <c r="D795" s="27"/>
      <c r="F795" s="13"/>
    </row>
    <row r="796" spans="4:6">
      <c r="D796" s="27"/>
      <c r="F796" s="13"/>
    </row>
    <row r="797" spans="4:6">
      <c r="D797" s="27"/>
      <c r="F797" s="13"/>
    </row>
    <row r="798" spans="4:6">
      <c r="D798" s="27"/>
      <c r="F798" s="13"/>
    </row>
    <row r="799" spans="4:6">
      <c r="D799" s="27"/>
      <c r="F799" s="13"/>
    </row>
    <row r="800" spans="4:6">
      <c r="D800" s="27"/>
      <c r="F800" s="13"/>
    </row>
    <row r="801" spans="4:6">
      <c r="D801" s="27"/>
      <c r="F801" s="13"/>
    </row>
    <row r="802" spans="4:6">
      <c r="D802" s="27"/>
      <c r="F802" s="13"/>
    </row>
    <row r="803" spans="4:6">
      <c r="D803" s="27"/>
      <c r="F803" s="13"/>
    </row>
    <row r="804" spans="4:6">
      <c r="D804" s="27"/>
      <c r="F804" s="13"/>
    </row>
    <row r="805" spans="4:6">
      <c r="D805" s="27"/>
      <c r="F805" s="13"/>
    </row>
    <row r="806" spans="4:6">
      <c r="D806" s="27"/>
      <c r="F806" s="13"/>
    </row>
    <row r="807" spans="4:6">
      <c r="D807" s="27"/>
      <c r="F807" s="13"/>
    </row>
    <row r="808" spans="4:6">
      <c r="D808" s="27"/>
      <c r="F808" s="13"/>
    </row>
    <row r="809" spans="4:6">
      <c r="D809" s="27"/>
      <c r="F809" s="13"/>
    </row>
    <row r="810" spans="4:6">
      <c r="D810" s="27"/>
      <c r="F810" s="13"/>
    </row>
    <row r="811" spans="4:6">
      <c r="D811" s="27"/>
      <c r="F811" s="13"/>
    </row>
    <row r="812" spans="4:6">
      <c r="D812" s="27"/>
      <c r="F812" s="13"/>
    </row>
    <row r="813" spans="4:6">
      <c r="D813" s="27"/>
      <c r="F813" s="13"/>
    </row>
    <row r="814" spans="4:6">
      <c r="D814" s="27"/>
      <c r="F814" s="13"/>
    </row>
    <row r="815" spans="4:6">
      <c r="D815" s="27"/>
      <c r="F815" s="13"/>
    </row>
    <row r="816" spans="4:6">
      <c r="D816" s="27"/>
      <c r="F816" s="13"/>
    </row>
    <row r="817" spans="4:6">
      <c r="D817" s="27"/>
      <c r="F817" s="13"/>
    </row>
    <row r="818" spans="4:6">
      <c r="D818" s="27"/>
      <c r="F818" s="13"/>
    </row>
    <row r="819" spans="4:6">
      <c r="D819" s="27"/>
      <c r="F819" s="13"/>
    </row>
    <row r="820" spans="4:6">
      <c r="D820" s="27"/>
      <c r="F820" s="13"/>
    </row>
    <row r="821" spans="4:6">
      <c r="D821" s="27"/>
      <c r="F821" s="13"/>
    </row>
    <row r="822" spans="4:6">
      <c r="D822" s="27"/>
      <c r="F822" s="13"/>
    </row>
    <row r="823" spans="4:6">
      <c r="D823" s="27"/>
      <c r="F823" s="13"/>
    </row>
    <row r="824" spans="4:6">
      <c r="D824" s="27"/>
      <c r="F824" s="13"/>
    </row>
    <row r="825" spans="4:6">
      <c r="D825" s="27"/>
      <c r="F825" s="13"/>
    </row>
    <row r="826" spans="4:6">
      <c r="D826" s="27"/>
      <c r="F826" s="13"/>
    </row>
    <row r="827" spans="4:6">
      <c r="D827" s="27"/>
      <c r="F827" s="13"/>
    </row>
    <row r="828" spans="4:6">
      <c r="D828" s="27"/>
      <c r="F828" s="13"/>
    </row>
    <row r="829" spans="4:6">
      <c r="D829" s="27"/>
      <c r="F829" s="13"/>
    </row>
    <row r="830" spans="4:6">
      <c r="D830" s="27"/>
      <c r="F830" s="13"/>
    </row>
    <row r="831" spans="4:6">
      <c r="D831" s="27"/>
      <c r="F831" s="13"/>
    </row>
    <row r="832" spans="4:6">
      <c r="D832" s="27"/>
      <c r="F832" s="13"/>
    </row>
    <row r="833" spans="4:6">
      <c r="D833" s="27"/>
      <c r="F833" s="13"/>
    </row>
    <row r="834" spans="4:6">
      <c r="D834" s="27"/>
      <c r="F834" s="13"/>
    </row>
    <row r="835" spans="4:6">
      <c r="D835" s="27"/>
      <c r="F835" s="13"/>
    </row>
    <row r="836" spans="4:6">
      <c r="D836" s="27"/>
      <c r="F836" s="13"/>
    </row>
    <row r="837" spans="4:6">
      <c r="D837" s="27"/>
      <c r="F837" s="13"/>
    </row>
    <row r="838" spans="4:6">
      <c r="D838" s="27"/>
      <c r="F838" s="13"/>
    </row>
    <row r="839" spans="4:6">
      <c r="D839" s="27"/>
      <c r="F839" s="13"/>
    </row>
    <row r="840" spans="4:6">
      <c r="D840" s="27"/>
      <c r="F840" s="13"/>
    </row>
    <row r="841" spans="4:6">
      <c r="D841" s="27"/>
      <c r="F841" s="13"/>
    </row>
    <row r="842" spans="4:6">
      <c r="D842" s="27"/>
      <c r="F842" s="13"/>
    </row>
    <row r="843" spans="4:6">
      <c r="D843" s="27"/>
      <c r="F843" s="13"/>
    </row>
    <row r="844" spans="4:6">
      <c r="D844" s="27"/>
      <c r="F844" s="13"/>
    </row>
    <row r="845" spans="4:6">
      <c r="D845" s="27"/>
      <c r="F845" s="13"/>
    </row>
    <row r="846" spans="4:6">
      <c r="D846" s="27"/>
      <c r="F846" s="13"/>
    </row>
    <row r="847" spans="4:6">
      <c r="D847" s="27"/>
      <c r="F847" s="13"/>
    </row>
    <row r="848" spans="4:6">
      <c r="D848" s="27"/>
      <c r="F848" s="13"/>
    </row>
    <row r="849" spans="4:6">
      <c r="D849" s="27"/>
      <c r="F849" s="13"/>
    </row>
    <row r="850" spans="4:6">
      <c r="D850" s="27"/>
      <c r="F850" s="13"/>
    </row>
    <row r="851" spans="4:6">
      <c r="D851" s="27"/>
      <c r="F851" s="13"/>
    </row>
    <row r="852" spans="4:6">
      <c r="D852" s="27"/>
      <c r="F852" s="13"/>
    </row>
    <row r="853" spans="4:6">
      <c r="D853" s="27"/>
      <c r="F853" s="13"/>
    </row>
    <row r="854" spans="4:6">
      <c r="D854" s="27"/>
      <c r="F854" s="13"/>
    </row>
    <row r="855" spans="4:6">
      <c r="D855" s="27"/>
      <c r="F855" s="13"/>
    </row>
    <row r="856" spans="4:6">
      <c r="D856" s="27"/>
      <c r="F856" s="13"/>
    </row>
    <row r="857" spans="4:6">
      <c r="D857" s="27"/>
      <c r="F857" s="13"/>
    </row>
    <row r="858" spans="4:6">
      <c r="D858" s="27"/>
      <c r="F858" s="13"/>
    </row>
    <row r="859" spans="4:6">
      <c r="D859" s="27"/>
      <c r="F859" s="13"/>
    </row>
    <row r="860" spans="4:6">
      <c r="D860" s="27"/>
      <c r="F860" s="13"/>
    </row>
    <row r="861" spans="4:6">
      <c r="D861" s="27"/>
      <c r="F861" s="13"/>
    </row>
    <row r="862" spans="4:6">
      <c r="D862" s="27"/>
      <c r="F862" s="13"/>
    </row>
    <row r="863" spans="4:6">
      <c r="D863" s="27"/>
      <c r="F863" s="13"/>
    </row>
    <row r="864" spans="4:6">
      <c r="D864" s="27"/>
      <c r="F864" s="13"/>
    </row>
    <row r="865" spans="4:6">
      <c r="D865" s="27"/>
      <c r="F865" s="13"/>
    </row>
    <row r="866" spans="4:6">
      <c r="D866" s="27"/>
      <c r="F866" s="13"/>
    </row>
    <row r="867" spans="4:6">
      <c r="D867" s="27"/>
      <c r="F867" s="13"/>
    </row>
    <row r="868" spans="4:6">
      <c r="D868" s="27"/>
      <c r="F868" s="13"/>
    </row>
    <row r="869" spans="4:6">
      <c r="D869" s="27"/>
      <c r="F869" s="13"/>
    </row>
    <row r="870" spans="4:6">
      <c r="D870" s="27"/>
      <c r="F870" s="13"/>
    </row>
    <row r="871" spans="4:6">
      <c r="D871" s="27"/>
      <c r="F871" s="13"/>
    </row>
    <row r="872" spans="4:6">
      <c r="D872" s="27"/>
      <c r="F872" s="13"/>
    </row>
    <row r="873" spans="4:6">
      <c r="D873" s="27"/>
      <c r="F873" s="13"/>
    </row>
    <row r="874" spans="4:6">
      <c r="D874" s="27"/>
      <c r="F874" s="13"/>
    </row>
    <row r="875" spans="4:6">
      <c r="D875" s="27"/>
      <c r="F875" s="13"/>
    </row>
    <row r="876" spans="4:6">
      <c r="D876" s="27"/>
      <c r="F876" s="13"/>
    </row>
    <row r="877" spans="4:6">
      <c r="D877" s="27"/>
      <c r="F877" s="13"/>
    </row>
    <row r="878" spans="4:6">
      <c r="D878" s="27"/>
      <c r="F878" s="13"/>
    </row>
    <row r="879" spans="4:6">
      <c r="D879" s="27"/>
      <c r="F879" s="13"/>
    </row>
    <row r="880" spans="4:6">
      <c r="D880" s="27"/>
      <c r="F880" s="13"/>
    </row>
    <row r="881" spans="4:6">
      <c r="D881" s="27"/>
      <c r="F881" s="13"/>
    </row>
    <row r="882" spans="4:6">
      <c r="D882" s="27"/>
      <c r="F882" s="13"/>
    </row>
    <row r="883" spans="4:6">
      <c r="D883" s="27"/>
      <c r="F883" s="13"/>
    </row>
    <row r="884" spans="4:6">
      <c r="D884" s="27"/>
      <c r="F884" s="13"/>
    </row>
    <row r="885" spans="4:6">
      <c r="D885" s="27"/>
      <c r="F885" s="13"/>
    </row>
    <row r="886" spans="4:6">
      <c r="D886" s="27"/>
      <c r="F886" s="13"/>
    </row>
    <row r="887" spans="4:6">
      <c r="D887" s="27"/>
      <c r="F887" s="13"/>
    </row>
    <row r="888" spans="4:6">
      <c r="D888" s="27"/>
      <c r="F888" s="13"/>
    </row>
    <row r="889" spans="4:6">
      <c r="D889" s="27"/>
      <c r="F889" s="13"/>
    </row>
    <row r="890" spans="4:6">
      <c r="D890" s="27"/>
      <c r="F890" s="13"/>
    </row>
    <row r="891" spans="4:6">
      <c r="D891" s="27"/>
      <c r="F891" s="13"/>
    </row>
    <row r="892" spans="4:6">
      <c r="D892" s="27"/>
      <c r="F892" s="13"/>
    </row>
    <row r="893" spans="4:6">
      <c r="D893" s="27"/>
      <c r="F893" s="13"/>
    </row>
    <row r="894" spans="4:6">
      <c r="D894" s="27"/>
      <c r="F894" s="13"/>
    </row>
    <row r="895" spans="4:6">
      <c r="D895" s="27"/>
      <c r="F895" s="13"/>
    </row>
    <row r="896" spans="4:6">
      <c r="D896" s="27"/>
      <c r="F896" s="13"/>
    </row>
    <row r="897" spans="4:6">
      <c r="D897" s="27"/>
      <c r="F897" s="13"/>
    </row>
    <row r="898" spans="4:6">
      <c r="D898" s="27"/>
      <c r="F898" s="13"/>
    </row>
    <row r="899" spans="4:6">
      <c r="D899" s="27"/>
      <c r="F899" s="13"/>
    </row>
    <row r="900" spans="4:6">
      <c r="D900" s="27"/>
      <c r="F900" s="13"/>
    </row>
    <row r="901" spans="4:6">
      <c r="D901" s="27"/>
      <c r="F901" s="13"/>
    </row>
    <row r="902" spans="4:6">
      <c r="D902" s="27"/>
      <c r="F902" s="13"/>
    </row>
    <row r="903" spans="4:6">
      <c r="D903" s="27"/>
      <c r="F903" s="13"/>
    </row>
    <row r="904" spans="4:6">
      <c r="D904" s="27"/>
      <c r="F904" s="13"/>
    </row>
    <row r="905" spans="4:6">
      <c r="D905" s="27"/>
      <c r="F905" s="13"/>
    </row>
    <row r="906" spans="4:6">
      <c r="D906" s="27"/>
      <c r="F906" s="13"/>
    </row>
    <row r="907" spans="4:6">
      <c r="D907" s="27"/>
      <c r="F907" s="13"/>
    </row>
    <row r="908" spans="4:6">
      <c r="D908" s="27"/>
      <c r="F908" s="13"/>
    </row>
    <row r="909" spans="4:6">
      <c r="D909" s="27"/>
      <c r="F909" s="13"/>
    </row>
    <row r="910" spans="4:6">
      <c r="D910" s="27"/>
      <c r="F910" s="13"/>
    </row>
    <row r="911" spans="4:6">
      <c r="D911" s="27"/>
      <c r="F911" s="13"/>
    </row>
    <row r="912" spans="4:6">
      <c r="D912" s="27"/>
      <c r="F912" s="13"/>
    </row>
    <row r="913" spans="4:6">
      <c r="D913" s="27"/>
      <c r="F913" s="13"/>
    </row>
    <row r="914" spans="4:6">
      <c r="D914" s="27"/>
      <c r="F914" s="13"/>
    </row>
    <row r="915" spans="4:6">
      <c r="D915" s="27"/>
      <c r="F915" s="13"/>
    </row>
    <row r="916" spans="4:6">
      <c r="D916" s="27"/>
      <c r="F916" s="13"/>
    </row>
    <row r="917" spans="4:6">
      <c r="D917" s="27"/>
      <c r="F917" s="13"/>
    </row>
    <row r="918" spans="4:6">
      <c r="D918" s="27"/>
      <c r="F918" s="13"/>
    </row>
    <row r="919" spans="4:6">
      <c r="D919" s="27"/>
      <c r="F919" s="13"/>
    </row>
    <row r="920" spans="4:6">
      <c r="D920" s="27"/>
      <c r="F920" s="13"/>
    </row>
    <row r="921" spans="4:6">
      <c r="D921" s="27"/>
      <c r="F921" s="13"/>
    </row>
    <row r="922" spans="4:6">
      <c r="D922" s="27"/>
      <c r="F922" s="13"/>
    </row>
    <row r="923" spans="4:6">
      <c r="D923" s="27"/>
      <c r="F923" s="13"/>
    </row>
    <row r="924" spans="4:6">
      <c r="D924" s="27"/>
      <c r="F924" s="13"/>
    </row>
    <row r="925" spans="4:6">
      <c r="D925" s="27"/>
      <c r="F925" s="13"/>
    </row>
    <row r="926" spans="4:6">
      <c r="D926" s="27"/>
      <c r="F926" s="13"/>
    </row>
    <row r="927" spans="4:6">
      <c r="D927" s="27"/>
      <c r="F927" s="13"/>
    </row>
    <row r="928" spans="4:6">
      <c r="D928" s="27"/>
      <c r="F928" s="13"/>
    </row>
    <row r="929" spans="4:6">
      <c r="D929" s="27"/>
      <c r="F929" s="13"/>
    </row>
    <row r="930" spans="4:6">
      <c r="D930" s="27"/>
      <c r="F930" s="13"/>
    </row>
    <row r="931" spans="4:6">
      <c r="D931" s="27"/>
      <c r="F931" s="13"/>
    </row>
    <row r="932" spans="4:6">
      <c r="D932" s="27"/>
      <c r="F932" s="13"/>
    </row>
    <row r="933" spans="4:6">
      <c r="D933" s="27"/>
      <c r="F933" s="13"/>
    </row>
    <row r="934" spans="4:6">
      <c r="D934" s="27"/>
      <c r="F934" s="13"/>
    </row>
    <row r="935" spans="4:6">
      <c r="D935" s="27"/>
      <c r="F935" s="13"/>
    </row>
    <row r="936" spans="4:6">
      <c r="D936" s="27"/>
      <c r="F936" s="13"/>
    </row>
    <row r="937" spans="4:6">
      <c r="D937" s="27"/>
      <c r="F937" s="13"/>
    </row>
    <row r="938" spans="4:6">
      <c r="D938" s="27"/>
      <c r="F938" s="13"/>
    </row>
    <row r="939" spans="4:6">
      <c r="D939" s="27"/>
      <c r="F939" s="13"/>
    </row>
    <row r="940" spans="4:6">
      <c r="D940" s="27"/>
      <c r="F940" s="13"/>
    </row>
    <row r="941" spans="4:6">
      <c r="D941" s="27"/>
      <c r="F941" s="13"/>
    </row>
    <row r="942" spans="4:6">
      <c r="D942" s="27"/>
      <c r="F942" s="13"/>
    </row>
    <row r="943" spans="4:6">
      <c r="D943" s="27"/>
      <c r="F943" s="13"/>
    </row>
    <row r="944" spans="4:6">
      <c r="D944" s="27"/>
      <c r="F944" s="13"/>
    </row>
    <row r="945" spans="4:6">
      <c r="D945" s="27"/>
      <c r="F945" s="13"/>
    </row>
    <row r="946" spans="4:6">
      <c r="D946" s="27"/>
      <c r="F946" s="13"/>
    </row>
    <row r="947" spans="4:6">
      <c r="D947" s="27"/>
      <c r="F947" s="13"/>
    </row>
    <row r="948" spans="4:6">
      <c r="D948" s="27"/>
      <c r="F948" s="13"/>
    </row>
    <row r="949" spans="4:6">
      <c r="D949" s="27"/>
      <c r="F949" s="13"/>
    </row>
    <row r="950" spans="4:6">
      <c r="D950" s="27"/>
      <c r="F950" s="13"/>
    </row>
    <row r="951" spans="4:6">
      <c r="D951" s="27"/>
      <c r="F951" s="13"/>
    </row>
    <row r="952" spans="4:6">
      <c r="D952" s="27"/>
      <c r="F952" s="13"/>
    </row>
    <row r="953" spans="4:6">
      <c r="D953" s="27"/>
      <c r="F953" s="13"/>
    </row>
    <row r="954" spans="4:6">
      <c r="D954" s="27"/>
      <c r="F954" s="13"/>
    </row>
    <row r="955" spans="4:6">
      <c r="D955" s="27"/>
      <c r="F955" s="13"/>
    </row>
    <row r="956" spans="4:6">
      <c r="D956" s="27"/>
      <c r="F956" s="13"/>
    </row>
    <row r="957" spans="4:6">
      <c r="D957" s="27"/>
      <c r="F957" s="13"/>
    </row>
    <row r="958" spans="4:6">
      <c r="D958" s="27"/>
      <c r="F958" s="13"/>
    </row>
    <row r="959" spans="4:6">
      <c r="D959" s="27"/>
      <c r="F959" s="13"/>
    </row>
    <row r="960" spans="4:6">
      <c r="D960" s="27"/>
      <c r="F960" s="13"/>
    </row>
    <row r="961" spans="4:6">
      <c r="D961" s="27"/>
      <c r="F961" s="13"/>
    </row>
    <row r="962" spans="4:6">
      <c r="D962" s="27"/>
      <c r="F962" s="13"/>
    </row>
    <row r="963" spans="4:6">
      <c r="D963" s="27"/>
      <c r="F963" s="13"/>
    </row>
    <row r="964" spans="4:6">
      <c r="D964" s="27"/>
      <c r="F964" s="13"/>
    </row>
    <row r="965" spans="4:6">
      <c r="D965" s="27"/>
      <c r="F965" s="13"/>
    </row>
    <row r="966" spans="4:6">
      <c r="D966" s="27"/>
      <c r="F966" s="13"/>
    </row>
    <row r="967" spans="4:6">
      <c r="D967" s="27"/>
      <c r="F967" s="13"/>
    </row>
    <row r="968" spans="4:6">
      <c r="D968" s="27"/>
      <c r="F968" s="13"/>
    </row>
    <row r="969" spans="4:6">
      <c r="D969" s="27"/>
      <c r="F969" s="13"/>
    </row>
    <row r="970" spans="4:6">
      <c r="D970" s="27"/>
      <c r="F970" s="13"/>
    </row>
    <row r="971" spans="4:6">
      <c r="D971" s="27"/>
      <c r="F971" s="13"/>
    </row>
    <row r="972" spans="4:6">
      <c r="D972" s="27"/>
      <c r="F972" s="13"/>
    </row>
    <row r="973" spans="4:6">
      <c r="D973" s="27"/>
      <c r="F973" s="13"/>
    </row>
    <row r="974" spans="4:6">
      <c r="D974" s="27"/>
      <c r="F974" s="13"/>
    </row>
    <row r="975" spans="4:6">
      <c r="D975" s="27"/>
      <c r="F975" s="13"/>
    </row>
    <row r="976" spans="4:6">
      <c r="D976" s="27"/>
      <c r="F976" s="13"/>
    </row>
    <row r="977" spans="4:6">
      <c r="D977" s="27"/>
      <c r="F977" s="13"/>
    </row>
    <row r="978" spans="4:6">
      <c r="D978" s="27"/>
      <c r="F978" s="13"/>
    </row>
    <row r="979" spans="4:6">
      <c r="D979" s="27"/>
      <c r="F979" s="13"/>
    </row>
    <row r="980" spans="4:6">
      <c r="D980" s="27"/>
      <c r="F980" s="13"/>
    </row>
    <row r="981" spans="4:6">
      <c r="D981" s="27"/>
      <c r="F981" s="13"/>
    </row>
    <row r="982" spans="4:6">
      <c r="D982" s="27"/>
      <c r="F982" s="13"/>
    </row>
    <row r="983" spans="4:6">
      <c r="D983" s="27"/>
      <c r="F983" s="13"/>
    </row>
    <row r="984" spans="4:6">
      <c r="D984" s="27"/>
      <c r="F984" s="13"/>
    </row>
    <row r="985" spans="4:6">
      <c r="D985" s="27"/>
      <c r="F985" s="13"/>
    </row>
    <row r="986" spans="4:6">
      <c r="D986" s="27"/>
      <c r="F986" s="13"/>
    </row>
    <row r="987" spans="4:6">
      <c r="D987" s="27"/>
      <c r="F987" s="13"/>
    </row>
    <row r="988" spans="4:6">
      <c r="D988" s="27"/>
      <c r="F988" s="13"/>
    </row>
    <row r="989" spans="4:6">
      <c r="D989" s="27"/>
      <c r="F989" s="13"/>
    </row>
    <row r="990" spans="4:6">
      <c r="D990" s="27"/>
      <c r="F990" s="13"/>
    </row>
    <row r="991" spans="4:6">
      <c r="D991" s="27"/>
      <c r="F991" s="13"/>
    </row>
    <row r="992" spans="4:6">
      <c r="D992" s="27"/>
      <c r="F992" s="13"/>
    </row>
    <row r="993" spans="4:6">
      <c r="D993" s="27"/>
      <c r="F993" s="13"/>
    </row>
    <row r="994" spans="4:6">
      <c r="D994" s="27"/>
      <c r="F994" s="13"/>
    </row>
    <row r="995" spans="4:6">
      <c r="D995" s="27"/>
      <c r="F995" s="13"/>
    </row>
    <row r="996" spans="4:6">
      <c r="D996" s="27"/>
      <c r="F996" s="13"/>
    </row>
    <row r="997" spans="4:6">
      <c r="D997" s="27"/>
      <c r="F997" s="13"/>
    </row>
    <row r="998" spans="4:6">
      <c r="D998" s="27"/>
      <c r="F998" s="13"/>
    </row>
    <row r="999" spans="4:6">
      <c r="D999" s="27"/>
      <c r="F999" s="13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M58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5" max="5" width="9.28515625" customWidth="1"/>
  </cols>
  <sheetData>
    <row r="1" spans="1:13">
      <c r="A1" s="11" t="s">
        <v>57</v>
      </c>
      <c r="B1" s="11" t="s">
        <v>1</v>
      </c>
      <c r="C1" s="11" t="s">
        <v>2</v>
      </c>
      <c r="D1" s="11" t="s">
        <v>3</v>
      </c>
      <c r="E1" s="96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5</v>
      </c>
    </row>
    <row r="2" spans="1:13" hidden="1">
      <c r="A2" s="12">
        <v>45292</v>
      </c>
      <c r="B2" s="11">
        <f t="shared" ref="B2:B562" si="0">YEAR(A2)</f>
        <v>2024</v>
      </c>
      <c r="C2" s="11">
        <f t="shared" ref="C2:C562" si="1">MONTH(A2)</f>
        <v>1</v>
      </c>
      <c r="D2" s="11" t="s">
        <v>7</v>
      </c>
      <c r="E2" s="13">
        <v>12085</v>
      </c>
      <c r="F2" s="13">
        <v>14158</v>
      </c>
      <c r="G2" s="13">
        <v>10480</v>
      </c>
      <c r="I2" s="14"/>
      <c r="J2" s="14">
        <v>0.17150000000000001</v>
      </c>
      <c r="M2" s="13"/>
    </row>
    <row r="3" spans="1:13" hidden="1">
      <c r="A3" s="12">
        <v>45293</v>
      </c>
      <c r="B3" s="11">
        <f t="shared" si="0"/>
        <v>2024</v>
      </c>
      <c r="C3" s="11">
        <f t="shared" si="1"/>
        <v>1</v>
      </c>
      <c r="D3" s="11" t="s">
        <v>8</v>
      </c>
      <c r="E3" s="13">
        <v>12494</v>
      </c>
      <c r="F3" s="13">
        <v>13601</v>
      </c>
      <c r="G3" s="13">
        <v>10651</v>
      </c>
      <c r="I3" s="14"/>
      <c r="J3" s="14">
        <v>8.8599999999999998E-2</v>
      </c>
      <c r="M3" s="13"/>
    </row>
    <row r="4" spans="1:13" hidden="1">
      <c r="A4" s="12">
        <v>45294</v>
      </c>
      <c r="B4" s="11">
        <f t="shared" si="0"/>
        <v>2024</v>
      </c>
      <c r="C4" s="11">
        <f t="shared" si="1"/>
        <v>1</v>
      </c>
      <c r="D4" s="11" t="s">
        <v>10</v>
      </c>
      <c r="E4" s="13">
        <v>11120</v>
      </c>
      <c r="F4" s="13">
        <v>10754</v>
      </c>
      <c r="G4" s="13">
        <v>10412</v>
      </c>
      <c r="I4" s="14"/>
      <c r="J4" s="14">
        <v>-3.2899999999999999E-2</v>
      </c>
      <c r="M4" s="13"/>
    </row>
    <row r="5" spans="1:13" hidden="1">
      <c r="A5" s="12">
        <v>45295</v>
      </c>
      <c r="B5" s="11">
        <f t="shared" si="0"/>
        <v>2024</v>
      </c>
      <c r="C5" s="11">
        <f t="shared" si="1"/>
        <v>1</v>
      </c>
      <c r="D5" s="11" t="s">
        <v>11</v>
      </c>
      <c r="E5" s="13">
        <v>12015</v>
      </c>
      <c r="F5" s="13">
        <v>10592</v>
      </c>
      <c r="G5" s="13">
        <v>12560</v>
      </c>
      <c r="I5" s="14"/>
      <c r="J5" s="14">
        <v>-0.11840000000000001</v>
      </c>
      <c r="M5" s="13"/>
    </row>
    <row r="6" spans="1:13" hidden="1">
      <c r="A6" s="12">
        <v>45296</v>
      </c>
      <c r="B6" s="11">
        <f t="shared" si="0"/>
        <v>2024</v>
      </c>
      <c r="C6" s="11">
        <f t="shared" si="1"/>
        <v>1</v>
      </c>
      <c r="D6" s="11" t="s">
        <v>9</v>
      </c>
      <c r="E6" s="13">
        <v>14065</v>
      </c>
      <c r="F6" s="13">
        <v>9899</v>
      </c>
      <c r="G6" s="13">
        <v>14137</v>
      </c>
      <c r="I6" s="14"/>
      <c r="J6" s="14">
        <v>-0.29620000000000002</v>
      </c>
      <c r="M6" s="13"/>
    </row>
    <row r="7" spans="1:13" hidden="1">
      <c r="A7" s="12">
        <v>45297</v>
      </c>
      <c r="B7" s="11">
        <f t="shared" si="0"/>
        <v>2024</v>
      </c>
      <c r="C7" s="11">
        <f t="shared" si="1"/>
        <v>1</v>
      </c>
      <c r="D7" s="11" t="s">
        <v>12</v>
      </c>
      <c r="E7" s="13">
        <v>6221</v>
      </c>
      <c r="F7" s="13">
        <v>7028</v>
      </c>
      <c r="G7" s="13">
        <v>6119</v>
      </c>
      <c r="I7" s="14"/>
      <c r="J7" s="14">
        <v>0.12970000000000001</v>
      </c>
      <c r="M7" s="13"/>
    </row>
    <row r="8" spans="1:13" hidden="1">
      <c r="A8" s="12">
        <v>45298</v>
      </c>
      <c r="B8" s="11">
        <f t="shared" si="0"/>
        <v>2024</v>
      </c>
      <c r="C8" s="11">
        <f t="shared" si="1"/>
        <v>1</v>
      </c>
      <c r="D8" s="11" t="s">
        <v>13</v>
      </c>
      <c r="E8" s="13">
        <v>10768</v>
      </c>
      <c r="F8" s="13">
        <v>6956</v>
      </c>
      <c r="G8" s="13">
        <v>8280</v>
      </c>
      <c r="I8" s="14"/>
      <c r="J8" s="14">
        <v>-0.35399999999999998</v>
      </c>
      <c r="M8" s="13"/>
    </row>
    <row r="9" spans="1:13" hidden="1">
      <c r="A9" s="12">
        <v>45299</v>
      </c>
      <c r="B9" s="11">
        <f t="shared" si="0"/>
        <v>2024</v>
      </c>
      <c r="C9" s="11">
        <f t="shared" si="1"/>
        <v>1</v>
      </c>
      <c r="D9" s="11" t="s">
        <v>14</v>
      </c>
      <c r="E9" s="13">
        <v>5100</v>
      </c>
      <c r="F9" s="13">
        <v>5333</v>
      </c>
      <c r="G9" s="13">
        <v>5378</v>
      </c>
      <c r="I9" s="14"/>
      <c r="J9" s="14">
        <v>4.5699999999999998E-2</v>
      </c>
      <c r="M9" s="13"/>
    </row>
    <row r="10" spans="1:13" hidden="1">
      <c r="A10" s="12">
        <v>45300</v>
      </c>
      <c r="B10" s="11">
        <f t="shared" si="0"/>
        <v>2024</v>
      </c>
      <c r="C10" s="11">
        <f t="shared" si="1"/>
        <v>1</v>
      </c>
      <c r="D10" s="11" t="s">
        <v>15</v>
      </c>
      <c r="E10" s="13">
        <v>2297</v>
      </c>
      <c r="F10" s="13">
        <v>3394</v>
      </c>
      <c r="G10" s="13">
        <v>3875</v>
      </c>
      <c r="I10" s="14"/>
      <c r="J10" s="14">
        <v>4.4919000000000002</v>
      </c>
      <c r="M10" s="13"/>
    </row>
    <row r="11" spans="1:13" hidden="1">
      <c r="A11" s="12">
        <v>45301</v>
      </c>
      <c r="B11" s="11">
        <f t="shared" si="0"/>
        <v>2024</v>
      </c>
      <c r="C11" s="11">
        <f t="shared" si="1"/>
        <v>1</v>
      </c>
      <c r="D11" s="11" t="s">
        <v>17</v>
      </c>
      <c r="E11" s="13">
        <v>2275</v>
      </c>
      <c r="F11" s="13">
        <v>3267</v>
      </c>
      <c r="G11" s="13">
        <v>4316</v>
      </c>
      <c r="I11" s="14"/>
      <c r="J11" s="14">
        <v>-0.21729999999999999</v>
      </c>
      <c r="M11" s="13"/>
    </row>
    <row r="12" spans="1:13" hidden="1">
      <c r="A12" s="12">
        <v>45302</v>
      </c>
      <c r="B12" s="11">
        <f t="shared" si="0"/>
        <v>2024</v>
      </c>
      <c r="C12" s="11">
        <f t="shared" si="1"/>
        <v>1</v>
      </c>
      <c r="D12" s="11" t="s">
        <v>102</v>
      </c>
      <c r="E12" s="13">
        <v>3316</v>
      </c>
      <c r="F12" s="11">
        <v>0</v>
      </c>
      <c r="G12" s="11">
        <v>0</v>
      </c>
      <c r="I12" s="14"/>
      <c r="J12" s="14">
        <v>0.37609999999999999</v>
      </c>
      <c r="M12" s="13"/>
    </row>
    <row r="13" spans="1:13" hidden="1">
      <c r="A13" s="12">
        <v>45303</v>
      </c>
      <c r="B13" s="11">
        <f t="shared" si="0"/>
        <v>2024</v>
      </c>
      <c r="C13" s="11">
        <f t="shared" si="1"/>
        <v>1</v>
      </c>
      <c r="D13" s="11" t="s">
        <v>19</v>
      </c>
      <c r="E13" s="13">
        <v>1186</v>
      </c>
      <c r="F13" s="13">
        <v>2614</v>
      </c>
      <c r="G13" s="13">
        <v>2133</v>
      </c>
      <c r="I13" s="14"/>
      <c r="J13" s="14">
        <v>0.14899999999999999</v>
      </c>
      <c r="M13" s="13"/>
    </row>
    <row r="14" spans="1:13" hidden="1">
      <c r="A14" s="12">
        <v>45304</v>
      </c>
      <c r="B14" s="11">
        <f t="shared" si="0"/>
        <v>2024</v>
      </c>
      <c r="C14" s="11">
        <f t="shared" si="1"/>
        <v>1</v>
      </c>
      <c r="D14" s="11" t="s">
        <v>18</v>
      </c>
      <c r="E14" s="13">
        <v>2262</v>
      </c>
      <c r="F14" s="13">
        <v>1675</v>
      </c>
      <c r="G14" s="13">
        <v>3186</v>
      </c>
      <c r="I14" s="14"/>
      <c r="J14" s="14">
        <v>-0.49459999999999998</v>
      </c>
      <c r="M14" s="13"/>
    </row>
    <row r="15" spans="1:13" hidden="1">
      <c r="A15" s="12">
        <v>45305</v>
      </c>
      <c r="B15" s="11">
        <f t="shared" si="0"/>
        <v>2024</v>
      </c>
      <c r="C15" s="11">
        <f t="shared" si="1"/>
        <v>1</v>
      </c>
      <c r="D15" s="11" t="s">
        <v>20</v>
      </c>
      <c r="E15" s="13">
        <v>2157</v>
      </c>
      <c r="F15" s="13">
        <v>1533</v>
      </c>
      <c r="G15" s="13">
        <v>1461</v>
      </c>
      <c r="I15" s="14"/>
      <c r="J15" s="14">
        <v>0.29260000000000003</v>
      </c>
      <c r="M15" s="13"/>
    </row>
    <row r="16" spans="1:13" hidden="1">
      <c r="A16" s="12">
        <v>45306</v>
      </c>
      <c r="B16" s="11">
        <f t="shared" si="0"/>
        <v>2024</v>
      </c>
      <c r="C16" s="11">
        <f t="shared" si="1"/>
        <v>1</v>
      </c>
      <c r="D16" s="11" t="s">
        <v>23</v>
      </c>
      <c r="E16" s="13">
        <v>2297</v>
      </c>
      <c r="F16" s="13">
        <v>984</v>
      </c>
      <c r="G16" s="13">
        <v>1306</v>
      </c>
      <c r="I16" s="14"/>
      <c r="J16" s="14">
        <v>-0.56499999999999995</v>
      </c>
      <c r="M16" s="13"/>
    </row>
    <row r="17" spans="1:13" hidden="1">
      <c r="A17" s="12">
        <v>45307</v>
      </c>
      <c r="B17" s="11">
        <f t="shared" si="0"/>
        <v>2024</v>
      </c>
      <c r="C17" s="11">
        <f t="shared" si="1"/>
        <v>1</v>
      </c>
      <c r="D17" s="11" t="s">
        <v>22</v>
      </c>
      <c r="E17" s="13">
        <v>2275</v>
      </c>
      <c r="F17" s="13">
        <v>840</v>
      </c>
      <c r="G17" s="13">
        <v>1258</v>
      </c>
      <c r="I17" s="14"/>
      <c r="J17" s="14">
        <v>-0.61060000000000003</v>
      </c>
      <c r="M17" s="13"/>
    </row>
    <row r="18" spans="1:13" hidden="1">
      <c r="A18" s="12">
        <v>45308</v>
      </c>
      <c r="B18" s="11">
        <f t="shared" si="0"/>
        <v>2024</v>
      </c>
      <c r="C18" s="11">
        <f t="shared" si="1"/>
        <v>1</v>
      </c>
      <c r="D18" s="11" t="s">
        <v>25</v>
      </c>
      <c r="E18" s="13">
        <v>1559</v>
      </c>
      <c r="F18" s="13">
        <v>428</v>
      </c>
      <c r="G18" s="11">
        <v>658</v>
      </c>
      <c r="I18" s="14"/>
      <c r="J18" s="14">
        <v>-0.72550000000000003</v>
      </c>
      <c r="M18" s="13"/>
    </row>
    <row r="19" spans="1:13" hidden="1">
      <c r="A19" s="12">
        <v>45309</v>
      </c>
      <c r="B19" s="11">
        <f t="shared" si="0"/>
        <v>2024</v>
      </c>
      <c r="C19" s="11">
        <f t="shared" si="1"/>
        <v>1</v>
      </c>
      <c r="D19" s="11" t="s">
        <v>24</v>
      </c>
      <c r="E19" s="11" t="s">
        <v>107</v>
      </c>
      <c r="F19" s="11">
        <v>377</v>
      </c>
      <c r="G19" s="11">
        <v>0</v>
      </c>
      <c r="I19" s="14"/>
      <c r="J19" s="14">
        <v>0</v>
      </c>
      <c r="M19" s="13"/>
    </row>
    <row r="20" spans="1:13" hidden="1">
      <c r="A20" s="12">
        <v>45310</v>
      </c>
      <c r="B20" s="11">
        <f t="shared" si="0"/>
        <v>2024</v>
      </c>
      <c r="C20" s="11">
        <f t="shared" si="1"/>
        <v>1</v>
      </c>
      <c r="D20" s="11" t="s">
        <v>26</v>
      </c>
      <c r="E20" s="13">
        <v>1542</v>
      </c>
      <c r="F20" s="11">
        <v>199</v>
      </c>
      <c r="G20" s="11">
        <v>282</v>
      </c>
      <c r="I20" s="14"/>
      <c r="J20" s="14">
        <v>-0.87090000000000001</v>
      </c>
    </row>
    <row r="21" spans="1:13" hidden="1">
      <c r="A21" s="12">
        <v>45311</v>
      </c>
      <c r="B21" s="11">
        <f t="shared" si="0"/>
        <v>2024</v>
      </c>
      <c r="C21" s="11">
        <f t="shared" si="1"/>
        <v>1</v>
      </c>
      <c r="D21" s="11" t="s">
        <v>29</v>
      </c>
      <c r="E21" s="11" t="s">
        <v>107</v>
      </c>
      <c r="F21" s="11">
        <v>0</v>
      </c>
      <c r="G21" s="11">
        <v>0</v>
      </c>
      <c r="I21" s="14"/>
      <c r="J21" s="14">
        <v>0</v>
      </c>
    </row>
    <row r="22" spans="1:13" hidden="1">
      <c r="A22" s="12">
        <v>45312</v>
      </c>
      <c r="B22" s="11">
        <f t="shared" si="0"/>
        <v>2024</v>
      </c>
      <c r="C22" s="11">
        <f t="shared" si="1"/>
        <v>1</v>
      </c>
      <c r="D22" s="11" t="s">
        <v>30</v>
      </c>
      <c r="E22" s="11" t="s">
        <v>107</v>
      </c>
      <c r="F22" s="11">
        <v>0</v>
      </c>
      <c r="G22" s="11">
        <v>0</v>
      </c>
      <c r="I22" s="14"/>
      <c r="J22" s="14">
        <v>0</v>
      </c>
    </row>
    <row r="23" spans="1:13" hidden="1">
      <c r="A23" s="12">
        <v>45313</v>
      </c>
      <c r="B23" s="11">
        <f t="shared" si="0"/>
        <v>2024</v>
      </c>
      <c r="C23" s="11">
        <f t="shared" si="1"/>
        <v>1</v>
      </c>
      <c r="D23" s="11" t="s">
        <v>27</v>
      </c>
      <c r="E23" s="11">
        <v>255</v>
      </c>
      <c r="F23" s="11">
        <v>0</v>
      </c>
      <c r="G23" s="11">
        <v>0</v>
      </c>
      <c r="I23" s="97"/>
      <c r="J23" s="97">
        <v>-1</v>
      </c>
    </row>
    <row r="24" spans="1:13" hidden="1">
      <c r="A24" s="12">
        <v>45314</v>
      </c>
      <c r="B24" s="11">
        <f t="shared" si="0"/>
        <v>2024</v>
      </c>
      <c r="C24" s="11">
        <f t="shared" si="1"/>
        <v>1</v>
      </c>
      <c r="D24" s="11" t="s">
        <v>126</v>
      </c>
      <c r="E24" s="13">
        <v>2347</v>
      </c>
      <c r="F24" s="13">
        <v>2819</v>
      </c>
      <c r="G24" s="13">
        <v>2500</v>
      </c>
      <c r="I24" s="14"/>
      <c r="J24" s="14">
        <v>0.3805</v>
      </c>
    </row>
    <row r="25" spans="1:13" hidden="1">
      <c r="A25" s="12">
        <v>45323</v>
      </c>
      <c r="B25" s="11">
        <f t="shared" si="0"/>
        <v>2024</v>
      </c>
      <c r="C25" s="11">
        <f t="shared" si="1"/>
        <v>2</v>
      </c>
      <c r="D25" s="11" t="s">
        <v>8</v>
      </c>
      <c r="E25" s="13">
        <v>26036</v>
      </c>
      <c r="F25" s="13">
        <v>12759</v>
      </c>
      <c r="G25" s="13">
        <v>10830</v>
      </c>
      <c r="H25" s="14"/>
      <c r="I25" s="14"/>
      <c r="J25" s="14">
        <v>1.24E-2</v>
      </c>
      <c r="M25" s="13"/>
    </row>
    <row r="26" spans="1:13" hidden="1">
      <c r="A26" s="12">
        <v>45324</v>
      </c>
      <c r="B26" s="11">
        <f t="shared" si="0"/>
        <v>2024</v>
      </c>
      <c r="C26" s="11">
        <f t="shared" si="1"/>
        <v>2</v>
      </c>
      <c r="D26" s="11" t="s">
        <v>7</v>
      </c>
      <c r="E26" s="13">
        <v>25419</v>
      </c>
      <c r="F26" s="13">
        <v>12019</v>
      </c>
      <c r="G26" s="13">
        <v>8360</v>
      </c>
      <c r="H26" s="14"/>
      <c r="I26" s="14"/>
      <c r="J26" s="14">
        <v>2.98E-2</v>
      </c>
      <c r="M26" s="13"/>
    </row>
    <row r="27" spans="1:13" hidden="1">
      <c r="A27" s="12">
        <v>45325</v>
      </c>
      <c r="B27" s="11">
        <f t="shared" si="0"/>
        <v>2024</v>
      </c>
      <c r="C27" s="11">
        <f t="shared" si="1"/>
        <v>2</v>
      </c>
      <c r="D27" s="11" t="s">
        <v>9</v>
      </c>
      <c r="E27" s="13">
        <v>27297</v>
      </c>
      <c r="F27" s="13">
        <v>13383</v>
      </c>
      <c r="G27" s="13">
        <v>14749</v>
      </c>
      <c r="H27" s="14"/>
      <c r="I27" s="14"/>
      <c r="J27" s="14">
        <v>-0.14710000000000001</v>
      </c>
      <c r="M27" s="13"/>
    </row>
    <row r="28" spans="1:13" hidden="1">
      <c r="A28" s="12">
        <v>45326</v>
      </c>
      <c r="B28" s="11">
        <f t="shared" si="0"/>
        <v>2024</v>
      </c>
      <c r="C28" s="11">
        <f t="shared" si="1"/>
        <v>2</v>
      </c>
      <c r="D28" s="11" t="s">
        <v>11</v>
      </c>
      <c r="E28" s="13">
        <v>21359</v>
      </c>
      <c r="F28" s="13">
        <v>9316</v>
      </c>
      <c r="G28" s="13">
        <v>11242</v>
      </c>
      <c r="H28" s="14"/>
      <c r="I28" s="14"/>
      <c r="J28" s="14">
        <v>-6.7900000000000002E-2</v>
      </c>
      <c r="M28" s="13"/>
    </row>
    <row r="29" spans="1:13" hidden="1">
      <c r="A29" s="12">
        <v>45327</v>
      </c>
      <c r="B29" s="11">
        <f t="shared" si="0"/>
        <v>2024</v>
      </c>
      <c r="C29" s="11">
        <f t="shared" si="1"/>
        <v>2</v>
      </c>
      <c r="D29" s="11" t="s">
        <v>10</v>
      </c>
      <c r="E29" s="13">
        <v>21751</v>
      </c>
      <c r="F29" s="13">
        <v>8157</v>
      </c>
      <c r="G29" s="13">
        <v>9565</v>
      </c>
      <c r="H29" s="14"/>
      <c r="I29" s="14"/>
      <c r="J29" s="14">
        <v>-0.13059999999999999</v>
      </c>
      <c r="M29" s="13"/>
    </row>
    <row r="30" spans="1:13" hidden="1">
      <c r="A30" s="12">
        <v>45328</v>
      </c>
      <c r="B30" s="11">
        <f t="shared" si="0"/>
        <v>2024</v>
      </c>
      <c r="C30" s="11">
        <f t="shared" si="1"/>
        <v>2</v>
      </c>
      <c r="D30" s="11" t="s">
        <v>13</v>
      </c>
      <c r="E30" s="13">
        <v>23839</v>
      </c>
      <c r="F30" s="13">
        <v>7269</v>
      </c>
      <c r="G30" s="13">
        <v>9678</v>
      </c>
      <c r="H30" s="14"/>
      <c r="I30" s="14"/>
      <c r="J30" s="14">
        <v>-0.40329999999999999</v>
      </c>
      <c r="M30" s="13"/>
    </row>
    <row r="31" spans="1:13" hidden="1">
      <c r="A31" s="12">
        <v>45329</v>
      </c>
      <c r="B31" s="11">
        <f t="shared" si="0"/>
        <v>2024</v>
      </c>
      <c r="C31" s="11">
        <f t="shared" si="1"/>
        <v>2</v>
      </c>
      <c r="D31" s="11" t="s">
        <v>12</v>
      </c>
      <c r="E31" s="13">
        <v>13712</v>
      </c>
      <c r="F31" s="13">
        <v>7005</v>
      </c>
      <c r="G31" s="13">
        <v>6126</v>
      </c>
      <c r="H31" s="14"/>
      <c r="I31" s="14"/>
      <c r="J31" s="14">
        <v>2.3400000000000001E-2</v>
      </c>
      <c r="M31" s="13"/>
    </row>
    <row r="32" spans="1:13" hidden="1">
      <c r="A32" s="12">
        <v>45330</v>
      </c>
      <c r="B32" s="11">
        <f t="shared" si="0"/>
        <v>2024</v>
      </c>
      <c r="C32" s="11">
        <f t="shared" si="1"/>
        <v>2</v>
      </c>
      <c r="D32" s="11" t="s">
        <v>14</v>
      </c>
      <c r="E32" s="13">
        <v>9161</v>
      </c>
      <c r="F32" s="13">
        <v>5728</v>
      </c>
      <c r="G32" s="13">
        <v>6453</v>
      </c>
      <c r="H32" s="14"/>
      <c r="I32" s="14"/>
      <c r="J32" s="14">
        <v>0.2074</v>
      </c>
      <c r="M32" s="13"/>
    </row>
    <row r="33" spans="1:13" hidden="1">
      <c r="A33" s="12">
        <v>45331</v>
      </c>
      <c r="B33" s="11">
        <f t="shared" si="0"/>
        <v>2024</v>
      </c>
      <c r="C33" s="11">
        <f t="shared" si="1"/>
        <v>2</v>
      </c>
      <c r="D33" s="11" t="s">
        <v>15</v>
      </c>
      <c r="E33" s="13">
        <v>1061</v>
      </c>
      <c r="F33" s="13">
        <v>3414</v>
      </c>
      <c r="G33" s="13">
        <v>3777</v>
      </c>
      <c r="H33" s="14"/>
      <c r="I33" s="14"/>
      <c r="J33" s="14">
        <v>5.4165999999999999</v>
      </c>
      <c r="M33" s="13"/>
    </row>
    <row r="34" spans="1:13" hidden="1">
      <c r="A34" s="12">
        <v>45332</v>
      </c>
      <c r="B34" s="11">
        <f t="shared" si="0"/>
        <v>2024</v>
      </c>
      <c r="C34" s="11">
        <f t="shared" si="1"/>
        <v>2</v>
      </c>
      <c r="D34" s="11" t="s">
        <v>126</v>
      </c>
      <c r="E34" s="13">
        <v>4257</v>
      </c>
      <c r="F34" s="13">
        <v>2038</v>
      </c>
      <c r="G34" s="11">
        <v>2015</v>
      </c>
      <c r="H34" s="14"/>
      <c r="I34" s="14"/>
      <c r="J34" s="14">
        <v>0.4733</v>
      </c>
      <c r="M34" s="13"/>
    </row>
    <row r="35" spans="1:13" hidden="1">
      <c r="A35" s="12">
        <v>45333</v>
      </c>
      <c r="B35" s="11">
        <f t="shared" si="0"/>
        <v>2024</v>
      </c>
      <c r="C35" s="11">
        <f t="shared" si="1"/>
        <v>2</v>
      </c>
      <c r="D35" s="11" t="s">
        <v>17</v>
      </c>
      <c r="E35" s="13">
        <v>7321</v>
      </c>
      <c r="F35" s="13">
        <v>2670</v>
      </c>
      <c r="G35" s="13">
        <v>3116</v>
      </c>
      <c r="H35" s="14"/>
      <c r="I35" s="14"/>
      <c r="J35" s="14">
        <v>-0.189</v>
      </c>
      <c r="M35" s="13"/>
    </row>
    <row r="36" spans="1:13" hidden="1">
      <c r="A36" s="12">
        <v>45334</v>
      </c>
      <c r="B36" s="11">
        <f t="shared" si="0"/>
        <v>2024</v>
      </c>
      <c r="C36" s="11">
        <f t="shared" si="1"/>
        <v>2</v>
      </c>
      <c r="D36" s="11" t="s">
        <v>16</v>
      </c>
      <c r="E36" s="13">
        <v>3923</v>
      </c>
      <c r="F36" s="13">
        <v>2645</v>
      </c>
      <c r="G36" s="13">
        <v>2735</v>
      </c>
      <c r="H36" s="14"/>
      <c r="I36" s="14"/>
      <c r="J36" s="14">
        <v>0.48</v>
      </c>
      <c r="M36" s="13"/>
    </row>
    <row r="37" spans="1:13" hidden="1">
      <c r="A37" s="12">
        <v>45335</v>
      </c>
      <c r="B37" s="11">
        <f t="shared" si="0"/>
        <v>2024</v>
      </c>
      <c r="C37" s="11">
        <f t="shared" si="1"/>
        <v>2</v>
      </c>
      <c r="D37" s="11" t="s">
        <v>19</v>
      </c>
      <c r="E37" s="13">
        <v>4176</v>
      </c>
      <c r="F37" s="13">
        <v>2700</v>
      </c>
      <c r="G37" s="13">
        <v>1535</v>
      </c>
      <c r="H37" s="14"/>
      <c r="I37" s="14"/>
      <c r="J37" s="14">
        <v>0.27250000000000002</v>
      </c>
      <c r="M37" s="13"/>
    </row>
    <row r="38" spans="1:13" hidden="1">
      <c r="A38" s="12">
        <v>45336</v>
      </c>
      <c r="B38" s="11">
        <f t="shared" si="0"/>
        <v>2024</v>
      </c>
      <c r="C38" s="11">
        <f t="shared" si="1"/>
        <v>2</v>
      </c>
      <c r="D38" s="11" t="s">
        <v>18</v>
      </c>
      <c r="E38" s="13">
        <v>5407</v>
      </c>
      <c r="F38" s="13">
        <v>1735</v>
      </c>
      <c r="G38" s="13">
        <v>3168</v>
      </c>
      <c r="H38" s="14"/>
      <c r="I38" s="14"/>
      <c r="J38" s="14">
        <v>-0.36930000000000002</v>
      </c>
      <c r="M38" s="13"/>
    </row>
    <row r="39" spans="1:13" hidden="1">
      <c r="A39" s="12">
        <v>45337</v>
      </c>
      <c r="B39" s="11">
        <f t="shared" si="0"/>
        <v>2024</v>
      </c>
      <c r="C39" s="11">
        <f t="shared" si="1"/>
        <v>2</v>
      </c>
      <c r="D39" s="11" t="s">
        <v>20</v>
      </c>
      <c r="E39" s="13">
        <v>2395</v>
      </c>
      <c r="F39" s="13">
        <v>1697</v>
      </c>
      <c r="G39" s="13">
        <v>1861</v>
      </c>
      <c r="H39" s="14"/>
      <c r="I39" s="14"/>
      <c r="J39" s="14">
        <v>0.34860000000000002</v>
      </c>
      <c r="M39" s="13"/>
    </row>
    <row r="40" spans="1:13" hidden="1">
      <c r="A40" s="12">
        <v>45338</v>
      </c>
      <c r="B40" s="11">
        <f t="shared" si="0"/>
        <v>2024</v>
      </c>
      <c r="C40" s="11">
        <f t="shared" si="1"/>
        <v>2</v>
      </c>
      <c r="D40" s="11" t="s">
        <v>23</v>
      </c>
      <c r="E40" s="13">
        <v>4322</v>
      </c>
      <c r="F40" s="13">
        <v>1463</v>
      </c>
      <c r="G40" s="13">
        <v>1010</v>
      </c>
      <c r="H40" s="14"/>
      <c r="I40" s="14"/>
      <c r="J40" s="14">
        <v>-0.43380000000000002</v>
      </c>
      <c r="M40" s="13"/>
    </row>
    <row r="41" spans="1:13" hidden="1">
      <c r="A41" s="12">
        <v>45339</v>
      </c>
      <c r="B41" s="11">
        <f t="shared" si="0"/>
        <v>2024</v>
      </c>
      <c r="C41" s="11">
        <f t="shared" si="1"/>
        <v>2</v>
      </c>
      <c r="D41" s="11" t="s">
        <v>22</v>
      </c>
      <c r="E41" s="13">
        <v>3774</v>
      </c>
      <c r="F41" s="13">
        <v>863</v>
      </c>
      <c r="G41" s="13">
        <v>1025</v>
      </c>
      <c r="H41" s="14"/>
      <c r="I41" s="14"/>
      <c r="J41" s="14">
        <v>-0.54879999999999995</v>
      </c>
      <c r="M41" s="13"/>
    </row>
    <row r="42" spans="1:13" hidden="1">
      <c r="A42" s="12">
        <v>45340</v>
      </c>
      <c r="B42" s="11">
        <f t="shared" si="0"/>
        <v>2024</v>
      </c>
      <c r="C42" s="11">
        <f t="shared" si="1"/>
        <v>2</v>
      </c>
      <c r="D42" s="11" t="s">
        <v>24</v>
      </c>
      <c r="E42" s="11" t="s">
        <v>107</v>
      </c>
      <c r="F42" s="13">
        <v>575</v>
      </c>
      <c r="G42" s="11">
        <v>0</v>
      </c>
      <c r="H42" s="14"/>
      <c r="I42" s="14"/>
      <c r="J42" s="14">
        <v>0</v>
      </c>
      <c r="M42" s="13"/>
    </row>
    <row r="43" spans="1:13" hidden="1">
      <c r="A43" s="12">
        <v>45341</v>
      </c>
      <c r="B43" s="11">
        <f t="shared" si="0"/>
        <v>2024</v>
      </c>
      <c r="C43" s="11">
        <f t="shared" si="1"/>
        <v>2</v>
      </c>
      <c r="D43" s="11" t="s">
        <v>25</v>
      </c>
      <c r="E43" s="13">
        <v>3142</v>
      </c>
      <c r="F43" s="11">
        <v>453</v>
      </c>
      <c r="G43" s="11">
        <v>632</v>
      </c>
      <c r="H43" s="14"/>
      <c r="I43" s="14"/>
      <c r="J43" s="14">
        <v>-0.71960000000000002</v>
      </c>
    </row>
    <row r="44" spans="1:13" hidden="1">
      <c r="A44" s="12">
        <v>45342</v>
      </c>
      <c r="B44" s="11">
        <f t="shared" si="0"/>
        <v>2024</v>
      </c>
      <c r="C44" s="11">
        <f t="shared" si="1"/>
        <v>2</v>
      </c>
      <c r="D44" s="11" t="s">
        <v>26</v>
      </c>
      <c r="E44" s="13">
        <v>2448</v>
      </c>
      <c r="F44" s="11">
        <v>251</v>
      </c>
      <c r="G44" s="11">
        <v>216</v>
      </c>
      <c r="H44" s="14"/>
      <c r="I44" s="14"/>
      <c r="J44" s="14">
        <v>-0.81620000000000004</v>
      </c>
    </row>
    <row r="45" spans="1:13" hidden="1">
      <c r="A45" s="12">
        <v>45343</v>
      </c>
      <c r="B45" s="11">
        <f t="shared" si="0"/>
        <v>2024</v>
      </c>
      <c r="C45" s="11">
        <f t="shared" si="1"/>
        <v>2</v>
      </c>
      <c r="D45" s="11" t="s">
        <v>27</v>
      </c>
      <c r="E45" s="11">
        <v>261</v>
      </c>
      <c r="F45" s="13">
        <v>80</v>
      </c>
      <c r="G45" s="13">
        <v>0</v>
      </c>
      <c r="H45" s="14"/>
      <c r="I45" s="14"/>
      <c r="J45" s="14">
        <v>-0.69350000000000001</v>
      </c>
      <c r="M45" s="13"/>
    </row>
    <row r="46" spans="1:13" hidden="1">
      <c r="A46" s="12">
        <v>45344</v>
      </c>
      <c r="B46" s="11">
        <f t="shared" si="0"/>
        <v>2024</v>
      </c>
      <c r="C46" s="11">
        <f t="shared" si="1"/>
        <v>2</v>
      </c>
      <c r="D46" s="11" t="s">
        <v>29</v>
      </c>
      <c r="E46" s="11">
        <v>206</v>
      </c>
      <c r="F46" s="11">
        <v>70</v>
      </c>
      <c r="G46" s="13">
        <v>0</v>
      </c>
      <c r="H46" s="14"/>
      <c r="I46" s="14"/>
      <c r="J46" s="14">
        <v>-0.66020000000000001</v>
      </c>
    </row>
    <row r="47" spans="1:13" hidden="1">
      <c r="A47" s="12">
        <v>45345</v>
      </c>
      <c r="B47" s="11">
        <f t="shared" si="0"/>
        <v>2024</v>
      </c>
      <c r="C47" s="11">
        <f t="shared" si="1"/>
        <v>2</v>
      </c>
      <c r="D47" s="11" t="s">
        <v>30</v>
      </c>
      <c r="E47" s="11" t="s">
        <v>107</v>
      </c>
      <c r="F47" s="11">
        <v>0</v>
      </c>
      <c r="G47" s="11">
        <v>0</v>
      </c>
      <c r="H47" s="14"/>
      <c r="I47" s="14"/>
      <c r="J47" s="14">
        <v>0</v>
      </c>
    </row>
    <row r="48" spans="1:13" hidden="1">
      <c r="A48" s="12">
        <v>45352</v>
      </c>
      <c r="B48" s="11">
        <f t="shared" si="0"/>
        <v>2024</v>
      </c>
      <c r="C48" s="11">
        <f t="shared" si="1"/>
        <v>3</v>
      </c>
      <c r="D48" s="11" t="s">
        <v>8</v>
      </c>
      <c r="E48" s="13">
        <v>38881</v>
      </c>
      <c r="F48" s="13">
        <v>17518</v>
      </c>
      <c r="G48" s="13">
        <v>16744</v>
      </c>
      <c r="H48" s="14"/>
      <c r="I48" s="14"/>
      <c r="J48" s="14">
        <v>0.1285</v>
      </c>
      <c r="M48" s="13"/>
    </row>
    <row r="49" spans="1:13" hidden="1">
      <c r="A49" s="12">
        <v>45353</v>
      </c>
      <c r="B49" s="11">
        <f t="shared" si="0"/>
        <v>2024</v>
      </c>
      <c r="C49" s="11">
        <f t="shared" si="1"/>
        <v>3</v>
      </c>
      <c r="D49" s="11" t="s">
        <v>7</v>
      </c>
      <c r="E49" s="13">
        <v>34249</v>
      </c>
      <c r="F49" s="13">
        <v>16376</v>
      </c>
      <c r="G49" s="13">
        <v>17213</v>
      </c>
      <c r="H49" s="14"/>
      <c r="I49" s="14"/>
      <c r="J49" s="14">
        <v>0.24249999999999999</v>
      </c>
      <c r="M49" s="13"/>
    </row>
    <row r="50" spans="1:13" hidden="1">
      <c r="A50" s="12">
        <v>45354</v>
      </c>
      <c r="B50" s="11">
        <f t="shared" si="0"/>
        <v>2024</v>
      </c>
      <c r="C50" s="11">
        <f t="shared" si="1"/>
        <v>3</v>
      </c>
      <c r="D50" s="11" t="s">
        <v>9</v>
      </c>
      <c r="E50" s="13">
        <v>41446</v>
      </c>
      <c r="F50" s="13">
        <v>13068</v>
      </c>
      <c r="G50" s="13">
        <v>14308</v>
      </c>
      <c r="H50" s="14"/>
      <c r="I50" s="14"/>
      <c r="J50" s="14">
        <v>-0.123</v>
      </c>
      <c r="M50" s="13"/>
    </row>
    <row r="51" spans="1:13" hidden="1">
      <c r="A51" s="12">
        <v>45355</v>
      </c>
      <c r="B51" s="11">
        <f t="shared" si="0"/>
        <v>2024</v>
      </c>
      <c r="C51" s="11">
        <f t="shared" si="1"/>
        <v>3</v>
      </c>
      <c r="D51" s="11" t="s">
        <v>11</v>
      </c>
      <c r="E51" s="13">
        <v>32622</v>
      </c>
      <c r="F51" s="13">
        <v>11695</v>
      </c>
      <c r="G51" s="13">
        <v>12477</v>
      </c>
      <c r="H51" s="14"/>
      <c r="I51" s="14"/>
      <c r="J51" s="14">
        <v>-3.1199999999999999E-2</v>
      </c>
      <c r="M51" s="13"/>
    </row>
    <row r="52" spans="1:13" hidden="1">
      <c r="A52" s="12">
        <v>45356</v>
      </c>
      <c r="B52" s="11">
        <f t="shared" si="0"/>
        <v>2024</v>
      </c>
      <c r="C52" s="11">
        <f t="shared" si="1"/>
        <v>3</v>
      </c>
      <c r="D52" s="11" t="s">
        <v>10</v>
      </c>
      <c r="E52" s="13">
        <v>32928</v>
      </c>
      <c r="F52" s="13">
        <v>10739</v>
      </c>
      <c r="G52" s="13">
        <v>13414</v>
      </c>
      <c r="H52" s="14"/>
      <c r="I52" s="14"/>
      <c r="J52" s="14">
        <v>-9.9599999999999994E-2</v>
      </c>
      <c r="M52" s="13"/>
    </row>
    <row r="53" spans="1:13" hidden="1">
      <c r="A53" s="12">
        <v>45357</v>
      </c>
      <c r="B53" s="11">
        <f t="shared" si="0"/>
        <v>2024</v>
      </c>
      <c r="C53" s="11">
        <f t="shared" si="1"/>
        <v>3</v>
      </c>
      <c r="D53" s="11" t="s">
        <v>12</v>
      </c>
      <c r="E53" s="13">
        <v>17560</v>
      </c>
      <c r="F53" s="13">
        <v>10793</v>
      </c>
      <c r="G53" s="13">
        <v>8224</v>
      </c>
      <c r="H53" s="14"/>
      <c r="I53" s="14"/>
      <c r="J53" s="14">
        <v>0.4138</v>
      </c>
      <c r="M53" s="13"/>
    </row>
    <row r="54" spans="1:13" hidden="1">
      <c r="A54" s="12">
        <v>45358</v>
      </c>
      <c r="B54" s="11">
        <f t="shared" si="0"/>
        <v>2024</v>
      </c>
      <c r="C54" s="11">
        <f t="shared" si="1"/>
        <v>3</v>
      </c>
      <c r="D54" s="11" t="s">
        <v>13</v>
      </c>
      <c r="E54" s="13">
        <v>34027</v>
      </c>
      <c r="F54" s="13">
        <v>7680</v>
      </c>
      <c r="G54" s="13">
        <v>10735</v>
      </c>
      <c r="H54" s="14"/>
      <c r="I54" s="14"/>
      <c r="J54" s="14">
        <v>-0.35620000000000002</v>
      </c>
      <c r="M54" s="13"/>
    </row>
    <row r="55" spans="1:13" hidden="1">
      <c r="A55" s="12">
        <v>45359</v>
      </c>
      <c r="B55" s="11">
        <f t="shared" si="0"/>
        <v>2024</v>
      </c>
      <c r="C55" s="11">
        <f t="shared" si="1"/>
        <v>3</v>
      </c>
      <c r="D55" s="11" t="s">
        <v>14</v>
      </c>
      <c r="E55" s="13">
        <v>14084</v>
      </c>
      <c r="F55" s="13">
        <v>6189</v>
      </c>
      <c r="G55" s="13">
        <v>6408</v>
      </c>
      <c r="H55" s="14"/>
      <c r="I55" s="14"/>
      <c r="J55" s="14">
        <v>0.2248</v>
      </c>
      <c r="M55" s="13"/>
    </row>
    <row r="56" spans="1:13" hidden="1">
      <c r="A56" s="12">
        <v>45360</v>
      </c>
      <c r="B56" s="11">
        <f t="shared" si="0"/>
        <v>2024</v>
      </c>
      <c r="C56" s="11">
        <f t="shared" si="1"/>
        <v>3</v>
      </c>
      <c r="D56" s="11" t="s">
        <v>126</v>
      </c>
      <c r="E56" s="13">
        <v>9910</v>
      </c>
      <c r="F56" s="13">
        <v>1458</v>
      </c>
      <c r="G56" s="13">
        <v>1514</v>
      </c>
      <c r="H56" s="14"/>
      <c r="I56" s="14"/>
      <c r="J56" s="14">
        <v>0.22839999999999999</v>
      </c>
      <c r="M56" s="13"/>
    </row>
    <row r="57" spans="1:13" hidden="1">
      <c r="A57" s="12">
        <v>45361</v>
      </c>
      <c r="B57" s="11">
        <f t="shared" si="0"/>
        <v>2024</v>
      </c>
      <c r="C57" s="11">
        <f t="shared" si="1"/>
        <v>3</v>
      </c>
      <c r="D57" s="11" t="s">
        <v>15</v>
      </c>
      <c r="E57" s="13">
        <v>2672</v>
      </c>
      <c r="F57" s="13">
        <v>3173</v>
      </c>
      <c r="G57" s="13">
        <v>4095</v>
      </c>
      <c r="H57" s="14"/>
      <c r="I57" s="14"/>
      <c r="J57" s="14">
        <v>2.7353999999999998</v>
      </c>
      <c r="M57" s="13"/>
    </row>
    <row r="58" spans="1:13" hidden="1">
      <c r="A58" s="12">
        <v>45362</v>
      </c>
      <c r="B58" s="11">
        <f t="shared" si="0"/>
        <v>2024</v>
      </c>
      <c r="C58" s="11">
        <f t="shared" si="1"/>
        <v>3</v>
      </c>
      <c r="D58" s="11" t="s">
        <v>16</v>
      </c>
      <c r="E58" s="13">
        <v>6210</v>
      </c>
      <c r="F58" s="13">
        <v>3361</v>
      </c>
      <c r="G58" s="13">
        <v>3538</v>
      </c>
      <c r="H58" s="14"/>
      <c r="I58" s="14"/>
      <c r="J58" s="14">
        <v>0.47620000000000001</v>
      </c>
      <c r="M58" s="13"/>
    </row>
    <row r="59" spans="1:13" hidden="1">
      <c r="A59" s="12">
        <v>45363</v>
      </c>
      <c r="B59" s="11">
        <f t="shared" si="0"/>
        <v>2024</v>
      </c>
      <c r="C59" s="11">
        <f t="shared" si="1"/>
        <v>3</v>
      </c>
      <c r="D59" s="11" t="s">
        <v>17</v>
      </c>
      <c r="E59" s="13">
        <v>10680</v>
      </c>
      <c r="F59" s="13">
        <v>3167</v>
      </c>
      <c r="G59" s="13">
        <v>3233</v>
      </c>
      <c r="H59" s="14"/>
      <c r="I59" s="14"/>
      <c r="J59" s="14">
        <v>-0.14760000000000001</v>
      </c>
      <c r="M59" s="13"/>
    </row>
    <row r="60" spans="1:13" hidden="1">
      <c r="A60" s="12">
        <v>45364</v>
      </c>
      <c r="B60" s="11">
        <f t="shared" si="0"/>
        <v>2024</v>
      </c>
      <c r="C60" s="11">
        <f t="shared" si="1"/>
        <v>3</v>
      </c>
      <c r="D60" s="11" t="s">
        <v>19</v>
      </c>
      <c r="E60" s="13">
        <v>7456</v>
      </c>
      <c r="F60" s="13">
        <v>2556</v>
      </c>
      <c r="G60" s="13">
        <v>974</v>
      </c>
      <c r="H60" s="14"/>
      <c r="I60" s="14"/>
      <c r="J60" s="14">
        <v>5.5500000000000001E-2</v>
      </c>
      <c r="M60" s="13"/>
    </row>
    <row r="61" spans="1:13" hidden="1">
      <c r="A61" s="12">
        <v>45365</v>
      </c>
      <c r="B61" s="11">
        <f t="shared" si="0"/>
        <v>2024</v>
      </c>
      <c r="C61" s="11">
        <f t="shared" si="1"/>
        <v>3</v>
      </c>
      <c r="D61" s="11" t="s">
        <v>18</v>
      </c>
      <c r="E61" s="13">
        <v>8354</v>
      </c>
      <c r="F61" s="13">
        <v>2299</v>
      </c>
      <c r="G61" s="13">
        <v>2560</v>
      </c>
      <c r="H61" s="14"/>
      <c r="I61" s="14"/>
      <c r="J61" s="14">
        <v>-0.31659999999999999</v>
      </c>
      <c r="M61" s="13"/>
    </row>
    <row r="62" spans="1:13" hidden="1">
      <c r="A62" s="12">
        <v>45366</v>
      </c>
      <c r="B62" s="11">
        <f t="shared" si="0"/>
        <v>2024</v>
      </c>
      <c r="C62" s="11">
        <f t="shared" si="1"/>
        <v>3</v>
      </c>
      <c r="D62" s="11" t="s">
        <v>20</v>
      </c>
      <c r="E62" s="13">
        <v>3437</v>
      </c>
      <c r="F62" s="13">
        <v>2034</v>
      </c>
      <c r="G62" s="13">
        <v>1280</v>
      </c>
      <c r="H62" s="14"/>
      <c r="I62" s="14"/>
      <c r="J62" s="14">
        <v>0.53159999999999996</v>
      </c>
      <c r="M62" s="13"/>
    </row>
    <row r="63" spans="1:13" hidden="1">
      <c r="A63" s="12">
        <v>45367</v>
      </c>
      <c r="B63" s="11">
        <f t="shared" si="0"/>
        <v>2024</v>
      </c>
      <c r="C63" s="11">
        <f t="shared" si="1"/>
        <v>3</v>
      </c>
      <c r="D63" s="11" t="s">
        <v>23</v>
      </c>
      <c r="E63" s="13">
        <v>6996</v>
      </c>
      <c r="F63" s="13">
        <v>1397</v>
      </c>
      <c r="G63" s="13">
        <v>1198</v>
      </c>
      <c r="H63" s="14"/>
      <c r="I63" s="14"/>
      <c r="J63" s="14">
        <v>-0.45050000000000001</v>
      </c>
      <c r="M63" s="13"/>
    </row>
    <row r="64" spans="1:13" hidden="1">
      <c r="A64" s="12">
        <v>45368</v>
      </c>
      <c r="B64" s="11">
        <f t="shared" si="0"/>
        <v>2024</v>
      </c>
      <c r="C64" s="11">
        <f t="shared" si="1"/>
        <v>3</v>
      </c>
      <c r="D64" s="11" t="s">
        <v>22</v>
      </c>
      <c r="E64" s="13">
        <v>5173</v>
      </c>
      <c r="F64" s="13">
        <v>1307</v>
      </c>
      <c r="G64" s="13">
        <v>1401</v>
      </c>
      <c r="H64" s="14"/>
      <c r="I64" s="14"/>
      <c r="J64" s="14">
        <v>-0.41810000000000003</v>
      </c>
      <c r="M64" s="13"/>
    </row>
    <row r="65" spans="1:13" hidden="1">
      <c r="A65" s="12">
        <v>45369</v>
      </c>
      <c r="B65" s="11">
        <f t="shared" si="0"/>
        <v>2024</v>
      </c>
      <c r="C65" s="11">
        <f t="shared" si="1"/>
        <v>3</v>
      </c>
      <c r="D65" s="11" t="s">
        <v>24</v>
      </c>
      <c r="E65" s="11" t="s">
        <v>107</v>
      </c>
      <c r="F65" s="13">
        <v>803</v>
      </c>
      <c r="G65" s="11">
        <v>0</v>
      </c>
      <c r="H65" s="14"/>
      <c r="I65" s="14"/>
      <c r="J65" s="14">
        <v>0</v>
      </c>
      <c r="M65" s="13"/>
    </row>
    <row r="66" spans="1:13" hidden="1">
      <c r="A66" s="12">
        <v>45370</v>
      </c>
      <c r="B66" s="11">
        <f t="shared" si="0"/>
        <v>2024</v>
      </c>
      <c r="C66" s="11">
        <f t="shared" si="1"/>
        <v>3</v>
      </c>
      <c r="D66" s="11" t="s">
        <v>25</v>
      </c>
      <c r="E66" s="13">
        <v>4666</v>
      </c>
      <c r="F66" s="13">
        <v>582</v>
      </c>
      <c r="G66" s="13">
        <v>585</v>
      </c>
      <c r="H66" s="14"/>
      <c r="I66" s="14"/>
      <c r="J66" s="14">
        <v>-0.6865</v>
      </c>
      <c r="M66" s="13"/>
    </row>
    <row r="67" spans="1:13" hidden="1">
      <c r="A67" s="12">
        <v>45371</v>
      </c>
      <c r="B67" s="11">
        <f t="shared" si="0"/>
        <v>2024</v>
      </c>
      <c r="C67" s="11">
        <f t="shared" si="1"/>
        <v>3</v>
      </c>
      <c r="D67" s="11" t="s">
        <v>26</v>
      </c>
      <c r="E67" s="13">
        <v>4010</v>
      </c>
      <c r="F67" s="13">
        <v>265</v>
      </c>
      <c r="G67" s="13">
        <v>768</v>
      </c>
      <c r="H67" s="14"/>
      <c r="I67" s="14"/>
      <c r="J67" s="14">
        <v>-0.82169999999999999</v>
      </c>
      <c r="M67" s="13"/>
    </row>
    <row r="68" spans="1:13" hidden="1">
      <c r="A68" s="12">
        <v>45372</v>
      </c>
      <c r="B68" s="11">
        <f t="shared" si="0"/>
        <v>2024</v>
      </c>
      <c r="C68" s="11">
        <f t="shared" si="1"/>
        <v>3</v>
      </c>
      <c r="D68" s="11" t="s">
        <v>27</v>
      </c>
      <c r="E68" s="11">
        <v>269</v>
      </c>
      <c r="F68" s="13">
        <v>270</v>
      </c>
      <c r="G68" s="13">
        <v>220</v>
      </c>
      <c r="H68" s="14"/>
      <c r="I68" s="14"/>
      <c r="J68" s="14">
        <v>0.30109999999999998</v>
      </c>
      <c r="M68" s="13"/>
    </row>
    <row r="69" spans="1:13" hidden="1">
      <c r="A69" s="12">
        <v>45373</v>
      </c>
      <c r="B69" s="11">
        <f t="shared" si="0"/>
        <v>2024</v>
      </c>
      <c r="C69" s="11">
        <f t="shared" si="1"/>
        <v>3</v>
      </c>
      <c r="D69" s="11" t="s">
        <v>29</v>
      </c>
      <c r="E69" s="11">
        <v>112</v>
      </c>
      <c r="F69" s="11">
        <v>0</v>
      </c>
      <c r="G69" s="13">
        <v>0</v>
      </c>
      <c r="H69" s="14"/>
      <c r="I69" s="14"/>
      <c r="J69" s="14">
        <v>-0.375</v>
      </c>
    </row>
    <row r="70" spans="1:13" hidden="1">
      <c r="A70" s="12">
        <v>45374</v>
      </c>
      <c r="B70" s="11">
        <f t="shared" si="0"/>
        <v>2024</v>
      </c>
      <c r="C70" s="11">
        <f t="shared" si="1"/>
        <v>3</v>
      </c>
      <c r="D70" s="11" t="s">
        <v>30</v>
      </c>
      <c r="E70" s="11" t="s">
        <v>107</v>
      </c>
      <c r="F70" s="11">
        <v>0</v>
      </c>
      <c r="G70" s="11">
        <v>0</v>
      </c>
      <c r="H70" s="14"/>
      <c r="I70" s="14"/>
      <c r="J70" s="14">
        <v>0</v>
      </c>
    </row>
    <row r="71" spans="1:13" hidden="1">
      <c r="A71" s="12">
        <v>45383</v>
      </c>
      <c r="B71" s="11">
        <f t="shared" si="0"/>
        <v>2024</v>
      </c>
      <c r="C71" s="11">
        <f t="shared" si="1"/>
        <v>4</v>
      </c>
      <c r="D71" s="11" t="s">
        <v>7</v>
      </c>
      <c r="E71" s="13">
        <v>48138</v>
      </c>
      <c r="F71" s="98">
        <v>16375</v>
      </c>
      <c r="G71" s="98">
        <v>17626</v>
      </c>
      <c r="H71" s="14"/>
      <c r="I71" s="14"/>
      <c r="J71" s="14">
        <v>0.22409999999999999</v>
      </c>
      <c r="K71" s="98"/>
      <c r="M71" s="99"/>
    </row>
    <row r="72" spans="1:13" hidden="1">
      <c r="A72" s="12">
        <v>45384</v>
      </c>
      <c r="B72" s="11">
        <f t="shared" si="0"/>
        <v>2024</v>
      </c>
      <c r="C72" s="11">
        <f t="shared" si="1"/>
        <v>4</v>
      </c>
      <c r="D72" s="11" t="s">
        <v>8</v>
      </c>
      <c r="E72" s="13">
        <v>55238</v>
      </c>
      <c r="F72" s="98">
        <v>11880</v>
      </c>
      <c r="G72" s="98">
        <v>11725</v>
      </c>
      <c r="H72" s="14"/>
      <c r="I72" s="14"/>
      <c r="J72" s="14">
        <v>9.4000000000000004E-3</v>
      </c>
      <c r="K72" s="98"/>
      <c r="M72" s="99"/>
    </row>
    <row r="73" spans="1:13" hidden="1">
      <c r="A73" s="12">
        <v>45385</v>
      </c>
      <c r="B73" s="11">
        <f t="shared" si="0"/>
        <v>2024</v>
      </c>
      <c r="C73" s="11">
        <f t="shared" si="1"/>
        <v>4</v>
      </c>
      <c r="D73" s="11" t="s">
        <v>9</v>
      </c>
      <c r="E73" s="13">
        <v>61173</v>
      </c>
      <c r="F73" s="98">
        <v>15581</v>
      </c>
      <c r="G73" s="98">
        <v>15432</v>
      </c>
      <c r="H73" s="14"/>
      <c r="I73" s="14"/>
      <c r="J73" s="14">
        <v>-0.15110000000000001</v>
      </c>
      <c r="K73" s="98"/>
      <c r="M73" s="99"/>
    </row>
    <row r="74" spans="1:13" hidden="1">
      <c r="A74" s="12">
        <v>45386</v>
      </c>
      <c r="B74" s="11">
        <f t="shared" si="0"/>
        <v>2024</v>
      </c>
      <c r="C74" s="11">
        <f t="shared" si="1"/>
        <v>4</v>
      </c>
      <c r="D74" s="11" t="s">
        <v>11</v>
      </c>
      <c r="E74" s="13">
        <v>42913</v>
      </c>
      <c r="F74" s="98">
        <v>9166</v>
      </c>
      <c r="G74" s="98">
        <v>12740</v>
      </c>
      <c r="H74" s="14"/>
      <c r="I74" s="14"/>
      <c r="J74" s="14">
        <v>-0.05</v>
      </c>
      <c r="K74" s="98"/>
      <c r="M74" s="99"/>
    </row>
    <row r="75" spans="1:13" hidden="1">
      <c r="A75" s="12">
        <v>45387</v>
      </c>
      <c r="B75" s="11">
        <f t="shared" si="0"/>
        <v>2024</v>
      </c>
      <c r="C75" s="11">
        <f t="shared" si="1"/>
        <v>4</v>
      </c>
      <c r="D75" s="11" t="s">
        <v>10</v>
      </c>
      <c r="E75" s="13">
        <v>41616</v>
      </c>
      <c r="F75" s="98">
        <v>9904</v>
      </c>
      <c r="G75" s="98">
        <v>5408</v>
      </c>
      <c r="H75" s="14"/>
      <c r="I75" s="14"/>
      <c r="J75" s="14">
        <v>-4.9500000000000002E-2</v>
      </c>
      <c r="K75" s="98"/>
      <c r="M75" s="99"/>
    </row>
    <row r="76" spans="1:13" hidden="1">
      <c r="A76" s="12">
        <v>45388</v>
      </c>
      <c r="B76" s="11">
        <f t="shared" si="0"/>
        <v>2024</v>
      </c>
      <c r="C76" s="11">
        <f t="shared" si="1"/>
        <v>4</v>
      </c>
      <c r="D76" s="11" t="s">
        <v>12</v>
      </c>
      <c r="E76" s="13">
        <v>22810</v>
      </c>
      <c r="F76" s="98">
        <v>6568</v>
      </c>
      <c r="G76" s="98">
        <v>5217</v>
      </c>
      <c r="H76" s="14"/>
      <c r="I76" s="14"/>
      <c r="J76" s="14">
        <v>0.37630000000000002</v>
      </c>
      <c r="K76" s="98"/>
      <c r="M76" s="99"/>
    </row>
    <row r="77" spans="1:13" hidden="1">
      <c r="A77" s="12">
        <v>45389</v>
      </c>
      <c r="B77" s="11">
        <f t="shared" si="0"/>
        <v>2024</v>
      </c>
      <c r="C77" s="11">
        <f t="shared" si="1"/>
        <v>4</v>
      </c>
      <c r="D77" s="11" t="s">
        <v>13</v>
      </c>
      <c r="E77" s="13">
        <v>45728</v>
      </c>
      <c r="F77" s="98">
        <v>5820</v>
      </c>
      <c r="G77" s="98">
        <v>12400</v>
      </c>
      <c r="H77" s="14"/>
      <c r="I77" s="14"/>
      <c r="J77" s="14">
        <v>-0.39369999999999999</v>
      </c>
      <c r="K77" s="98"/>
      <c r="M77" s="99"/>
    </row>
    <row r="78" spans="1:13" hidden="1">
      <c r="A78" s="12">
        <v>45390</v>
      </c>
      <c r="B78" s="11">
        <f t="shared" si="0"/>
        <v>2024</v>
      </c>
      <c r="C78" s="11">
        <f t="shared" si="1"/>
        <v>4</v>
      </c>
      <c r="D78" s="11" t="s">
        <v>14</v>
      </c>
      <c r="E78" s="13">
        <v>18000</v>
      </c>
      <c r="F78" s="98">
        <v>4654</v>
      </c>
      <c r="G78" s="98">
        <v>5170</v>
      </c>
      <c r="H78" s="14"/>
      <c r="I78" s="14"/>
      <c r="J78" s="14">
        <v>0.21690000000000001</v>
      </c>
      <c r="K78" s="98"/>
      <c r="M78" s="99"/>
    </row>
    <row r="79" spans="1:13" hidden="1">
      <c r="A79" s="12">
        <v>45391</v>
      </c>
      <c r="B79" s="11">
        <f t="shared" si="0"/>
        <v>2024</v>
      </c>
      <c r="C79" s="11">
        <f t="shared" si="1"/>
        <v>4</v>
      </c>
      <c r="D79" s="11" t="s">
        <v>126</v>
      </c>
      <c r="E79" s="13">
        <v>8887</v>
      </c>
      <c r="F79" s="98">
        <v>1819</v>
      </c>
      <c r="G79" s="98">
        <v>1382</v>
      </c>
      <c r="H79" s="14"/>
      <c r="I79" s="14"/>
      <c r="J79" s="14">
        <v>0.89490000000000003</v>
      </c>
      <c r="K79" s="98"/>
      <c r="M79" s="99"/>
    </row>
    <row r="80" spans="1:13" hidden="1">
      <c r="A80" s="12">
        <v>45392</v>
      </c>
      <c r="B80" s="11">
        <f t="shared" si="0"/>
        <v>2024</v>
      </c>
      <c r="C80" s="11">
        <f t="shared" si="1"/>
        <v>4</v>
      </c>
      <c r="D80" s="11" t="s">
        <v>15</v>
      </c>
      <c r="E80" s="13">
        <v>5811</v>
      </c>
      <c r="F80" s="98">
        <v>2659</v>
      </c>
      <c r="G80" s="98">
        <v>3604</v>
      </c>
      <c r="H80" s="14"/>
      <c r="I80" s="14"/>
      <c r="J80" s="14">
        <v>1.1752</v>
      </c>
      <c r="K80" s="98"/>
      <c r="M80" s="99"/>
    </row>
    <row r="81" spans="1:13" hidden="1">
      <c r="A81" s="12">
        <v>45393</v>
      </c>
      <c r="B81" s="11">
        <f t="shared" si="0"/>
        <v>2024</v>
      </c>
      <c r="C81" s="11">
        <f t="shared" si="1"/>
        <v>4</v>
      </c>
      <c r="D81" s="11" t="s">
        <v>17</v>
      </c>
      <c r="E81" s="13">
        <v>13846</v>
      </c>
      <c r="F81" s="98">
        <v>2988</v>
      </c>
      <c r="G81" s="98">
        <v>2820</v>
      </c>
      <c r="H81" s="14"/>
      <c r="I81" s="14"/>
      <c r="J81" s="14">
        <v>-0.12670000000000001</v>
      </c>
      <c r="K81" s="98"/>
      <c r="M81" s="99"/>
    </row>
    <row r="82" spans="1:13" hidden="1">
      <c r="A82" s="12">
        <v>45394</v>
      </c>
      <c r="B82" s="11">
        <f t="shared" si="0"/>
        <v>2024</v>
      </c>
      <c r="C82" s="11">
        <f t="shared" si="1"/>
        <v>4</v>
      </c>
      <c r="D82" s="11" t="s">
        <v>16</v>
      </c>
      <c r="E82" s="13">
        <v>8478</v>
      </c>
      <c r="F82" s="98">
        <v>2888</v>
      </c>
      <c r="G82" s="98">
        <v>2552</v>
      </c>
      <c r="H82" s="14"/>
      <c r="I82" s="14"/>
      <c r="J82" s="14">
        <v>0.4219</v>
      </c>
      <c r="K82" s="98"/>
      <c r="M82" s="99"/>
    </row>
    <row r="83" spans="1:13" hidden="1">
      <c r="A83" s="12">
        <v>45395</v>
      </c>
      <c r="B83" s="11">
        <f t="shared" si="0"/>
        <v>2024</v>
      </c>
      <c r="C83" s="11">
        <f t="shared" si="1"/>
        <v>4</v>
      </c>
      <c r="D83" s="11" t="s">
        <v>19</v>
      </c>
      <c r="E83" s="13">
        <v>9387</v>
      </c>
      <c r="F83" s="98">
        <v>2097</v>
      </c>
      <c r="G83" s="98">
        <v>610</v>
      </c>
      <c r="H83" s="14"/>
      <c r="I83" s="14"/>
      <c r="J83" s="14">
        <v>6.1800000000000001E-2</v>
      </c>
      <c r="K83" s="98"/>
      <c r="M83" s="99"/>
    </row>
    <row r="84" spans="1:13" hidden="1">
      <c r="A84" s="12">
        <v>45396</v>
      </c>
      <c r="B84" s="11">
        <f t="shared" si="0"/>
        <v>2024</v>
      </c>
      <c r="C84" s="11">
        <f t="shared" si="1"/>
        <v>4</v>
      </c>
      <c r="D84" s="11" t="s">
        <v>18</v>
      </c>
      <c r="E84" s="13">
        <v>10478</v>
      </c>
      <c r="F84" s="98">
        <v>1871</v>
      </c>
      <c r="G84" s="98">
        <v>2116</v>
      </c>
      <c r="H84" s="14"/>
      <c r="I84" s="14"/>
      <c r="J84" s="14">
        <v>-0.27660000000000001</v>
      </c>
      <c r="K84" s="98"/>
      <c r="M84" s="99"/>
    </row>
    <row r="85" spans="1:13" hidden="1">
      <c r="A85" s="12">
        <v>45397</v>
      </c>
      <c r="B85" s="11">
        <f t="shared" si="0"/>
        <v>2024</v>
      </c>
      <c r="C85" s="11">
        <f t="shared" si="1"/>
        <v>4</v>
      </c>
      <c r="D85" s="11" t="s">
        <v>20</v>
      </c>
      <c r="E85" s="13">
        <v>3829</v>
      </c>
      <c r="F85" s="98">
        <v>1663</v>
      </c>
      <c r="G85" s="98">
        <v>699</v>
      </c>
      <c r="H85" s="14"/>
      <c r="I85" s="14"/>
      <c r="J85" s="14">
        <v>0.80910000000000004</v>
      </c>
      <c r="K85" s="98"/>
      <c r="M85" s="99"/>
    </row>
    <row r="86" spans="1:13" hidden="1">
      <c r="A86" s="12">
        <v>45398</v>
      </c>
      <c r="B86" s="11">
        <f t="shared" si="0"/>
        <v>2024</v>
      </c>
      <c r="C86" s="11">
        <f t="shared" si="1"/>
        <v>4</v>
      </c>
      <c r="D86" s="11" t="s">
        <v>23</v>
      </c>
      <c r="E86" s="13">
        <v>9897</v>
      </c>
      <c r="F86" s="98">
        <v>871</v>
      </c>
      <c r="G86" s="98">
        <v>973</v>
      </c>
      <c r="H86" s="14"/>
      <c r="I86" s="14"/>
      <c r="J86" s="14">
        <v>-0.52359999999999995</v>
      </c>
      <c r="K86" s="98"/>
      <c r="M86" s="99"/>
    </row>
    <row r="87" spans="1:13" hidden="1">
      <c r="A87" s="12">
        <v>45399</v>
      </c>
      <c r="B87" s="11">
        <f t="shared" si="0"/>
        <v>2024</v>
      </c>
      <c r="C87" s="11">
        <f t="shared" si="1"/>
        <v>4</v>
      </c>
      <c r="D87" s="11" t="s">
        <v>22</v>
      </c>
      <c r="E87" s="13">
        <v>6659</v>
      </c>
      <c r="F87" s="98">
        <v>1058</v>
      </c>
      <c r="G87" s="98">
        <v>1526</v>
      </c>
      <c r="H87" s="14"/>
      <c r="I87" s="14"/>
      <c r="J87" s="14">
        <v>-0.3891</v>
      </c>
      <c r="K87" s="98"/>
      <c r="M87" s="99"/>
    </row>
    <row r="88" spans="1:13" hidden="1">
      <c r="A88" s="12">
        <v>45400</v>
      </c>
      <c r="B88" s="11">
        <f t="shared" si="0"/>
        <v>2024</v>
      </c>
      <c r="C88" s="11">
        <f t="shared" si="1"/>
        <v>4</v>
      </c>
      <c r="D88" s="11" t="s">
        <v>24</v>
      </c>
      <c r="E88" s="13">
        <v>3304</v>
      </c>
      <c r="F88" s="98">
        <v>820</v>
      </c>
      <c r="G88" s="98">
        <v>0</v>
      </c>
      <c r="H88" s="14"/>
      <c r="I88" s="14"/>
      <c r="J88" s="14">
        <v>0</v>
      </c>
      <c r="K88" s="98"/>
      <c r="M88" s="99"/>
    </row>
    <row r="89" spans="1:13" hidden="1">
      <c r="A89" s="12">
        <v>45401</v>
      </c>
      <c r="B89" s="11">
        <f t="shared" si="0"/>
        <v>2024</v>
      </c>
      <c r="C89" s="11">
        <f t="shared" si="1"/>
        <v>4</v>
      </c>
      <c r="D89" s="11" t="s">
        <v>25</v>
      </c>
      <c r="E89" s="13">
        <v>6193</v>
      </c>
      <c r="F89" s="98">
        <v>345</v>
      </c>
      <c r="G89" s="98">
        <v>416</v>
      </c>
      <c r="H89" s="14"/>
      <c r="I89" s="14"/>
      <c r="J89" s="14">
        <v>-0.70809999999999995</v>
      </c>
      <c r="K89" s="98"/>
      <c r="M89" s="99"/>
    </row>
    <row r="90" spans="1:13" hidden="1">
      <c r="A90" s="12">
        <v>45402</v>
      </c>
      <c r="B90" s="11">
        <f t="shared" si="0"/>
        <v>2024</v>
      </c>
      <c r="C90" s="11">
        <f t="shared" si="1"/>
        <v>4</v>
      </c>
      <c r="D90" s="11" t="s">
        <v>26</v>
      </c>
      <c r="E90" s="13">
        <v>5196</v>
      </c>
      <c r="F90" s="98">
        <v>269</v>
      </c>
      <c r="G90" s="98">
        <v>470</v>
      </c>
      <c r="H90" s="14"/>
      <c r="I90" s="14"/>
      <c r="J90" s="14">
        <v>-0.81059999999999999</v>
      </c>
      <c r="K90" s="98"/>
      <c r="M90" s="99"/>
    </row>
    <row r="91" spans="1:13" hidden="1">
      <c r="A91" s="12">
        <v>45403</v>
      </c>
      <c r="B91" s="11">
        <f t="shared" si="0"/>
        <v>2024</v>
      </c>
      <c r="C91" s="11">
        <f t="shared" si="1"/>
        <v>4</v>
      </c>
      <c r="D91" s="11" t="s">
        <v>27</v>
      </c>
      <c r="E91" s="11">
        <v>480</v>
      </c>
      <c r="F91" s="98">
        <v>0</v>
      </c>
      <c r="G91" s="98">
        <v>87</v>
      </c>
      <c r="H91" s="14"/>
      <c r="I91" s="14"/>
      <c r="J91" s="14">
        <v>-0.27079999999999999</v>
      </c>
      <c r="K91" s="98"/>
      <c r="M91" s="98"/>
    </row>
    <row r="92" spans="1:13" hidden="1">
      <c r="A92" s="12">
        <v>45404</v>
      </c>
      <c r="B92" s="11">
        <f t="shared" si="0"/>
        <v>2024</v>
      </c>
      <c r="C92" s="11">
        <f t="shared" si="1"/>
        <v>4</v>
      </c>
      <c r="D92" s="11" t="s">
        <v>33</v>
      </c>
      <c r="E92" s="11">
        <v>0</v>
      </c>
      <c r="F92" s="98">
        <v>0</v>
      </c>
      <c r="G92" s="98">
        <v>219</v>
      </c>
      <c r="H92" s="11"/>
      <c r="I92" s="11"/>
      <c r="J92" s="11" t="s">
        <v>127</v>
      </c>
      <c r="K92" s="98"/>
      <c r="M92" s="98"/>
    </row>
    <row r="93" spans="1:13" hidden="1">
      <c r="A93" s="12">
        <v>45405</v>
      </c>
      <c r="B93" s="11">
        <f t="shared" si="0"/>
        <v>2024</v>
      </c>
      <c r="C93" s="11">
        <f t="shared" si="1"/>
        <v>4</v>
      </c>
      <c r="D93" s="11" t="s">
        <v>29</v>
      </c>
      <c r="E93" s="11">
        <v>112</v>
      </c>
      <c r="F93" s="98">
        <v>0</v>
      </c>
      <c r="G93" s="98">
        <v>0</v>
      </c>
      <c r="H93" s="14"/>
      <c r="I93" s="14"/>
      <c r="J93" s="14">
        <v>-0.375</v>
      </c>
      <c r="K93" s="98"/>
      <c r="M93" s="98"/>
    </row>
    <row r="94" spans="1:13" hidden="1">
      <c r="A94" s="12">
        <v>45406</v>
      </c>
      <c r="B94" s="11">
        <f t="shared" si="0"/>
        <v>2024</v>
      </c>
      <c r="C94" s="11">
        <f t="shared" si="1"/>
        <v>4</v>
      </c>
      <c r="D94" s="11" t="s">
        <v>30</v>
      </c>
      <c r="E94" s="11" t="s">
        <v>107</v>
      </c>
      <c r="F94" s="98">
        <v>0</v>
      </c>
      <c r="G94" s="98">
        <v>0</v>
      </c>
      <c r="H94" s="14"/>
      <c r="I94" s="14"/>
      <c r="J94" s="14">
        <v>0</v>
      </c>
      <c r="K94" s="98"/>
      <c r="M94" s="99"/>
    </row>
    <row r="95" spans="1:13" hidden="1">
      <c r="A95" s="12">
        <v>45413</v>
      </c>
      <c r="B95" s="11">
        <f t="shared" si="0"/>
        <v>2024</v>
      </c>
      <c r="C95" s="11">
        <f t="shared" si="1"/>
        <v>5</v>
      </c>
      <c r="D95" s="11" t="s">
        <v>7</v>
      </c>
      <c r="E95" s="13">
        <v>60113</v>
      </c>
      <c r="F95" s="98">
        <v>20193</v>
      </c>
      <c r="G95" s="98">
        <v>21237</v>
      </c>
      <c r="H95" s="14"/>
      <c r="I95" s="14"/>
      <c r="J95" s="14">
        <v>0.31619999999999998</v>
      </c>
      <c r="L95" s="13"/>
      <c r="M95" s="98"/>
    </row>
    <row r="96" spans="1:13" hidden="1">
      <c r="A96" s="12">
        <v>45414</v>
      </c>
      <c r="B96" s="11">
        <f t="shared" si="0"/>
        <v>2024</v>
      </c>
      <c r="C96" s="11">
        <f t="shared" si="1"/>
        <v>5</v>
      </c>
      <c r="D96" s="11" t="s">
        <v>8</v>
      </c>
      <c r="E96" s="13">
        <v>65036</v>
      </c>
      <c r="F96" s="98">
        <v>17515</v>
      </c>
      <c r="G96" s="98">
        <v>18391</v>
      </c>
      <c r="H96" s="14"/>
      <c r="I96" s="14"/>
      <c r="J96" s="14">
        <v>0.12670000000000001</v>
      </c>
      <c r="L96" s="13"/>
      <c r="M96" s="98"/>
    </row>
    <row r="97" spans="1:13" hidden="1">
      <c r="A97" s="12">
        <v>45415</v>
      </c>
      <c r="B97" s="11">
        <f t="shared" si="0"/>
        <v>2024</v>
      </c>
      <c r="C97" s="11">
        <f t="shared" si="1"/>
        <v>5</v>
      </c>
      <c r="D97" s="11" t="s">
        <v>9</v>
      </c>
      <c r="E97" s="13">
        <v>75633</v>
      </c>
      <c r="F97" s="98">
        <v>14971</v>
      </c>
      <c r="G97" s="98">
        <v>13946</v>
      </c>
      <c r="H97" s="14"/>
      <c r="I97" s="14"/>
      <c r="J97" s="14">
        <v>-0.1154</v>
      </c>
      <c r="L97" s="13"/>
      <c r="M97" s="98"/>
    </row>
    <row r="98" spans="1:13" hidden="1">
      <c r="A98" s="12">
        <v>45416</v>
      </c>
      <c r="B98" s="11">
        <f t="shared" si="0"/>
        <v>2024</v>
      </c>
      <c r="C98" s="11">
        <f t="shared" si="1"/>
        <v>5</v>
      </c>
      <c r="D98" s="11" t="s">
        <v>10</v>
      </c>
      <c r="E98" s="13">
        <v>50535</v>
      </c>
      <c r="F98" s="98">
        <v>15075</v>
      </c>
      <c r="G98" s="98">
        <v>17315</v>
      </c>
      <c r="H98" s="14"/>
      <c r="I98" s="14"/>
      <c r="J98" s="14">
        <v>8.1000000000000003E-2</v>
      </c>
      <c r="L98" s="13"/>
      <c r="M98" s="98"/>
    </row>
    <row r="99" spans="1:13" hidden="1">
      <c r="A99" s="12">
        <v>45417</v>
      </c>
      <c r="B99" s="11">
        <f t="shared" si="0"/>
        <v>2024</v>
      </c>
      <c r="C99" s="11">
        <f t="shared" si="1"/>
        <v>5</v>
      </c>
      <c r="D99" s="11" t="s">
        <v>11</v>
      </c>
      <c r="E99" s="13">
        <v>52795</v>
      </c>
      <c r="F99" s="98">
        <v>12013</v>
      </c>
      <c r="G99" s="98">
        <v>16124</v>
      </c>
      <c r="H99" s="14"/>
      <c r="I99" s="14"/>
      <c r="J99" s="14">
        <v>-2.0000000000000001E-4</v>
      </c>
      <c r="L99" s="13"/>
      <c r="M99" s="98"/>
    </row>
    <row r="100" spans="1:13" hidden="1">
      <c r="A100" s="12">
        <v>45418</v>
      </c>
      <c r="B100" s="11">
        <f t="shared" si="0"/>
        <v>2024</v>
      </c>
      <c r="C100" s="11">
        <f t="shared" si="1"/>
        <v>5</v>
      </c>
      <c r="D100" s="11" t="s">
        <v>12</v>
      </c>
      <c r="E100" s="13">
        <v>27038</v>
      </c>
      <c r="F100" s="98">
        <v>7160</v>
      </c>
      <c r="G100" s="98">
        <v>5192</v>
      </c>
      <c r="H100" s="14"/>
      <c r="I100" s="14"/>
      <c r="J100" s="14">
        <v>0.4259</v>
      </c>
      <c r="L100" s="13"/>
      <c r="M100" s="98"/>
    </row>
    <row r="101" spans="1:13" hidden="1">
      <c r="A101" s="12">
        <v>45419</v>
      </c>
      <c r="B101" s="11">
        <f t="shared" si="0"/>
        <v>2024</v>
      </c>
      <c r="C101" s="11">
        <f t="shared" si="1"/>
        <v>5</v>
      </c>
      <c r="D101" s="11" t="s">
        <v>13</v>
      </c>
      <c r="E101" s="13">
        <v>56025</v>
      </c>
      <c r="F101" s="98">
        <v>7961</v>
      </c>
      <c r="G101" s="98">
        <v>13147</v>
      </c>
      <c r="H101" s="14"/>
      <c r="I101" s="14"/>
      <c r="J101" s="14">
        <v>-0.36299999999999999</v>
      </c>
      <c r="L101" s="13"/>
      <c r="M101" s="98"/>
    </row>
    <row r="102" spans="1:13" hidden="1">
      <c r="A102" s="12">
        <v>45420</v>
      </c>
      <c r="B102" s="11">
        <f t="shared" si="0"/>
        <v>2024</v>
      </c>
      <c r="C102" s="11">
        <f t="shared" si="1"/>
        <v>5</v>
      </c>
      <c r="D102" s="11" t="s">
        <v>14</v>
      </c>
      <c r="E102" s="13">
        <v>22510</v>
      </c>
      <c r="F102" s="98">
        <v>5616</v>
      </c>
      <c r="G102" s="98">
        <v>6328</v>
      </c>
      <c r="H102" s="14"/>
      <c r="I102" s="14"/>
      <c r="J102" s="14">
        <v>0.22259999999999999</v>
      </c>
      <c r="L102" s="13"/>
      <c r="M102" s="98"/>
    </row>
    <row r="103" spans="1:13" hidden="1">
      <c r="A103" s="12">
        <v>45421</v>
      </c>
      <c r="B103" s="11">
        <f t="shared" si="0"/>
        <v>2024</v>
      </c>
      <c r="C103" s="11">
        <f t="shared" si="1"/>
        <v>5</v>
      </c>
      <c r="D103" s="11" t="s">
        <v>15</v>
      </c>
      <c r="E103" s="13">
        <v>7563</v>
      </c>
      <c r="F103" s="98">
        <v>3699</v>
      </c>
      <c r="G103" s="98">
        <v>4548</v>
      </c>
      <c r="H103" s="14"/>
      <c r="I103" s="14"/>
      <c r="J103" s="14">
        <v>1.1604000000000001</v>
      </c>
      <c r="L103" s="13"/>
      <c r="M103" s="98"/>
    </row>
    <row r="104" spans="1:13" hidden="1">
      <c r="A104" s="12">
        <v>45422</v>
      </c>
      <c r="B104" s="11">
        <f t="shared" si="0"/>
        <v>2024</v>
      </c>
      <c r="C104" s="11">
        <f t="shared" si="1"/>
        <v>5</v>
      </c>
      <c r="D104" s="11" t="s">
        <v>17</v>
      </c>
      <c r="E104" s="13">
        <v>16806</v>
      </c>
      <c r="F104" s="98">
        <v>3253</v>
      </c>
      <c r="G104" s="98">
        <v>3234</v>
      </c>
      <c r="H104" s="14"/>
      <c r="I104" s="14"/>
      <c r="J104" s="14">
        <v>-8.6900000000000005E-2</v>
      </c>
      <c r="L104" s="13"/>
      <c r="M104" s="98"/>
    </row>
    <row r="105" spans="1:13" hidden="1">
      <c r="A105" s="12">
        <v>45423</v>
      </c>
      <c r="B105" s="11">
        <f t="shared" si="0"/>
        <v>2024</v>
      </c>
      <c r="C105" s="11">
        <f t="shared" si="1"/>
        <v>5</v>
      </c>
      <c r="D105" s="11" t="s">
        <v>16</v>
      </c>
      <c r="E105" s="13">
        <v>10481</v>
      </c>
      <c r="F105" s="98">
        <v>3063</v>
      </c>
      <c r="G105" s="98">
        <v>2931</v>
      </c>
      <c r="H105" s="14"/>
      <c r="I105" s="14"/>
      <c r="J105" s="14">
        <v>0.44240000000000002</v>
      </c>
      <c r="L105" s="13"/>
      <c r="M105" s="98"/>
    </row>
    <row r="106" spans="1:13" hidden="1">
      <c r="A106" s="12">
        <v>45424</v>
      </c>
      <c r="B106" s="11">
        <f t="shared" si="0"/>
        <v>2024</v>
      </c>
      <c r="C106" s="11">
        <f t="shared" si="1"/>
        <v>5</v>
      </c>
      <c r="D106" s="11" t="s">
        <v>19</v>
      </c>
      <c r="E106" s="13">
        <v>11682</v>
      </c>
      <c r="F106" s="98">
        <v>2587</v>
      </c>
      <c r="G106" s="98">
        <v>1752</v>
      </c>
      <c r="H106" s="14"/>
      <c r="I106" s="14"/>
      <c r="J106" s="14">
        <v>7.46E-2</v>
      </c>
      <c r="L106" s="13"/>
      <c r="M106" s="98"/>
    </row>
    <row r="107" spans="1:13" hidden="1">
      <c r="A107" s="12">
        <v>45425</v>
      </c>
      <c r="B107" s="11">
        <f t="shared" si="0"/>
        <v>2024</v>
      </c>
      <c r="C107" s="11">
        <f t="shared" si="1"/>
        <v>5</v>
      </c>
      <c r="D107" s="11" t="s">
        <v>18</v>
      </c>
      <c r="E107" s="13">
        <v>11364</v>
      </c>
      <c r="F107" s="98">
        <v>2680</v>
      </c>
      <c r="G107" s="98">
        <v>2815</v>
      </c>
      <c r="H107" s="14"/>
      <c r="I107" s="14"/>
      <c r="J107" s="14">
        <v>-9.7100000000000006E-2</v>
      </c>
      <c r="L107" s="13"/>
      <c r="M107" s="98"/>
    </row>
    <row r="108" spans="1:13" hidden="1">
      <c r="A108" s="12">
        <v>45426</v>
      </c>
      <c r="B108" s="11">
        <f t="shared" si="0"/>
        <v>2024</v>
      </c>
      <c r="C108" s="11">
        <f t="shared" si="1"/>
        <v>5</v>
      </c>
      <c r="D108" s="11" t="s">
        <v>32</v>
      </c>
      <c r="E108" s="13">
        <v>0</v>
      </c>
      <c r="F108" s="11">
        <v>0</v>
      </c>
      <c r="G108" s="98">
        <v>1941</v>
      </c>
      <c r="H108" s="14"/>
      <c r="I108" s="14"/>
      <c r="J108" s="14"/>
      <c r="L108" s="13"/>
      <c r="M108" s="98"/>
    </row>
    <row r="109" spans="1:13" hidden="1">
      <c r="A109" s="12">
        <v>45427</v>
      </c>
      <c r="B109" s="11">
        <f t="shared" si="0"/>
        <v>2024</v>
      </c>
      <c r="C109" s="11">
        <f t="shared" si="1"/>
        <v>5</v>
      </c>
      <c r="D109" s="11" t="s">
        <v>126</v>
      </c>
      <c r="E109" s="13">
        <v>11760</v>
      </c>
      <c r="F109" s="11">
        <v>0</v>
      </c>
      <c r="G109" s="11">
        <v>1877</v>
      </c>
      <c r="H109" s="14"/>
      <c r="I109" s="14"/>
      <c r="J109" s="14">
        <v>-0.13489999999999999</v>
      </c>
      <c r="L109" s="13"/>
      <c r="M109" s="98"/>
    </row>
    <row r="110" spans="1:13" hidden="1">
      <c r="A110" s="12">
        <v>45428</v>
      </c>
      <c r="B110" s="11">
        <f t="shared" si="0"/>
        <v>2024</v>
      </c>
      <c r="C110" s="11">
        <f t="shared" si="1"/>
        <v>5</v>
      </c>
      <c r="D110" s="11" t="s">
        <v>20</v>
      </c>
      <c r="E110" s="13">
        <v>4695</v>
      </c>
      <c r="F110" s="98">
        <v>2136</v>
      </c>
      <c r="G110" s="98">
        <v>1818</v>
      </c>
      <c r="H110" s="14"/>
      <c r="I110" s="14"/>
      <c r="J110" s="14">
        <v>0.9304</v>
      </c>
      <c r="L110" s="13"/>
      <c r="M110" s="98"/>
    </row>
    <row r="111" spans="1:13" hidden="1">
      <c r="A111" s="12">
        <v>45429</v>
      </c>
      <c r="B111" s="11">
        <f t="shared" si="0"/>
        <v>2024</v>
      </c>
      <c r="C111" s="11">
        <f t="shared" si="1"/>
        <v>5</v>
      </c>
      <c r="D111" s="11" t="s">
        <v>23</v>
      </c>
      <c r="E111" s="13">
        <v>11250</v>
      </c>
      <c r="F111" s="98">
        <v>848</v>
      </c>
      <c r="G111" s="98">
        <v>973</v>
      </c>
      <c r="H111" s="14"/>
      <c r="I111" s="14"/>
      <c r="J111" s="14">
        <v>-0.50549999999999995</v>
      </c>
      <c r="L111" s="13"/>
      <c r="M111" s="98"/>
    </row>
    <row r="112" spans="1:13" hidden="1">
      <c r="A112" s="12">
        <v>45430</v>
      </c>
      <c r="B112" s="11">
        <f t="shared" si="0"/>
        <v>2024</v>
      </c>
      <c r="C112" s="11">
        <f t="shared" si="1"/>
        <v>5</v>
      </c>
      <c r="D112" s="11" t="s">
        <v>22</v>
      </c>
      <c r="E112" s="13">
        <v>8756</v>
      </c>
      <c r="F112" s="98">
        <v>1368</v>
      </c>
      <c r="G112" s="98">
        <v>1766</v>
      </c>
      <c r="H112" s="14"/>
      <c r="I112" s="14"/>
      <c r="J112" s="14">
        <v>-0.37919999999999998</v>
      </c>
      <c r="L112" s="13"/>
      <c r="M112" s="98"/>
    </row>
    <row r="113" spans="1:13" hidden="1">
      <c r="A113" s="12">
        <v>45431</v>
      </c>
      <c r="B113" s="11">
        <f t="shared" si="0"/>
        <v>2024</v>
      </c>
      <c r="C113" s="11">
        <f t="shared" si="1"/>
        <v>5</v>
      </c>
      <c r="D113" s="11" t="s">
        <v>24</v>
      </c>
      <c r="E113" s="13">
        <v>4080</v>
      </c>
      <c r="F113" s="98">
        <v>1020</v>
      </c>
      <c r="G113" s="11">
        <v>0</v>
      </c>
      <c r="H113" s="14"/>
      <c r="I113" s="14"/>
      <c r="J113" s="14">
        <v>0</v>
      </c>
      <c r="L113" s="13"/>
      <c r="M113" s="98"/>
    </row>
    <row r="114" spans="1:13" hidden="1">
      <c r="A114" s="12">
        <v>45432</v>
      </c>
      <c r="B114" s="11">
        <f t="shared" si="0"/>
        <v>2024</v>
      </c>
      <c r="C114" s="11">
        <f t="shared" si="1"/>
        <v>5</v>
      </c>
      <c r="D114" s="11" t="s">
        <v>25</v>
      </c>
      <c r="E114" s="13">
        <v>7059</v>
      </c>
      <c r="F114" s="98">
        <v>581</v>
      </c>
      <c r="G114" s="98">
        <v>421</v>
      </c>
      <c r="H114" s="14"/>
      <c r="I114" s="14"/>
      <c r="J114" s="14">
        <v>-0.66159999999999997</v>
      </c>
      <c r="L114" s="13"/>
      <c r="M114" s="98"/>
    </row>
    <row r="115" spans="1:13" hidden="1">
      <c r="A115" s="12">
        <v>45433</v>
      </c>
      <c r="B115" s="11">
        <f t="shared" si="0"/>
        <v>2024</v>
      </c>
      <c r="C115" s="11">
        <f t="shared" si="1"/>
        <v>5</v>
      </c>
      <c r="D115" s="11" t="s">
        <v>26</v>
      </c>
      <c r="E115" s="13">
        <v>5932</v>
      </c>
      <c r="F115" s="98">
        <v>326</v>
      </c>
      <c r="G115" s="98">
        <v>589</v>
      </c>
      <c r="H115" s="14"/>
      <c r="I115" s="14"/>
      <c r="J115" s="14">
        <v>-0.7792</v>
      </c>
      <c r="M115" s="98"/>
    </row>
    <row r="116" spans="1:13" hidden="1">
      <c r="A116" s="12">
        <v>45434</v>
      </c>
      <c r="B116" s="11">
        <f t="shared" si="0"/>
        <v>2024</v>
      </c>
      <c r="C116" s="11">
        <f t="shared" si="1"/>
        <v>5</v>
      </c>
      <c r="D116" s="11" t="s">
        <v>27</v>
      </c>
      <c r="E116" s="11">
        <v>496</v>
      </c>
      <c r="F116" s="98">
        <v>43</v>
      </c>
      <c r="G116" s="98">
        <v>175</v>
      </c>
      <c r="H116" s="14"/>
      <c r="I116" s="14"/>
      <c r="J116" s="14">
        <v>-0.2077</v>
      </c>
      <c r="M116" s="98"/>
    </row>
    <row r="117" spans="1:13" hidden="1">
      <c r="A117" s="12">
        <v>45435</v>
      </c>
      <c r="B117" s="11">
        <f t="shared" si="0"/>
        <v>2024</v>
      </c>
      <c r="C117" s="11">
        <f t="shared" si="1"/>
        <v>5</v>
      </c>
      <c r="D117" s="11" t="s">
        <v>29</v>
      </c>
      <c r="E117" s="11">
        <v>318</v>
      </c>
      <c r="F117" s="98">
        <v>0</v>
      </c>
      <c r="G117" s="98">
        <v>0</v>
      </c>
      <c r="H117" s="14"/>
      <c r="I117" s="14"/>
      <c r="J117" s="14">
        <v>-0.77990000000000004</v>
      </c>
      <c r="M117" s="98"/>
    </row>
    <row r="118" spans="1:13" hidden="1">
      <c r="A118" s="12">
        <v>45436</v>
      </c>
      <c r="B118" s="11">
        <f t="shared" si="0"/>
        <v>2024</v>
      </c>
      <c r="C118" s="11">
        <f t="shared" si="1"/>
        <v>5</v>
      </c>
      <c r="D118" s="11" t="s">
        <v>30</v>
      </c>
      <c r="E118" s="11">
        <v>333</v>
      </c>
      <c r="F118" s="11">
        <v>0</v>
      </c>
      <c r="G118" s="11">
        <v>0</v>
      </c>
      <c r="H118" s="14"/>
      <c r="I118" s="14"/>
      <c r="J118" s="14">
        <v>-1</v>
      </c>
      <c r="M118" s="98"/>
    </row>
    <row r="119" spans="1:13" hidden="1">
      <c r="A119" s="12">
        <v>45444</v>
      </c>
      <c r="B119" s="11">
        <f t="shared" si="0"/>
        <v>2024</v>
      </c>
      <c r="C119" s="11">
        <f t="shared" si="1"/>
        <v>6</v>
      </c>
      <c r="D119" s="11" t="s">
        <v>7</v>
      </c>
      <c r="E119" s="13">
        <v>84109</v>
      </c>
      <c r="F119" s="98">
        <v>15464</v>
      </c>
      <c r="G119" s="98">
        <v>18097</v>
      </c>
      <c r="H119" s="14"/>
      <c r="I119" s="14"/>
      <c r="J119" s="14">
        <v>0.19969999999999999</v>
      </c>
      <c r="M119" s="98"/>
    </row>
    <row r="120" spans="1:13" hidden="1">
      <c r="A120" s="12">
        <v>45444</v>
      </c>
      <c r="B120" s="11">
        <f t="shared" si="0"/>
        <v>2024</v>
      </c>
      <c r="C120" s="11">
        <f t="shared" si="1"/>
        <v>6</v>
      </c>
      <c r="D120" s="11" t="s">
        <v>8</v>
      </c>
      <c r="E120" s="13">
        <v>80647</v>
      </c>
      <c r="F120" s="98">
        <v>16058</v>
      </c>
      <c r="G120" s="98">
        <v>14451</v>
      </c>
      <c r="H120" s="14"/>
      <c r="I120" s="14"/>
      <c r="J120" s="14">
        <v>0.1077</v>
      </c>
      <c r="M120" s="98"/>
    </row>
    <row r="121" spans="1:13" hidden="1">
      <c r="A121" s="12">
        <v>45444</v>
      </c>
      <c r="B121" s="11">
        <f t="shared" si="0"/>
        <v>2024</v>
      </c>
      <c r="C121" s="11">
        <f t="shared" si="1"/>
        <v>6</v>
      </c>
      <c r="D121" s="11" t="s">
        <v>9</v>
      </c>
      <c r="E121" s="13">
        <v>89453</v>
      </c>
      <c r="F121" s="98">
        <v>17674</v>
      </c>
      <c r="G121" s="98">
        <v>13696</v>
      </c>
      <c r="H121" s="14"/>
      <c r="I121" s="14"/>
      <c r="J121" s="14">
        <v>-5.45E-2</v>
      </c>
      <c r="M121" s="98"/>
    </row>
    <row r="122" spans="1:13" hidden="1">
      <c r="A122" s="12">
        <v>45444</v>
      </c>
      <c r="B122" s="11">
        <f t="shared" si="0"/>
        <v>2024</v>
      </c>
      <c r="C122" s="11">
        <f t="shared" si="1"/>
        <v>6</v>
      </c>
      <c r="D122" s="11" t="s">
        <v>10</v>
      </c>
      <c r="E122" s="13">
        <v>59848</v>
      </c>
      <c r="F122" s="98">
        <v>11175</v>
      </c>
      <c r="G122" s="98">
        <v>11872</v>
      </c>
      <c r="H122" s="14"/>
      <c r="I122" s="14"/>
      <c r="J122" s="14">
        <v>9.9500000000000005E-2</v>
      </c>
      <c r="M122" s="98"/>
    </row>
    <row r="123" spans="1:13" hidden="1">
      <c r="A123" s="12">
        <v>45444</v>
      </c>
      <c r="B123" s="11">
        <f t="shared" si="0"/>
        <v>2024</v>
      </c>
      <c r="C123" s="11">
        <f t="shared" si="1"/>
        <v>6</v>
      </c>
      <c r="D123" s="11" t="s">
        <v>11</v>
      </c>
      <c r="E123" s="13">
        <v>63478</v>
      </c>
      <c r="F123" s="98">
        <v>11617</v>
      </c>
      <c r="G123" s="98">
        <v>12471</v>
      </c>
      <c r="H123" s="14"/>
      <c r="I123" s="14"/>
      <c r="J123" s="14">
        <v>1.4500000000000001E-2</v>
      </c>
      <c r="M123" s="98"/>
    </row>
    <row r="124" spans="1:13" hidden="1">
      <c r="A124" s="12">
        <v>45444</v>
      </c>
      <c r="B124" s="11">
        <f t="shared" si="0"/>
        <v>2024</v>
      </c>
      <c r="C124" s="11">
        <f t="shared" si="1"/>
        <v>6</v>
      </c>
      <c r="D124" s="11" t="s">
        <v>12</v>
      </c>
      <c r="E124" s="13">
        <v>31937</v>
      </c>
      <c r="F124" s="98">
        <v>5471</v>
      </c>
      <c r="G124" s="98">
        <v>6693</v>
      </c>
      <c r="H124" s="14"/>
      <c r="I124" s="14"/>
      <c r="J124" s="14">
        <v>0.3785</v>
      </c>
      <c r="M124" s="98"/>
    </row>
    <row r="125" spans="1:13" hidden="1">
      <c r="A125" s="12">
        <v>45444</v>
      </c>
      <c r="B125" s="11">
        <f t="shared" si="0"/>
        <v>2024</v>
      </c>
      <c r="C125" s="11">
        <f t="shared" si="1"/>
        <v>6</v>
      </c>
      <c r="D125" s="11" t="s">
        <v>13</v>
      </c>
      <c r="E125" s="13">
        <v>67829</v>
      </c>
      <c r="F125" s="98">
        <v>7409</v>
      </c>
      <c r="G125" s="98">
        <v>11476</v>
      </c>
      <c r="H125" s="14"/>
      <c r="I125" s="14"/>
      <c r="J125" s="14">
        <v>-0.36470000000000002</v>
      </c>
      <c r="M125" s="98"/>
    </row>
    <row r="126" spans="1:13" hidden="1">
      <c r="A126" s="12">
        <v>45444</v>
      </c>
      <c r="B126" s="11">
        <f t="shared" si="0"/>
        <v>2024</v>
      </c>
      <c r="C126" s="11">
        <f t="shared" si="1"/>
        <v>6</v>
      </c>
      <c r="D126" s="11" t="s">
        <v>14</v>
      </c>
      <c r="E126" s="13">
        <v>27553</v>
      </c>
      <c r="F126" s="98">
        <v>4970</v>
      </c>
      <c r="G126" s="98">
        <v>5841</v>
      </c>
      <c r="H126" s="14"/>
      <c r="I126" s="14"/>
      <c r="J126" s="14">
        <v>0.1792</v>
      </c>
      <c r="M126" s="98"/>
    </row>
    <row r="127" spans="1:13" hidden="1">
      <c r="A127" s="12">
        <v>45444</v>
      </c>
      <c r="B127" s="11">
        <f t="shared" si="0"/>
        <v>2024</v>
      </c>
      <c r="C127" s="11">
        <f t="shared" si="1"/>
        <v>6</v>
      </c>
      <c r="D127" s="11" t="s">
        <v>15</v>
      </c>
      <c r="E127" s="13">
        <v>11183</v>
      </c>
      <c r="F127" s="98">
        <v>3498</v>
      </c>
      <c r="G127" s="98">
        <v>4486</v>
      </c>
      <c r="H127" s="14"/>
      <c r="I127" s="14"/>
      <c r="J127" s="14">
        <v>0.77390000000000003</v>
      </c>
      <c r="M127" s="98"/>
    </row>
    <row r="128" spans="1:13" hidden="1">
      <c r="A128" s="12">
        <v>45444</v>
      </c>
      <c r="B128" s="11">
        <f t="shared" si="0"/>
        <v>2024</v>
      </c>
      <c r="C128" s="11">
        <f t="shared" si="1"/>
        <v>6</v>
      </c>
      <c r="D128" s="11" t="s">
        <v>17</v>
      </c>
      <c r="E128" s="13">
        <v>19090</v>
      </c>
      <c r="F128" s="98">
        <v>3181</v>
      </c>
      <c r="G128" s="98">
        <v>4064</v>
      </c>
      <c r="H128" s="14"/>
      <c r="I128" s="14"/>
      <c r="J128" s="14">
        <v>-2.9499999999999998E-2</v>
      </c>
      <c r="M128" s="98"/>
    </row>
    <row r="129" spans="1:13" hidden="1">
      <c r="A129" s="12">
        <v>45444</v>
      </c>
      <c r="B129" s="11">
        <f t="shared" si="0"/>
        <v>2024</v>
      </c>
      <c r="C129" s="11">
        <f t="shared" si="1"/>
        <v>6</v>
      </c>
      <c r="D129" s="11" t="s">
        <v>16</v>
      </c>
      <c r="E129" s="13">
        <v>12908</v>
      </c>
      <c r="F129" s="98">
        <v>3038</v>
      </c>
      <c r="G129" s="98">
        <v>2355</v>
      </c>
      <c r="H129" s="14"/>
      <c r="I129" s="14"/>
      <c r="J129" s="14">
        <v>0.40660000000000002</v>
      </c>
      <c r="M129" s="98"/>
    </row>
    <row r="130" spans="1:13" hidden="1">
      <c r="A130" s="12">
        <v>45444</v>
      </c>
      <c r="B130" s="11">
        <f t="shared" si="0"/>
        <v>2024</v>
      </c>
      <c r="C130" s="11">
        <f t="shared" si="1"/>
        <v>6</v>
      </c>
      <c r="D130" s="11" t="s">
        <v>19</v>
      </c>
      <c r="E130" s="13">
        <v>13911</v>
      </c>
      <c r="F130" s="98">
        <v>2932</v>
      </c>
      <c r="G130" s="98">
        <v>2083</v>
      </c>
      <c r="H130" s="14"/>
      <c r="I130" s="14"/>
      <c r="J130" s="14">
        <v>0.1132</v>
      </c>
      <c r="M130" s="98"/>
    </row>
    <row r="131" spans="1:13" hidden="1">
      <c r="A131" s="12">
        <v>45444</v>
      </c>
      <c r="B131" s="11">
        <f t="shared" si="0"/>
        <v>2024</v>
      </c>
      <c r="C131" s="11">
        <f t="shared" si="1"/>
        <v>6</v>
      </c>
      <c r="D131" s="11" t="s">
        <v>18</v>
      </c>
      <c r="E131" s="13">
        <v>12493</v>
      </c>
      <c r="F131" s="98">
        <v>3235</v>
      </c>
      <c r="G131" s="98">
        <v>2790</v>
      </c>
      <c r="H131" s="14"/>
      <c r="I131" s="14"/>
      <c r="J131" s="14">
        <v>8.0199999999999994E-2</v>
      </c>
      <c r="M131" s="98"/>
    </row>
    <row r="132" spans="1:13" hidden="1">
      <c r="A132" s="12">
        <v>45444</v>
      </c>
      <c r="B132" s="11">
        <f t="shared" si="0"/>
        <v>2024</v>
      </c>
      <c r="C132" s="11">
        <f t="shared" si="1"/>
        <v>6</v>
      </c>
      <c r="D132" s="11" t="s">
        <v>126</v>
      </c>
      <c r="E132" s="13">
        <v>14710</v>
      </c>
      <c r="F132" s="98">
        <v>2090</v>
      </c>
      <c r="G132" s="98">
        <v>1843</v>
      </c>
      <c r="H132" s="14"/>
      <c r="I132" s="14"/>
      <c r="J132" s="14">
        <v>-0.1663</v>
      </c>
      <c r="M132" s="98"/>
    </row>
    <row r="133" spans="1:13" hidden="1">
      <c r="A133" s="12">
        <v>45444</v>
      </c>
      <c r="B133" s="11">
        <f t="shared" si="0"/>
        <v>2024</v>
      </c>
      <c r="C133" s="11">
        <f t="shared" si="1"/>
        <v>6</v>
      </c>
      <c r="D133" s="11" t="s">
        <v>20</v>
      </c>
      <c r="E133" s="13">
        <v>6009</v>
      </c>
      <c r="F133" s="98">
        <v>1668</v>
      </c>
      <c r="G133" s="98">
        <v>2023</v>
      </c>
      <c r="H133" s="14"/>
      <c r="I133" s="14"/>
      <c r="J133" s="14">
        <v>0.78580000000000005</v>
      </c>
      <c r="M133" s="98"/>
    </row>
    <row r="134" spans="1:13" hidden="1">
      <c r="A134" s="12">
        <v>45444</v>
      </c>
      <c r="B134" s="11">
        <f t="shared" si="0"/>
        <v>2024</v>
      </c>
      <c r="C134" s="11">
        <f t="shared" si="1"/>
        <v>6</v>
      </c>
      <c r="D134" s="11" t="s">
        <v>22</v>
      </c>
      <c r="E134" s="13">
        <v>10483</v>
      </c>
      <c r="F134" s="98">
        <v>1619</v>
      </c>
      <c r="G134" s="98">
        <v>1411</v>
      </c>
      <c r="H134" s="14"/>
      <c r="I134" s="14"/>
      <c r="J134" s="14">
        <v>-0.32700000000000001</v>
      </c>
      <c r="M134" s="98"/>
    </row>
    <row r="135" spans="1:13" hidden="1">
      <c r="A135" s="12">
        <v>45444</v>
      </c>
      <c r="B135" s="11">
        <f t="shared" si="0"/>
        <v>2024</v>
      </c>
      <c r="C135" s="11">
        <f t="shared" si="1"/>
        <v>6</v>
      </c>
      <c r="D135" s="11" t="s">
        <v>23</v>
      </c>
      <c r="E135" s="13">
        <v>12657</v>
      </c>
      <c r="F135" s="98">
        <v>996</v>
      </c>
      <c r="G135" s="98">
        <v>1135</v>
      </c>
      <c r="H135" s="14"/>
      <c r="I135" s="14"/>
      <c r="J135" s="14">
        <v>-0.48180000000000001</v>
      </c>
      <c r="M135" s="98"/>
    </row>
    <row r="136" spans="1:13" hidden="1">
      <c r="A136" s="12">
        <v>45444</v>
      </c>
      <c r="B136" s="11">
        <f t="shared" si="0"/>
        <v>2024</v>
      </c>
      <c r="C136" s="11">
        <f t="shared" si="1"/>
        <v>6</v>
      </c>
      <c r="D136" s="11" t="s">
        <v>24</v>
      </c>
      <c r="E136" s="13">
        <v>5269</v>
      </c>
      <c r="F136" s="98">
        <v>617</v>
      </c>
      <c r="G136" s="11">
        <v>0</v>
      </c>
      <c r="H136" s="14"/>
      <c r="I136" s="14"/>
      <c r="J136" s="14">
        <v>0</v>
      </c>
      <c r="M136" s="98"/>
    </row>
    <row r="137" spans="1:13" hidden="1">
      <c r="A137" s="12">
        <v>45444</v>
      </c>
      <c r="B137" s="11">
        <f t="shared" si="0"/>
        <v>2024</v>
      </c>
      <c r="C137" s="11">
        <f t="shared" si="1"/>
        <v>6</v>
      </c>
      <c r="D137" s="11" t="s">
        <v>25</v>
      </c>
      <c r="E137" s="13">
        <v>7819</v>
      </c>
      <c r="F137" s="98">
        <v>641</v>
      </c>
      <c r="G137" s="98">
        <v>662</v>
      </c>
      <c r="H137" s="14"/>
      <c r="I137" s="14"/>
      <c r="J137" s="14">
        <v>-0.61250000000000004</v>
      </c>
      <c r="M137" s="98"/>
    </row>
    <row r="138" spans="1:13" hidden="1">
      <c r="A138" s="12">
        <v>45444</v>
      </c>
      <c r="B138" s="11">
        <f t="shared" si="0"/>
        <v>2024</v>
      </c>
      <c r="C138" s="11">
        <f t="shared" si="1"/>
        <v>6</v>
      </c>
      <c r="D138" s="11" t="s">
        <v>26</v>
      </c>
      <c r="E138" s="13">
        <v>6536</v>
      </c>
      <c r="F138" s="98">
        <v>204</v>
      </c>
      <c r="G138" s="98">
        <v>402</v>
      </c>
      <c r="H138" s="14"/>
      <c r="I138" s="14"/>
      <c r="J138" s="14">
        <v>-0.76839999999999997</v>
      </c>
      <c r="M138" s="98"/>
    </row>
    <row r="139" spans="1:13" hidden="1">
      <c r="A139" s="12">
        <v>45464</v>
      </c>
      <c r="B139" s="11">
        <f t="shared" si="0"/>
        <v>2024</v>
      </c>
      <c r="C139" s="11">
        <f t="shared" si="1"/>
        <v>6</v>
      </c>
      <c r="D139" s="11" t="s">
        <v>27</v>
      </c>
      <c r="E139" s="11">
        <v>496</v>
      </c>
      <c r="F139" s="98">
        <v>346</v>
      </c>
      <c r="G139" s="98">
        <v>167</v>
      </c>
      <c r="H139" s="14"/>
      <c r="I139" s="14"/>
      <c r="J139" s="14">
        <v>0.4899</v>
      </c>
      <c r="M139" s="98"/>
    </row>
    <row r="140" spans="1:13" hidden="1">
      <c r="A140" s="12">
        <v>45444</v>
      </c>
      <c r="B140" s="11">
        <f t="shared" si="0"/>
        <v>2024</v>
      </c>
      <c r="C140" s="11">
        <f t="shared" si="1"/>
        <v>6</v>
      </c>
      <c r="D140" s="11" t="s">
        <v>29</v>
      </c>
      <c r="E140" s="11">
        <v>510</v>
      </c>
      <c r="F140" s="98">
        <v>0</v>
      </c>
      <c r="G140" s="98">
        <v>0</v>
      </c>
      <c r="H140" s="14"/>
      <c r="I140" s="14"/>
      <c r="J140" s="14">
        <v>-0.86270000000000002</v>
      </c>
      <c r="M140" s="98"/>
    </row>
    <row r="141" spans="1:13" hidden="1">
      <c r="A141" s="12">
        <v>45444</v>
      </c>
      <c r="B141" s="11">
        <f t="shared" si="0"/>
        <v>2024</v>
      </c>
      <c r="C141" s="11">
        <f t="shared" si="1"/>
        <v>6</v>
      </c>
      <c r="D141" s="11" t="s">
        <v>30</v>
      </c>
      <c r="E141" s="11">
        <v>778</v>
      </c>
      <c r="F141" s="98">
        <v>0</v>
      </c>
      <c r="G141" s="11">
        <v>0</v>
      </c>
      <c r="H141" s="14"/>
      <c r="I141" s="14"/>
      <c r="J141" s="14">
        <v>-1</v>
      </c>
      <c r="M141" s="98"/>
    </row>
    <row r="142" spans="1:13" hidden="1">
      <c r="A142" s="12">
        <v>45444</v>
      </c>
      <c r="B142" s="11">
        <f t="shared" si="0"/>
        <v>2024</v>
      </c>
      <c r="C142" s="11">
        <f t="shared" si="1"/>
        <v>6</v>
      </c>
      <c r="D142" s="11" t="s">
        <v>33</v>
      </c>
      <c r="E142" s="13">
        <v>0</v>
      </c>
      <c r="F142" s="98">
        <v>0</v>
      </c>
      <c r="G142" s="98">
        <v>118</v>
      </c>
      <c r="H142" s="14"/>
      <c r="I142" s="14"/>
      <c r="J142" s="14"/>
      <c r="M142" s="98"/>
    </row>
    <row r="143" spans="1:13" hidden="1">
      <c r="A143" s="12">
        <v>45474</v>
      </c>
      <c r="B143" s="11">
        <f t="shared" si="0"/>
        <v>2024</v>
      </c>
      <c r="C143" s="11">
        <f t="shared" si="1"/>
        <v>7</v>
      </c>
      <c r="D143" s="11" t="s">
        <v>7</v>
      </c>
      <c r="E143" s="13">
        <v>96589</v>
      </c>
      <c r="F143" s="98">
        <v>22473</v>
      </c>
      <c r="G143" s="11">
        <v>22166</v>
      </c>
      <c r="H143" s="14"/>
      <c r="I143" s="14"/>
      <c r="J143" s="14">
        <v>0.21190000000000001</v>
      </c>
      <c r="M143" s="98"/>
    </row>
    <row r="144" spans="1:13" hidden="1">
      <c r="A144" s="12">
        <v>45474</v>
      </c>
      <c r="B144" s="11">
        <f t="shared" si="0"/>
        <v>2024</v>
      </c>
      <c r="C144" s="11">
        <f t="shared" si="1"/>
        <v>7</v>
      </c>
      <c r="D144" s="11" t="s">
        <v>8</v>
      </c>
      <c r="E144" s="13">
        <v>95541</v>
      </c>
      <c r="F144" s="98">
        <v>17825</v>
      </c>
      <c r="G144" s="11">
        <v>19738</v>
      </c>
      <c r="H144" s="14"/>
      <c r="I144" s="14"/>
      <c r="J144" s="14">
        <v>0.1216</v>
      </c>
      <c r="M144" s="98"/>
    </row>
    <row r="145" spans="1:13" hidden="1">
      <c r="A145" s="12">
        <v>45474</v>
      </c>
      <c r="B145" s="11">
        <f t="shared" si="0"/>
        <v>2024</v>
      </c>
      <c r="C145" s="11">
        <f t="shared" si="1"/>
        <v>7</v>
      </c>
      <c r="D145" s="11" t="s">
        <v>9</v>
      </c>
      <c r="E145" s="13">
        <v>103180</v>
      </c>
      <c r="F145" s="98">
        <v>16514</v>
      </c>
      <c r="G145" s="11">
        <v>16870</v>
      </c>
      <c r="H145" s="14"/>
      <c r="I145" s="14"/>
      <c r="J145" s="14">
        <v>-2.0299999999999999E-2</v>
      </c>
      <c r="M145" s="98"/>
    </row>
    <row r="146" spans="1:13" hidden="1">
      <c r="A146" s="12">
        <v>45474</v>
      </c>
      <c r="B146" s="11">
        <f t="shared" si="0"/>
        <v>2024</v>
      </c>
      <c r="C146" s="11">
        <f t="shared" si="1"/>
        <v>7</v>
      </c>
      <c r="D146" s="11" t="s">
        <v>10</v>
      </c>
      <c r="E146" s="13">
        <v>69137</v>
      </c>
      <c r="F146" s="98">
        <v>12703</v>
      </c>
      <c r="G146" s="11">
        <v>15222</v>
      </c>
      <c r="H146" s="14"/>
      <c r="I146" s="14"/>
      <c r="J146" s="14">
        <v>0.13550000000000001</v>
      </c>
      <c r="M146" s="98"/>
    </row>
    <row r="147" spans="1:13" hidden="1">
      <c r="A147" s="12">
        <v>45474</v>
      </c>
      <c r="B147" s="11">
        <f t="shared" si="0"/>
        <v>2024</v>
      </c>
      <c r="C147" s="11">
        <f t="shared" si="1"/>
        <v>7</v>
      </c>
      <c r="D147" s="11" t="s">
        <v>11</v>
      </c>
      <c r="E147" s="13">
        <v>72983</v>
      </c>
      <c r="F147" s="98">
        <v>11227</v>
      </c>
      <c r="G147" s="11">
        <v>13463</v>
      </c>
      <c r="H147" s="14"/>
      <c r="I147" s="14"/>
      <c r="J147" s="14">
        <v>3.6200000000000003E-2</v>
      </c>
      <c r="M147" s="98"/>
    </row>
    <row r="148" spans="1:13" hidden="1">
      <c r="A148" s="12">
        <v>45474</v>
      </c>
      <c r="B148" s="11">
        <f t="shared" si="0"/>
        <v>2024</v>
      </c>
      <c r="C148" s="11">
        <f t="shared" si="1"/>
        <v>7</v>
      </c>
      <c r="D148" s="11" t="s">
        <v>12</v>
      </c>
      <c r="E148" s="13">
        <v>37284</v>
      </c>
      <c r="F148" s="98">
        <v>7825</v>
      </c>
      <c r="G148" s="11">
        <v>12285</v>
      </c>
      <c r="H148" s="14"/>
      <c r="I148" s="14"/>
      <c r="J148" s="14">
        <v>0.39069999999999999</v>
      </c>
      <c r="M148" s="98"/>
    </row>
    <row r="149" spans="1:13" hidden="1">
      <c r="A149" s="12">
        <v>45474</v>
      </c>
      <c r="B149" s="11">
        <f t="shared" si="0"/>
        <v>2024</v>
      </c>
      <c r="C149" s="11">
        <f t="shared" si="1"/>
        <v>7</v>
      </c>
      <c r="D149" s="11" t="s">
        <v>13</v>
      </c>
      <c r="E149" s="13">
        <v>79527</v>
      </c>
      <c r="F149" s="98">
        <v>6546</v>
      </c>
      <c r="G149" s="11">
        <v>6654</v>
      </c>
      <c r="H149" s="14"/>
      <c r="I149" s="14"/>
      <c r="J149" s="14">
        <v>-0.37580000000000002</v>
      </c>
      <c r="M149" s="98"/>
    </row>
    <row r="150" spans="1:13" hidden="1">
      <c r="A150" s="12">
        <v>45474</v>
      </c>
      <c r="B150" s="11">
        <f t="shared" si="0"/>
        <v>2024</v>
      </c>
      <c r="C150" s="11">
        <f t="shared" si="1"/>
        <v>7</v>
      </c>
      <c r="D150" s="11" t="s">
        <v>14</v>
      </c>
      <c r="E150" s="13">
        <v>32599</v>
      </c>
      <c r="F150" s="98">
        <v>4899</v>
      </c>
      <c r="G150" s="11">
        <v>5193</v>
      </c>
      <c r="H150" s="14"/>
      <c r="I150" s="14"/>
      <c r="J150" s="14">
        <v>0.1469</v>
      </c>
      <c r="M150" s="98"/>
    </row>
    <row r="151" spans="1:13" hidden="1">
      <c r="A151" s="12">
        <v>45474</v>
      </c>
      <c r="B151" s="11">
        <f t="shared" si="0"/>
        <v>2024</v>
      </c>
      <c r="C151" s="11">
        <f t="shared" si="1"/>
        <v>7</v>
      </c>
      <c r="D151" s="11" t="s">
        <v>15</v>
      </c>
      <c r="E151" s="13">
        <v>13863</v>
      </c>
      <c r="F151" s="98">
        <v>4359</v>
      </c>
      <c r="G151" s="11">
        <v>4605</v>
      </c>
      <c r="H151" s="14"/>
      <c r="I151" s="14"/>
      <c r="J151" s="14">
        <v>0.74539999999999995</v>
      </c>
      <c r="M151" s="98"/>
    </row>
    <row r="152" spans="1:13" hidden="1">
      <c r="A152" s="12">
        <v>45474</v>
      </c>
      <c r="B152" s="11">
        <f t="shared" si="0"/>
        <v>2024</v>
      </c>
      <c r="C152" s="11">
        <f t="shared" si="1"/>
        <v>7</v>
      </c>
      <c r="D152" s="11" t="s">
        <v>17</v>
      </c>
      <c r="E152" s="13">
        <v>22566</v>
      </c>
      <c r="F152" s="98">
        <v>3589</v>
      </c>
      <c r="G152" s="11">
        <v>3453</v>
      </c>
      <c r="H152" s="14"/>
      <c r="I152" s="14"/>
      <c r="J152" s="14">
        <v>-0.02</v>
      </c>
      <c r="M152" s="98"/>
    </row>
    <row r="153" spans="1:13" hidden="1">
      <c r="A153" s="12">
        <v>45474</v>
      </c>
      <c r="B153" s="11">
        <f t="shared" si="0"/>
        <v>2024</v>
      </c>
      <c r="C153" s="11">
        <f t="shared" si="1"/>
        <v>7</v>
      </c>
      <c r="D153" s="11" t="s">
        <v>16</v>
      </c>
      <c r="E153" s="13">
        <v>15329</v>
      </c>
      <c r="F153" s="98">
        <v>3164</v>
      </c>
      <c r="G153" s="11">
        <v>2885</v>
      </c>
      <c r="H153" s="14"/>
      <c r="I153" s="14"/>
      <c r="J153" s="14">
        <v>0.39079999999999998</v>
      </c>
      <c r="M153" s="98"/>
    </row>
    <row r="154" spans="1:13" hidden="1">
      <c r="A154" s="12">
        <v>45474</v>
      </c>
      <c r="B154" s="11">
        <f t="shared" si="0"/>
        <v>2024</v>
      </c>
      <c r="C154" s="11">
        <f t="shared" si="1"/>
        <v>7</v>
      </c>
      <c r="D154" s="11" t="s">
        <v>19</v>
      </c>
      <c r="E154" s="13">
        <v>17029</v>
      </c>
      <c r="F154" s="98">
        <v>2116</v>
      </c>
      <c r="G154" s="11">
        <v>2718</v>
      </c>
      <c r="H154" s="14"/>
      <c r="I154" s="14"/>
      <c r="J154" s="14">
        <v>3.3599999999999998E-2</v>
      </c>
      <c r="M154" s="98"/>
    </row>
    <row r="155" spans="1:13" hidden="1">
      <c r="A155" s="12">
        <v>45474</v>
      </c>
      <c r="B155" s="11">
        <f t="shared" si="0"/>
        <v>2024</v>
      </c>
      <c r="C155" s="11">
        <f t="shared" si="1"/>
        <v>7</v>
      </c>
      <c r="D155" s="11" t="s">
        <v>18</v>
      </c>
      <c r="E155" s="13">
        <v>14851</v>
      </c>
      <c r="F155" s="98">
        <v>3321</v>
      </c>
      <c r="G155" s="11">
        <v>2376</v>
      </c>
      <c r="H155" s="14"/>
      <c r="I155" s="14"/>
      <c r="J155" s="14">
        <v>0.1323</v>
      </c>
      <c r="M155" s="98"/>
    </row>
    <row r="156" spans="1:13" hidden="1">
      <c r="A156" s="12">
        <v>45474</v>
      </c>
      <c r="B156" s="11">
        <f t="shared" si="0"/>
        <v>2024</v>
      </c>
      <c r="C156" s="11">
        <f t="shared" si="1"/>
        <v>7</v>
      </c>
      <c r="D156" s="11" t="s">
        <v>126</v>
      </c>
      <c r="E156" s="13">
        <v>18015</v>
      </c>
      <c r="F156" s="98">
        <v>1397</v>
      </c>
      <c r="G156" s="11">
        <v>2338</v>
      </c>
      <c r="H156" s="14"/>
      <c r="I156" s="14"/>
      <c r="J156" s="14">
        <v>-0.23830000000000001</v>
      </c>
      <c r="M156" s="98"/>
    </row>
    <row r="157" spans="1:13" hidden="1">
      <c r="A157" s="12">
        <v>45474</v>
      </c>
      <c r="B157" s="11">
        <f t="shared" si="0"/>
        <v>2024</v>
      </c>
      <c r="C157" s="11">
        <f t="shared" si="1"/>
        <v>7</v>
      </c>
      <c r="D157" s="11" t="s">
        <v>20</v>
      </c>
      <c r="E157" s="13">
        <v>7917</v>
      </c>
      <c r="F157" s="98">
        <v>1343</v>
      </c>
      <c r="G157" s="11">
        <v>1765</v>
      </c>
      <c r="H157" s="14"/>
      <c r="I157" s="14"/>
      <c r="J157" s="14">
        <v>0.52510000000000001</v>
      </c>
      <c r="M157" s="98"/>
    </row>
    <row r="158" spans="1:13" hidden="1">
      <c r="A158" s="12">
        <v>45474</v>
      </c>
      <c r="B158" s="11">
        <f t="shared" si="0"/>
        <v>2024</v>
      </c>
      <c r="C158" s="11">
        <f t="shared" si="1"/>
        <v>7</v>
      </c>
      <c r="D158" s="11" t="s">
        <v>22</v>
      </c>
      <c r="E158" s="13">
        <v>11575</v>
      </c>
      <c r="F158" s="98">
        <v>1610</v>
      </c>
      <c r="G158" s="11">
        <v>1567</v>
      </c>
      <c r="H158" s="14"/>
      <c r="I158" s="14"/>
      <c r="J158" s="14">
        <v>-0.25140000000000001</v>
      </c>
      <c r="M158" s="98"/>
    </row>
    <row r="159" spans="1:13" hidden="1">
      <c r="A159" s="12">
        <v>45474</v>
      </c>
      <c r="B159" s="11">
        <f t="shared" si="0"/>
        <v>2024</v>
      </c>
      <c r="C159" s="11">
        <f t="shared" si="1"/>
        <v>7</v>
      </c>
      <c r="D159" s="11" t="s">
        <v>23</v>
      </c>
      <c r="E159" s="13">
        <v>13925</v>
      </c>
      <c r="F159" s="98">
        <v>1242</v>
      </c>
      <c r="G159" s="11">
        <v>1466</v>
      </c>
      <c r="H159" s="14"/>
      <c r="I159" s="14"/>
      <c r="J159" s="14">
        <v>-0.43980000000000002</v>
      </c>
      <c r="M159" s="98"/>
    </row>
    <row r="160" spans="1:13" hidden="1">
      <c r="A160" s="12">
        <v>45474</v>
      </c>
      <c r="B160" s="11">
        <f t="shared" si="0"/>
        <v>2024</v>
      </c>
      <c r="C160" s="11">
        <f t="shared" si="1"/>
        <v>7</v>
      </c>
      <c r="D160" s="11" t="s">
        <v>24</v>
      </c>
      <c r="E160" s="13">
        <v>6282</v>
      </c>
      <c r="F160" s="98">
        <v>1126</v>
      </c>
      <c r="G160" s="11">
        <v>1280</v>
      </c>
      <c r="H160" s="14"/>
      <c r="I160" s="14"/>
      <c r="J160" s="14">
        <v>0</v>
      </c>
      <c r="M160" s="98"/>
    </row>
    <row r="161" spans="1:13" hidden="1">
      <c r="A161" s="12">
        <v>45474</v>
      </c>
      <c r="B161" s="11">
        <f t="shared" si="0"/>
        <v>2024</v>
      </c>
      <c r="C161" s="11">
        <f t="shared" si="1"/>
        <v>7</v>
      </c>
      <c r="D161" s="11" t="s">
        <v>25</v>
      </c>
      <c r="E161" s="13">
        <v>8887</v>
      </c>
      <c r="F161" s="98">
        <v>1014</v>
      </c>
      <c r="G161" s="11">
        <v>967</v>
      </c>
      <c r="H161" s="14"/>
      <c r="I161" s="14"/>
      <c r="J161" s="14">
        <v>-0.54500000000000004</v>
      </c>
      <c r="M161" s="98"/>
    </row>
    <row r="162" spans="1:13" hidden="1">
      <c r="A162" s="12">
        <v>45474</v>
      </c>
      <c r="B162" s="11">
        <f t="shared" si="0"/>
        <v>2024</v>
      </c>
      <c r="C162" s="11">
        <f t="shared" si="1"/>
        <v>7</v>
      </c>
      <c r="D162" s="11" t="s">
        <v>26</v>
      </c>
      <c r="E162" s="13">
        <v>7228</v>
      </c>
      <c r="F162" s="98">
        <v>434</v>
      </c>
      <c r="G162" s="11">
        <v>519</v>
      </c>
      <c r="H162" s="14"/>
      <c r="I162" s="14"/>
      <c r="J162" s="14">
        <v>-0.73050000000000004</v>
      </c>
      <c r="M162" s="98"/>
    </row>
    <row r="163" spans="1:13" hidden="1">
      <c r="A163" s="12">
        <v>45474</v>
      </c>
      <c r="B163" s="11">
        <f t="shared" si="0"/>
        <v>2024</v>
      </c>
      <c r="C163" s="11">
        <f t="shared" si="1"/>
        <v>7</v>
      </c>
      <c r="D163" s="11" t="s">
        <v>27</v>
      </c>
      <c r="E163" s="11">
        <v>502</v>
      </c>
      <c r="F163" s="98">
        <v>637</v>
      </c>
      <c r="G163" s="11">
        <v>313</v>
      </c>
      <c r="H163" s="14"/>
      <c r="I163" s="14"/>
      <c r="J163" s="14">
        <v>1.7410000000000001</v>
      </c>
      <c r="M163" s="98"/>
    </row>
    <row r="164" spans="1:13" hidden="1">
      <c r="A164" s="12">
        <v>45474</v>
      </c>
      <c r="B164" s="11">
        <f t="shared" si="0"/>
        <v>2024</v>
      </c>
      <c r="C164" s="11">
        <f t="shared" si="1"/>
        <v>7</v>
      </c>
      <c r="D164" s="11" t="s">
        <v>29</v>
      </c>
      <c r="E164" s="11">
        <v>510</v>
      </c>
      <c r="F164" s="98">
        <v>0</v>
      </c>
      <c r="G164" s="11">
        <v>203</v>
      </c>
      <c r="H164" s="14"/>
      <c r="I164" s="14"/>
      <c r="J164" s="14">
        <v>-0.86270000000000002</v>
      </c>
      <c r="M164" s="98"/>
    </row>
    <row r="165" spans="1:13" hidden="1">
      <c r="A165" s="12">
        <v>45474</v>
      </c>
      <c r="B165" s="11">
        <f t="shared" si="0"/>
        <v>2024</v>
      </c>
      <c r="C165" s="11">
        <f t="shared" si="1"/>
        <v>7</v>
      </c>
      <c r="D165" s="11" t="s">
        <v>30</v>
      </c>
      <c r="E165" s="11">
        <v>778</v>
      </c>
      <c r="F165" s="98">
        <v>0</v>
      </c>
      <c r="G165" s="11">
        <v>0</v>
      </c>
      <c r="H165" s="14"/>
      <c r="I165" s="14"/>
      <c r="J165" s="14">
        <v>-1</v>
      </c>
      <c r="M165" s="98"/>
    </row>
    <row r="166" spans="1:13" hidden="1">
      <c r="A166" s="12">
        <v>45505</v>
      </c>
      <c r="B166" s="11">
        <f t="shared" si="0"/>
        <v>2024</v>
      </c>
      <c r="C166" s="11">
        <f t="shared" si="1"/>
        <v>8</v>
      </c>
      <c r="D166" s="11" t="s">
        <v>7</v>
      </c>
      <c r="E166" s="13">
        <v>117329</v>
      </c>
      <c r="F166" s="98">
        <v>18241</v>
      </c>
      <c r="G166" s="13">
        <v>27271</v>
      </c>
      <c r="H166" s="14"/>
      <c r="I166" s="14"/>
      <c r="J166" s="14">
        <v>0.1532</v>
      </c>
      <c r="M166" s="98"/>
    </row>
    <row r="167" spans="1:13" hidden="1">
      <c r="A167" s="12">
        <v>45505</v>
      </c>
      <c r="B167" s="11">
        <f t="shared" si="0"/>
        <v>2024</v>
      </c>
      <c r="C167" s="11">
        <f t="shared" si="1"/>
        <v>8</v>
      </c>
      <c r="D167" s="11" t="s">
        <v>8</v>
      </c>
      <c r="E167" s="13">
        <v>109168</v>
      </c>
      <c r="F167" s="98">
        <v>17870</v>
      </c>
      <c r="G167" s="13">
        <v>14988</v>
      </c>
      <c r="H167" s="14"/>
      <c r="I167" s="14"/>
      <c r="J167" s="14">
        <v>0.14530000000000001</v>
      </c>
      <c r="M167" s="98"/>
    </row>
    <row r="168" spans="1:13" hidden="1">
      <c r="A168" s="12">
        <v>45505</v>
      </c>
      <c r="B168" s="11">
        <f t="shared" si="0"/>
        <v>2024</v>
      </c>
      <c r="C168" s="11">
        <f t="shared" si="1"/>
        <v>8</v>
      </c>
      <c r="D168" s="11" t="s">
        <v>9</v>
      </c>
      <c r="E168" s="13">
        <v>118877</v>
      </c>
      <c r="F168" s="98">
        <v>14402</v>
      </c>
      <c r="G168" s="13">
        <v>24498</v>
      </c>
      <c r="H168" s="14"/>
      <c r="I168" s="14"/>
      <c r="J168" s="14">
        <v>-2.8500000000000001E-2</v>
      </c>
      <c r="M168" s="98"/>
    </row>
    <row r="169" spans="1:13" hidden="1">
      <c r="A169" s="12">
        <v>45505</v>
      </c>
      <c r="B169" s="11">
        <f t="shared" si="0"/>
        <v>2024</v>
      </c>
      <c r="C169" s="11">
        <f t="shared" si="1"/>
        <v>8</v>
      </c>
      <c r="D169" s="11" t="s">
        <v>10</v>
      </c>
      <c r="E169" s="13">
        <v>81279</v>
      </c>
      <c r="F169" s="98">
        <v>14675</v>
      </c>
      <c r="G169" s="13">
        <v>12520</v>
      </c>
      <c r="H169" s="14"/>
      <c r="I169" s="14"/>
      <c r="J169" s="14">
        <v>0.1464</v>
      </c>
      <c r="M169" s="98"/>
    </row>
    <row r="170" spans="1:13" hidden="1">
      <c r="A170" s="12">
        <v>45505</v>
      </c>
      <c r="B170" s="11">
        <f t="shared" si="0"/>
        <v>2024</v>
      </c>
      <c r="C170" s="11">
        <f t="shared" si="1"/>
        <v>8</v>
      </c>
      <c r="D170" s="11" t="s">
        <v>11</v>
      </c>
      <c r="E170" s="13">
        <v>80591</v>
      </c>
      <c r="F170" s="98">
        <v>11170</v>
      </c>
      <c r="G170" s="13">
        <v>12165</v>
      </c>
      <c r="H170" s="14"/>
      <c r="I170" s="14"/>
      <c r="J170" s="14">
        <v>7.6999999999999999E-2</v>
      </c>
      <c r="M170" s="98"/>
    </row>
    <row r="171" spans="1:13" hidden="1">
      <c r="A171" s="12">
        <v>45505</v>
      </c>
      <c r="B171" s="11">
        <f t="shared" si="0"/>
        <v>2024</v>
      </c>
      <c r="C171" s="11">
        <f t="shared" si="1"/>
        <v>8</v>
      </c>
      <c r="D171" s="11" t="s">
        <v>12</v>
      </c>
      <c r="E171" s="13">
        <v>43163</v>
      </c>
      <c r="F171" s="98">
        <v>7444</v>
      </c>
      <c r="G171" s="13">
        <v>6573</v>
      </c>
      <c r="H171" s="14"/>
      <c r="I171" s="14"/>
      <c r="J171" s="14">
        <v>0.37369999999999998</v>
      </c>
      <c r="M171" s="98"/>
    </row>
    <row r="172" spans="1:13" hidden="1">
      <c r="A172" s="12">
        <v>45505</v>
      </c>
      <c r="B172" s="11">
        <f t="shared" si="0"/>
        <v>2024</v>
      </c>
      <c r="C172" s="11">
        <f t="shared" si="1"/>
        <v>8</v>
      </c>
      <c r="D172" s="11" t="s">
        <v>13</v>
      </c>
      <c r="E172" s="13">
        <v>89952</v>
      </c>
      <c r="F172" s="98">
        <v>5123</v>
      </c>
      <c r="G172" s="13">
        <v>12347</v>
      </c>
      <c r="H172" s="14"/>
      <c r="I172" s="14"/>
      <c r="J172" s="14">
        <v>-0.39119999999999999</v>
      </c>
      <c r="M172" s="98"/>
    </row>
    <row r="173" spans="1:13" hidden="1">
      <c r="A173" s="12">
        <v>45505</v>
      </c>
      <c r="B173" s="11">
        <f t="shared" si="0"/>
        <v>2024</v>
      </c>
      <c r="C173" s="11">
        <f t="shared" si="1"/>
        <v>8</v>
      </c>
      <c r="D173" s="11" t="s">
        <v>14</v>
      </c>
      <c r="E173" s="13">
        <v>37879</v>
      </c>
      <c r="F173" s="98">
        <v>5345</v>
      </c>
      <c r="G173" s="13">
        <v>7165</v>
      </c>
      <c r="H173" s="14"/>
      <c r="I173" s="14"/>
      <c r="J173" s="14">
        <v>0.12820000000000001</v>
      </c>
      <c r="M173" s="98"/>
    </row>
    <row r="174" spans="1:13" hidden="1">
      <c r="A174" s="12">
        <v>45505</v>
      </c>
      <c r="B174" s="11">
        <f t="shared" si="0"/>
        <v>2024</v>
      </c>
      <c r="C174" s="11">
        <f t="shared" si="1"/>
        <v>8</v>
      </c>
      <c r="D174" s="11" t="s">
        <v>15</v>
      </c>
      <c r="E174" s="13">
        <v>17567</v>
      </c>
      <c r="F174" s="98">
        <v>3117</v>
      </c>
      <c r="G174" s="13">
        <v>3118</v>
      </c>
      <c r="H174" s="14"/>
      <c r="I174" s="14"/>
      <c r="J174" s="14">
        <v>0.55479999999999996</v>
      </c>
      <c r="M174" s="98"/>
    </row>
    <row r="175" spans="1:13" hidden="1">
      <c r="A175" s="12">
        <v>45505</v>
      </c>
      <c r="B175" s="11">
        <f t="shared" si="0"/>
        <v>2024</v>
      </c>
      <c r="C175" s="11">
        <f t="shared" si="1"/>
        <v>8</v>
      </c>
      <c r="D175" s="11" t="s">
        <v>17</v>
      </c>
      <c r="E175" s="13">
        <v>26112</v>
      </c>
      <c r="F175" s="98">
        <v>2924</v>
      </c>
      <c r="G175" s="13">
        <v>4171</v>
      </c>
      <c r="H175" s="14"/>
      <c r="I175" s="14"/>
      <c r="J175" s="14">
        <v>-4.1099999999999998E-2</v>
      </c>
      <c r="M175" s="98"/>
    </row>
    <row r="176" spans="1:13" hidden="1">
      <c r="A176" s="12">
        <v>45505</v>
      </c>
      <c r="B176" s="11">
        <f t="shared" si="0"/>
        <v>2024</v>
      </c>
      <c r="C176" s="11">
        <f t="shared" si="1"/>
        <v>8</v>
      </c>
      <c r="D176" s="11" t="s">
        <v>16</v>
      </c>
      <c r="E176" s="13">
        <v>17257</v>
      </c>
      <c r="F176" s="98">
        <v>3033</v>
      </c>
      <c r="G176" s="11">
        <v>2886</v>
      </c>
      <c r="H176" s="14"/>
      <c r="I176" s="14"/>
      <c r="J176" s="14">
        <v>0.41120000000000001</v>
      </c>
      <c r="M176" s="98"/>
    </row>
    <row r="177" spans="1:13" hidden="1">
      <c r="A177" s="12">
        <v>45505</v>
      </c>
      <c r="B177" s="11">
        <f t="shared" si="0"/>
        <v>2024</v>
      </c>
      <c r="C177" s="11">
        <f t="shared" si="1"/>
        <v>8</v>
      </c>
      <c r="D177" s="11" t="s">
        <v>19</v>
      </c>
      <c r="E177" s="13">
        <v>19454</v>
      </c>
      <c r="F177" s="98">
        <v>2640</v>
      </c>
      <c r="G177" s="13">
        <v>1402</v>
      </c>
      <c r="H177" s="14"/>
      <c r="I177" s="14"/>
      <c r="J177" s="14">
        <v>4.0500000000000001E-2</v>
      </c>
      <c r="M177" s="98"/>
    </row>
    <row r="178" spans="1:13" hidden="1">
      <c r="A178" s="12">
        <v>45505</v>
      </c>
      <c r="B178" s="11">
        <f t="shared" si="0"/>
        <v>2024</v>
      </c>
      <c r="C178" s="11">
        <f t="shared" si="1"/>
        <v>8</v>
      </c>
      <c r="D178" s="11" t="s">
        <v>18</v>
      </c>
      <c r="E178" s="13">
        <v>17448</v>
      </c>
      <c r="F178" s="98">
        <v>3107</v>
      </c>
      <c r="G178" s="13">
        <v>2466</v>
      </c>
      <c r="H178" s="14"/>
      <c r="I178" s="14"/>
      <c r="J178" s="14">
        <v>0.1419</v>
      </c>
      <c r="M178" s="98"/>
    </row>
    <row r="179" spans="1:13" hidden="1">
      <c r="A179" s="12">
        <v>45505</v>
      </c>
      <c r="B179" s="11">
        <f t="shared" si="0"/>
        <v>2024</v>
      </c>
      <c r="C179" s="11">
        <f t="shared" si="1"/>
        <v>8</v>
      </c>
      <c r="D179" s="11" t="s">
        <v>126</v>
      </c>
      <c r="E179" s="13">
        <v>21627</v>
      </c>
      <c r="F179" s="98">
        <v>795</v>
      </c>
      <c r="G179" s="11">
        <v>1831</v>
      </c>
      <c r="H179" s="14"/>
      <c r="I179" s="14"/>
      <c r="J179" s="14">
        <v>-0.32479999999999998</v>
      </c>
      <c r="M179" s="98"/>
    </row>
    <row r="180" spans="1:13" hidden="1">
      <c r="A180" s="12">
        <v>45505</v>
      </c>
      <c r="B180" s="11">
        <f t="shared" si="0"/>
        <v>2024</v>
      </c>
      <c r="C180" s="11">
        <f t="shared" si="1"/>
        <v>8</v>
      </c>
      <c r="D180" s="11" t="s">
        <v>20</v>
      </c>
      <c r="E180" s="13">
        <v>9467</v>
      </c>
      <c r="F180" s="98">
        <v>2058</v>
      </c>
      <c r="G180" s="13">
        <v>1636</v>
      </c>
      <c r="H180" s="14"/>
      <c r="I180" s="14"/>
      <c r="J180" s="14">
        <v>0.49280000000000002</v>
      </c>
      <c r="M180" s="98"/>
    </row>
    <row r="181" spans="1:13" hidden="1">
      <c r="A181" s="12">
        <v>45505</v>
      </c>
      <c r="B181" s="11">
        <f t="shared" si="0"/>
        <v>2024</v>
      </c>
      <c r="C181" s="11">
        <f t="shared" si="1"/>
        <v>8</v>
      </c>
      <c r="D181" s="11" t="s">
        <v>22</v>
      </c>
      <c r="E181" s="13">
        <v>12620</v>
      </c>
      <c r="F181" s="98">
        <v>1603</v>
      </c>
      <c r="G181" s="13">
        <v>1664</v>
      </c>
      <c r="H181" s="14"/>
      <c r="I181" s="14"/>
      <c r="J181" s="14">
        <v>-0.18640000000000001</v>
      </c>
      <c r="M181" s="98"/>
    </row>
    <row r="182" spans="1:13" hidden="1">
      <c r="A182" s="12">
        <v>45505</v>
      </c>
      <c r="B182" s="11">
        <f t="shared" si="0"/>
        <v>2024</v>
      </c>
      <c r="C182" s="11">
        <f t="shared" si="1"/>
        <v>8</v>
      </c>
      <c r="D182" s="11" t="s">
        <v>23</v>
      </c>
      <c r="E182" s="13">
        <v>15468</v>
      </c>
      <c r="F182" s="98">
        <v>1174</v>
      </c>
      <c r="G182" s="13">
        <v>1236</v>
      </c>
      <c r="H182" s="14"/>
      <c r="I182" s="14"/>
      <c r="J182" s="14">
        <v>-0.41980000000000001</v>
      </c>
      <c r="M182" s="98"/>
    </row>
    <row r="183" spans="1:13" hidden="1">
      <c r="A183" s="12">
        <v>45505</v>
      </c>
      <c r="B183" s="11">
        <f t="shared" si="0"/>
        <v>2024</v>
      </c>
      <c r="C183" s="11">
        <f t="shared" si="1"/>
        <v>8</v>
      </c>
      <c r="D183" s="11" t="s">
        <v>24</v>
      </c>
      <c r="E183" s="13">
        <v>7314</v>
      </c>
      <c r="F183" s="98">
        <v>931</v>
      </c>
      <c r="G183" s="13">
        <v>0</v>
      </c>
      <c r="H183" s="14"/>
      <c r="I183" s="14"/>
      <c r="J183" s="14">
        <v>0</v>
      </c>
      <c r="M183" s="98"/>
    </row>
    <row r="184" spans="1:13" hidden="1">
      <c r="A184" s="12">
        <v>45505</v>
      </c>
      <c r="B184" s="11">
        <f t="shared" si="0"/>
        <v>2024</v>
      </c>
      <c r="C184" s="11">
        <f t="shared" si="1"/>
        <v>8</v>
      </c>
      <c r="D184" s="11" t="s">
        <v>25</v>
      </c>
      <c r="E184" s="13">
        <v>10073</v>
      </c>
      <c r="F184" s="98">
        <v>729</v>
      </c>
      <c r="G184" s="11">
        <v>651</v>
      </c>
      <c r="H184" s="14"/>
      <c r="I184" s="14"/>
      <c r="J184" s="14">
        <v>-0.5262</v>
      </c>
      <c r="M184" s="98"/>
    </row>
    <row r="185" spans="1:13" hidden="1">
      <c r="A185" s="12">
        <v>45505</v>
      </c>
      <c r="B185" s="11">
        <f t="shared" si="0"/>
        <v>2024</v>
      </c>
      <c r="C185" s="11">
        <f t="shared" si="1"/>
        <v>8</v>
      </c>
      <c r="D185" s="11" t="s">
        <v>26</v>
      </c>
      <c r="E185" s="13">
        <v>7734</v>
      </c>
      <c r="F185" s="98">
        <v>571</v>
      </c>
      <c r="G185" s="11">
        <v>669</v>
      </c>
      <c r="H185" s="14"/>
      <c r="I185" s="14"/>
      <c r="J185" s="14">
        <v>-0.67430000000000001</v>
      </c>
      <c r="M185" s="98"/>
    </row>
    <row r="186" spans="1:13" hidden="1">
      <c r="A186" s="12">
        <v>45505</v>
      </c>
      <c r="B186" s="11">
        <f t="shared" si="0"/>
        <v>2024</v>
      </c>
      <c r="C186" s="11">
        <f t="shared" si="1"/>
        <v>8</v>
      </c>
      <c r="D186" s="11" t="s">
        <v>27</v>
      </c>
      <c r="E186" s="11">
        <v>743</v>
      </c>
      <c r="F186" s="98">
        <v>310</v>
      </c>
      <c r="G186" s="11">
        <v>394</v>
      </c>
      <c r="H186" s="14"/>
      <c r="I186" s="14"/>
      <c r="J186" s="14">
        <v>1.2692000000000001</v>
      </c>
      <c r="M186" s="98"/>
    </row>
    <row r="187" spans="1:13" hidden="1">
      <c r="A187" s="12">
        <v>45505</v>
      </c>
      <c r="B187" s="11">
        <f t="shared" si="0"/>
        <v>2024</v>
      </c>
      <c r="C187" s="11">
        <f t="shared" si="1"/>
        <v>8</v>
      </c>
      <c r="D187" s="11" t="s">
        <v>28</v>
      </c>
      <c r="E187" s="11" t="s">
        <v>107</v>
      </c>
      <c r="F187" s="98">
        <v>312</v>
      </c>
      <c r="G187" s="13">
        <v>0</v>
      </c>
      <c r="H187" s="14"/>
      <c r="I187" s="14"/>
      <c r="J187" s="14">
        <v>0</v>
      </c>
      <c r="M187" s="98"/>
    </row>
    <row r="188" spans="1:13" hidden="1">
      <c r="A188" s="12">
        <v>45505</v>
      </c>
      <c r="B188" s="11">
        <f t="shared" si="0"/>
        <v>2024</v>
      </c>
      <c r="C188" s="11">
        <f t="shared" si="1"/>
        <v>8</v>
      </c>
      <c r="D188" s="11" t="s">
        <v>29</v>
      </c>
      <c r="E188" s="11">
        <v>803</v>
      </c>
      <c r="F188" s="98">
        <v>0</v>
      </c>
      <c r="G188" s="13">
        <v>0</v>
      </c>
      <c r="H188" s="14"/>
      <c r="I188" s="14"/>
      <c r="J188" s="14">
        <v>-0.91279999999999994</v>
      </c>
      <c r="M188" s="98"/>
    </row>
    <row r="189" spans="1:13" hidden="1">
      <c r="A189" s="12">
        <v>45536</v>
      </c>
      <c r="B189" s="11">
        <f t="shared" si="0"/>
        <v>2024</v>
      </c>
      <c r="C189" s="11">
        <f t="shared" si="1"/>
        <v>9</v>
      </c>
      <c r="D189" s="11" t="s">
        <v>7</v>
      </c>
      <c r="E189" s="13">
        <v>133054</v>
      </c>
      <c r="F189" s="98">
        <v>16647</v>
      </c>
      <c r="G189" s="11">
        <v>20069</v>
      </c>
      <c r="H189" s="14"/>
      <c r="I189" s="14"/>
      <c r="J189" s="14">
        <v>0.14199999999999999</v>
      </c>
      <c r="M189" s="98"/>
    </row>
    <row r="190" spans="1:13" hidden="1">
      <c r="A190" s="12">
        <v>45536</v>
      </c>
      <c r="B190" s="11">
        <f t="shared" si="0"/>
        <v>2024</v>
      </c>
      <c r="C190" s="11">
        <f t="shared" si="1"/>
        <v>9</v>
      </c>
      <c r="D190" s="11" t="s">
        <v>8</v>
      </c>
      <c r="E190" s="13">
        <v>119331</v>
      </c>
      <c r="F190" s="98">
        <v>16022</v>
      </c>
      <c r="G190" s="11">
        <v>15875</v>
      </c>
      <c r="H190" s="14"/>
      <c r="I190" s="14"/>
      <c r="J190" s="14">
        <v>0.182</v>
      </c>
      <c r="M190" s="98"/>
    </row>
    <row r="191" spans="1:13" hidden="1">
      <c r="A191" s="12">
        <v>45536</v>
      </c>
      <c r="B191" s="11">
        <f t="shared" si="0"/>
        <v>2024</v>
      </c>
      <c r="C191" s="11">
        <f t="shared" si="1"/>
        <v>9</v>
      </c>
      <c r="D191" s="11" t="s">
        <v>9</v>
      </c>
      <c r="E191" s="13">
        <v>131509</v>
      </c>
      <c r="F191" s="98">
        <v>17620</v>
      </c>
      <c r="G191" s="11">
        <v>20602</v>
      </c>
      <c r="H191" s="14"/>
      <c r="I191" s="14"/>
      <c r="J191" s="14">
        <v>1.2200000000000001E-2</v>
      </c>
      <c r="M191" s="98"/>
    </row>
    <row r="192" spans="1:13" hidden="1">
      <c r="A192" s="12">
        <v>45536</v>
      </c>
      <c r="B192" s="11">
        <f t="shared" si="0"/>
        <v>2024</v>
      </c>
      <c r="C192" s="11">
        <f t="shared" si="1"/>
        <v>9</v>
      </c>
      <c r="D192" s="11" t="s">
        <v>10</v>
      </c>
      <c r="E192" s="13">
        <v>88856</v>
      </c>
      <c r="F192" s="98">
        <v>17450</v>
      </c>
      <c r="G192" s="11">
        <v>10064</v>
      </c>
      <c r="H192" s="14"/>
      <c r="I192" s="14"/>
      <c r="J192" s="14">
        <v>0.24510000000000001</v>
      </c>
      <c r="M192" s="98"/>
    </row>
    <row r="193" spans="1:13" hidden="1">
      <c r="A193" s="12">
        <v>45536</v>
      </c>
      <c r="B193" s="11">
        <f t="shared" si="0"/>
        <v>2024</v>
      </c>
      <c r="C193" s="11">
        <f t="shared" si="1"/>
        <v>9</v>
      </c>
      <c r="D193" s="11" t="s">
        <v>11</v>
      </c>
      <c r="E193" s="13">
        <v>91264</v>
      </c>
      <c r="F193" s="98">
        <v>12265</v>
      </c>
      <c r="G193" s="11">
        <v>12416</v>
      </c>
      <c r="H193" s="14"/>
      <c r="I193" s="14"/>
      <c r="J193" s="14">
        <v>8.5400000000000004E-2</v>
      </c>
      <c r="M193" s="98"/>
    </row>
    <row r="194" spans="1:13" hidden="1">
      <c r="A194" s="12">
        <v>45536</v>
      </c>
      <c r="B194" s="11">
        <f t="shared" si="0"/>
        <v>2024</v>
      </c>
      <c r="C194" s="11">
        <f t="shared" si="1"/>
        <v>9</v>
      </c>
      <c r="D194" s="11" t="s">
        <v>12</v>
      </c>
      <c r="E194" s="13">
        <v>48737</v>
      </c>
      <c r="F194" s="98">
        <v>7240</v>
      </c>
      <c r="G194" s="11">
        <v>4828</v>
      </c>
      <c r="H194" s="14"/>
      <c r="I194" s="14"/>
      <c r="J194" s="14">
        <v>0.36520000000000002</v>
      </c>
      <c r="M194" s="98"/>
    </row>
    <row r="195" spans="1:13" hidden="1">
      <c r="A195" s="12">
        <v>45536</v>
      </c>
      <c r="B195" s="11">
        <f t="shared" si="0"/>
        <v>2024</v>
      </c>
      <c r="C195" s="11">
        <f t="shared" si="1"/>
        <v>9</v>
      </c>
      <c r="D195" s="11" t="s">
        <v>13</v>
      </c>
      <c r="E195" s="13">
        <v>97974</v>
      </c>
      <c r="F195" s="98">
        <v>5823</v>
      </c>
      <c r="G195" s="11">
        <v>13708</v>
      </c>
      <c r="H195" s="14"/>
      <c r="I195" s="14"/>
      <c r="J195" s="14">
        <v>-0.38159999999999999</v>
      </c>
      <c r="M195" s="98"/>
    </row>
    <row r="196" spans="1:13" hidden="1">
      <c r="A196" s="12">
        <v>45536</v>
      </c>
      <c r="B196" s="11">
        <f t="shared" si="0"/>
        <v>2024</v>
      </c>
      <c r="C196" s="11">
        <f t="shared" si="1"/>
        <v>9</v>
      </c>
      <c r="D196" s="11" t="s">
        <v>14</v>
      </c>
      <c r="E196" s="13">
        <v>43534</v>
      </c>
      <c r="F196" s="98">
        <v>4422</v>
      </c>
      <c r="G196" s="11">
        <v>6588</v>
      </c>
      <c r="H196" s="14"/>
      <c r="I196" s="14"/>
      <c r="J196" s="14">
        <v>8.3199999999999996E-2</v>
      </c>
      <c r="M196" s="98"/>
    </row>
    <row r="197" spans="1:13" hidden="1">
      <c r="A197" s="12">
        <v>45536</v>
      </c>
      <c r="B197" s="11">
        <f t="shared" si="0"/>
        <v>2024</v>
      </c>
      <c r="C197" s="11">
        <f t="shared" si="1"/>
        <v>9</v>
      </c>
      <c r="D197" s="11" t="s">
        <v>15</v>
      </c>
      <c r="E197" s="13">
        <v>20890</v>
      </c>
      <c r="F197" s="98">
        <v>3300</v>
      </c>
      <c r="G197" s="11">
        <v>4072</v>
      </c>
      <c r="H197" s="14"/>
      <c r="I197" s="14"/>
      <c r="J197" s="14">
        <v>0.46539999999999998</v>
      </c>
      <c r="M197" s="98"/>
    </row>
    <row r="198" spans="1:13" hidden="1">
      <c r="A198" s="12">
        <v>45536</v>
      </c>
      <c r="B198" s="11">
        <f t="shared" si="0"/>
        <v>2024</v>
      </c>
      <c r="C198" s="11">
        <f t="shared" si="1"/>
        <v>9</v>
      </c>
      <c r="D198" s="11" t="s">
        <v>17</v>
      </c>
      <c r="E198" s="13">
        <v>29046</v>
      </c>
      <c r="F198" s="98">
        <v>3729</v>
      </c>
      <c r="G198" s="11">
        <v>4649</v>
      </c>
      <c r="H198" s="14"/>
      <c r="I198" s="14"/>
      <c r="J198" s="14">
        <v>-9.5999999999999992E-3</v>
      </c>
      <c r="M198" s="98"/>
    </row>
    <row r="199" spans="1:13" hidden="1">
      <c r="A199" s="12">
        <v>45536</v>
      </c>
      <c r="B199" s="11">
        <f t="shared" si="0"/>
        <v>2024</v>
      </c>
      <c r="C199" s="11">
        <f t="shared" si="1"/>
        <v>9</v>
      </c>
      <c r="D199" s="11" t="s">
        <v>16</v>
      </c>
      <c r="E199" s="13">
        <v>19522</v>
      </c>
      <c r="F199" s="98">
        <v>3690</v>
      </c>
      <c r="G199" s="11">
        <v>2926</v>
      </c>
      <c r="H199" s="14"/>
      <c r="I199" s="14"/>
      <c r="J199" s="14">
        <v>0.4365</v>
      </c>
      <c r="M199" s="98"/>
    </row>
    <row r="200" spans="1:13" hidden="1">
      <c r="A200" s="12">
        <v>45536</v>
      </c>
      <c r="B200" s="11">
        <f t="shared" si="0"/>
        <v>2024</v>
      </c>
      <c r="C200" s="11">
        <f t="shared" si="1"/>
        <v>9</v>
      </c>
      <c r="D200" s="11" t="s">
        <v>19</v>
      </c>
      <c r="E200" s="13">
        <v>22124</v>
      </c>
      <c r="F200" s="98">
        <v>1783</v>
      </c>
      <c r="G200" s="11">
        <v>1811</v>
      </c>
      <c r="H200" s="14"/>
      <c r="I200" s="14"/>
      <c r="J200" s="14">
        <v>-4.4999999999999997E-3</v>
      </c>
      <c r="M200" s="98"/>
    </row>
    <row r="201" spans="1:13" hidden="1">
      <c r="A201" s="12">
        <v>45536</v>
      </c>
      <c r="B201" s="11">
        <f t="shared" si="0"/>
        <v>2024</v>
      </c>
      <c r="C201" s="11">
        <f t="shared" si="1"/>
        <v>9</v>
      </c>
      <c r="D201" s="11" t="s">
        <v>18</v>
      </c>
      <c r="E201" s="13">
        <v>19630</v>
      </c>
      <c r="F201" s="98">
        <v>2645</v>
      </c>
      <c r="G201" s="11">
        <v>2542</v>
      </c>
      <c r="H201" s="14"/>
      <c r="I201" s="14"/>
      <c r="J201" s="14">
        <v>0.1497</v>
      </c>
      <c r="M201" s="98"/>
    </row>
    <row r="202" spans="1:13" hidden="1">
      <c r="A202" s="12">
        <v>45536</v>
      </c>
      <c r="B202" s="11">
        <f t="shared" si="0"/>
        <v>2024</v>
      </c>
      <c r="C202" s="11">
        <f t="shared" si="1"/>
        <v>9</v>
      </c>
      <c r="D202" s="11" t="s">
        <v>126</v>
      </c>
      <c r="E202" s="13">
        <v>24635</v>
      </c>
      <c r="F202" s="98">
        <v>583</v>
      </c>
      <c r="G202" s="11">
        <v>1262</v>
      </c>
      <c r="H202" s="14"/>
      <c r="I202" s="14"/>
      <c r="J202" s="14">
        <v>-0.38340000000000002</v>
      </c>
      <c r="M202" s="98"/>
    </row>
    <row r="203" spans="1:13" hidden="1">
      <c r="A203" s="12">
        <v>45536</v>
      </c>
      <c r="B203" s="11">
        <f t="shared" si="0"/>
        <v>2024</v>
      </c>
      <c r="C203" s="11">
        <f t="shared" si="1"/>
        <v>9</v>
      </c>
      <c r="D203" s="11" t="s">
        <v>20</v>
      </c>
      <c r="E203" s="13">
        <v>11034</v>
      </c>
      <c r="F203" s="98">
        <v>1797</v>
      </c>
      <c r="G203" s="11">
        <v>1677</v>
      </c>
      <c r="H203" s="14"/>
      <c r="I203" s="14"/>
      <c r="J203" s="14">
        <v>0.44359999999999999</v>
      </c>
      <c r="M203" s="98"/>
    </row>
    <row r="204" spans="1:13" hidden="1">
      <c r="A204" s="12">
        <v>45536</v>
      </c>
      <c r="B204" s="11">
        <f t="shared" si="0"/>
        <v>2024</v>
      </c>
      <c r="C204" s="11">
        <f t="shared" si="1"/>
        <v>9</v>
      </c>
      <c r="D204" s="11" t="s">
        <v>22</v>
      </c>
      <c r="E204" s="13">
        <v>13275</v>
      </c>
      <c r="F204" s="98">
        <v>1350</v>
      </c>
      <c r="G204" s="11">
        <v>1256</v>
      </c>
      <c r="H204" s="14"/>
      <c r="I204" s="14"/>
      <c r="J204" s="14">
        <v>-0.12479999999999999</v>
      </c>
      <c r="M204" s="98"/>
    </row>
    <row r="205" spans="1:13" hidden="1">
      <c r="A205" s="12">
        <v>45536</v>
      </c>
      <c r="B205" s="11">
        <f t="shared" si="0"/>
        <v>2024</v>
      </c>
      <c r="C205" s="11">
        <f t="shared" si="1"/>
        <v>9</v>
      </c>
      <c r="D205" s="11" t="s">
        <v>23</v>
      </c>
      <c r="E205" s="13">
        <v>17045</v>
      </c>
      <c r="F205" s="98">
        <v>1599</v>
      </c>
      <c r="G205" s="11">
        <v>1118</v>
      </c>
      <c r="H205" s="14"/>
      <c r="I205" s="14"/>
      <c r="J205" s="14">
        <v>-0.37959999999999999</v>
      </c>
      <c r="M205" s="98"/>
    </row>
    <row r="206" spans="1:13" hidden="1">
      <c r="A206" s="12">
        <v>45536</v>
      </c>
      <c r="B206" s="11">
        <f t="shared" si="0"/>
        <v>2024</v>
      </c>
      <c r="C206" s="11">
        <f t="shared" si="1"/>
        <v>9</v>
      </c>
      <c r="D206" s="11" t="s">
        <v>24</v>
      </c>
      <c r="E206" s="13">
        <v>8410</v>
      </c>
      <c r="F206" s="98">
        <v>907</v>
      </c>
      <c r="G206" s="13">
        <v>0</v>
      </c>
      <c r="H206" s="14"/>
      <c r="I206" s="14"/>
      <c r="J206" s="14">
        <v>0</v>
      </c>
      <c r="M206" s="98"/>
    </row>
    <row r="207" spans="1:13" hidden="1">
      <c r="A207" s="12">
        <v>45536</v>
      </c>
      <c r="B207" s="11">
        <f t="shared" si="0"/>
        <v>2024</v>
      </c>
      <c r="C207" s="11">
        <f t="shared" si="1"/>
        <v>9</v>
      </c>
      <c r="D207" s="11" t="s">
        <v>25</v>
      </c>
      <c r="E207" s="13">
        <v>10933</v>
      </c>
      <c r="F207" s="98">
        <v>629</v>
      </c>
      <c r="G207" s="11">
        <v>447</v>
      </c>
      <c r="H207" s="14"/>
      <c r="I207" s="14"/>
      <c r="J207" s="14">
        <v>-0.50590000000000002</v>
      </c>
      <c r="M207" s="98"/>
    </row>
    <row r="208" spans="1:13" hidden="1">
      <c r="A208" s="12">
        <v>45536</v>
      </c>
      <c r="B208" s="11">
        <f t="shared" si="0"/>
        <v>2024</v>
      </c>
      <c r="C208" s="11">
        <f t="shared" si="1"/>
        <v>9</v>
      </c>
      <c r="D208" s="11" t="s">
        <v>26</v>
      </c>
      <c r="E208" s="13">
        <v>8211</v>
      </c>
      <c r="F208" s="98">
        <v>561</v>
      </c>
      <c r="G208" s="11">
        <v>714</v>
      </c>
      <c r="H208" s="14"/>
      <c r="I208" s="14"/>
      <c r="J208" s="14">
        <v>-0.62490000000000001</v>
      </c>
      <c r="M208" s="98"/>
    </row>
    <row r="209" spans="1:13" hidden="1">
      <c r="A209" s="12">
        <v>45536</v>
      </c>
      <c r="B209" s="11">
        <f t="shared" si="0"/>
        <v>2024</v>
      </c>
      <c r="C209" s="11">
        <f t="shared" si="1"/>
        <v>9</v>
      </c>
      <c r="D209" s="11" t="s">
        <v>27</v>
      </c>
      <c r="E209" s="11">
        <v>804</v>
      </c>
      <c r="F209" s="98">
        <v>234</v>
      </c>
      <c r="G209" s="13">
        <v>380</v>
      </c>
      <c r="H209" s="14"/>
      <c r="I209" s="14"/>
      <c r="J209" s="14">
        <v>1.3880999999999999</v>
      </c>
      <c r="M209" s="98"/>
    </row>
    <row r="210" spans="1:13" hidden="1">
      <c r="A210" s="12">
        <v>45536</v>
      </c>
      <c r="B210" s="11">
        <f t="shared" si="0"/>
        <v>2024</v>
      </c>
      <c r="C210" s="11">
        <f t="shared" si="1"/>
        <v>9</v>
      </c>
      <c r="D210" s="11" t="s">
        <v>28</v>
      </c>
      <c r="E210" s="11" t="s">
        <v>107</v>
      </c>
      <c r="F210" s="98">
        <v>335</v>
      </c>
      <c r="G210" s="13">
        <v>0</v>
      </c>
      <c r="H210" s="14"/>
      <c r="I210" s="14"/>
      <c r="J210" s="14">
        <v>0</v>
      </c>
      <c r="M210" s="98"/>
    </row>
    <row r="211" spans="1:13" hidden="1">
      <c r="A211" s="12">
        <v>45536</v>
      </c>
      <c r="B211" s="11">
        <f t="shared" si="0"/>
        <v>2024</v>
      </c>
      <c r="C211" s="11">
        <f t="shared" si="1"/>
        <v>9</v>
      </c>
      <c r="D211" s="11" t="s">
        <v>29</v>
      </c>
      <c r="E211" s="11">
        <v>803</v>
      </c>
      <c r="F211" s="98">
        <v>0</v>
      </c>
      <c r="G211" s="13">
        <v>0</v>
      </c>
      <c r="H211" s="14"/>
      <c r="I211" s="14"/>
      <c r="J211" s="14">
        <v>-0.91279999999999994</v>
      </c>
      <c r="M211" s="98"/>
    </row>
    <row r="212" spans="1:13" hidden="1">
      <c r="A212" s="15">
        <v>45566</v>
      </c>
      <c r="B212" s="11">
        <f t="shared" si="0"/>
        <v>2024</v>
      </c>
      <c r="C212" s="11">
        <f t="shared" si="1"/>
        <v>10</v>
      </c>
      <c r="D212" s="11" t="s">
        <v>7</v>
      </c>
      <c r="E212" s="11">
        <v>158.91499999999999</v>
      </c>
      <c r="F212" s="98">
        <v>16788</v>
      </c>
      <c r="G212" s="11">
        <v>20110</v>
      </c>
      <c r="H212" s="14"/>
      <c r="I212" s="14"/>
      <c r="J212" s="14" t="s">
        <v>128</v>
      </c>
      <c r="M212" s="98"/>
    </row>
    <row r="213" spans="1:13" hidden="1">
      <c r="A213" s="15">
        <v>45566</v>
      </c>
      <c r="B213" s="11">
        <f t="shared" si="0"/>
        <v>2024</v>
      </c>
      <c r="C213" s="11">
        <f t="shared" si="1"/>
        <v>10</v>
      </c>
      <c r="D213" s="11" t="s">
        <v>9</v>
      </c>
      <c r="E213" s="11">
        <v>134.26499999999999</v>
      </c>
      <c r="F213" s="98">
        <v>17037</v>
      </c>
      <c r="G213" s="11">
        <v>18379</v>
      </c>
      <c r="H213" s="11"/>
      <c r="I213" s="11"/>
      <c r="J213" s="11" t="s">
        <v>129</v>
      </c>
      <c r="M213" s="98"/>
    </row>
    <row r="214" spans="1:13" hidden="1">
      <c r="A214" s="15">
        <v>45566</v>
      </c>
      <c r="B214" s="11">
        <f t="shared" si="0"/>
        <v>2024</v>
      </c>
      <c r="C214" s="11">
        <f t="shared" si="1"/>
        <v>10</v>
      </c>
      <c r="D214" s="11" t="s">
        <v>8</v>
      </c>
      <c r="E214" s="11">
        <v>148.63800000000001</v>
      </c>
      <c r="F214" s="98">
        <v>21121</v>
      </c>
      <c r="G214" s="11">
        <v>16391</v>
      </c>
      <c r="H214" s="11"/>
      <c r="I214" s="11"/>
      <c r="J214" s="11" t="s">
        <v>130</v>
      </c>
      <c r="M214" s="98"/>
    </row>
    <row r="215" spans="1:13" hidden="1">
      <c r="A215" s="15">
        <v>45566</v>
      </c>
      <c r="B215" s="11">
        <f t="shared" si="0"/>
        <v>2024</v>
      </c>
      <c r="C215" s="11">
        <f t="shared" si="1"/>
        <v>10</v>
      </c>
      <c r="D215" s="11" t="s">
        <v>11</v>
      </c>
      <c r="E215" s="11">
        <v>97.534000000000006</v>
      </c>
      <c r="F215" s="98">
        <v>13197</v>
      </c>
      <c r="G215" s="11">
        <v>14248</v>
      </c>
      <c r="H215" s="11"/>
      <c r="I215" s="11"/>
      <c r="J215" s="11" t="s">
        <v>131</v>
      </c>
      <c r="M215" s="98"/>
    </row>
    <row r="216" spans="1:13" hidden="1">
      <c r="A216" s="15">
        <v>45566</v>
      </c>
      <c r="B216" s="11">
        <f t="shared" si="0"/>
        <v>2024</v>
      </c>
      <c r="C216" s="11">
        <f t="shared" si="1"/>
        <v>10</v>
      </c>
      <c r="D216" s="11" t="s">
        <v>13</v>
      </c>
      <c r="E216" s="11">
        <v>103.014</v>
      </c>
      <c r="F216" s="98">
        <v>12968</v>
      </c>
      <c r="G216" s="11">
        <v>13208</v>
      </c>
      <c r="H216" s="11"/>
      <c r="I216" s="11"/>
      <c r="J216" s="11" t="s">
        <v>132</v>
      </c>
      <c r="M216" s="98"/>
    </row>
    <row r="217" spans="1:13" hidden="1">
      <c r="A217" s="15">
        <v>45566</v>
      </c>
      <c r="B217" s="11">
        <f t="shared" si="0"/>
        <v>2024</v>
      </c>
      <c r="C217" s="11">
        <f t="shared" si="1"/>
        <v>10</v>
      </c>
      <c r="D217" s="11" t="s">
        <v>10</v>
      </c>
      <c r="E217" s="11">
        <v>54.822000000000003</v>
      </c>
      <c r="F217" s="98">
        <v>8613</v>
      </c>
      <c r="G217" s="11">
        <v>13171</v>
      </c>
      <c r="H217" s="11"/>
      <c r="I217" s="11"/>
      <c r="J217" s="11" t="s">
        <v>133</v>
      </c>
      <c r="M217" s="98"/>
    </row>
    <row r="218" spans="1:13" hidden="1">
      <c r="A218" s="15">
        <v>45566</v>
      </c>
      <c r="B218" s="11">
        <f t="shared" si="0"/>
        <v>2024</v>
      </c>
      <c r="C218" s="11">
        <f t="shared" si="1"/>
        <v>10</v>
      </c>
      <c r="D218" s="11" t="s">
        <v>14</v>
      </c>
      <c r="E218" s="11">
        <v>106.52200000000001</v>
      </c>
      <c r="F218" s="98">
        <v>8066</v>
      </c>
      <c r="G218" s="11">
        <v>7455</v>
      </c>
      <c r="H218" s="11"/>
      <c r="I218" s="11"/>
      <c r="J218" s="11" t="s">
        <v>134</v>
      </c>
      <c r="M218" s="98"/>
    </row>
    <row r="219" spans="1:13" hidden="1">
      <c r="A219" s="15">
        <v>45566</v>
      </c>
      <c r="B219" s="11">
        <f t="shared" si="0"/>
        <v>2024</v>
      </c>
      <c r="C219" s="11">
        <f t="shared" si="1"/>
        <v>10</v>
      </c>
      <c r="D219" s="11" t="s">
        <v>12</v>
      </c>
      <c r="E219" s="11">
        <v>49.713000000000001</v>
      </c>
      <c r="F219" s="98">
        <v>5220</v>
      </c>
      <c r="G219" s="11">
        <v>4849</v>
      </c>
      <c r="H219" s="11"/>
      <c r="I219" s="11"/>
      <c r="J219" s="11" t="s">
        <v>135</v>
      </c>
      <c r="M219" s="98"/>
    </row>
    <row r="220" spans="1:13" hidden="1">
      <c r="A220" s="15">
        <v>45566</v>
      </c>
      <c r="B220" s="11">
        <f t="shared" si="0"/>
        <v>2024</v>
      </c>
      <c r="C220" s="11">
        <f t="shared" si="1"/>
        <v>10</v>
      </c>
      <c r="D220" s="11" t="s">
        <v>17</v>
      </c>
      <c r="E220" s="11">
        <v>24.777999999999999</v>
      </c>
      <c r="F220" s="98">
        <v>3466</v>
      </c>
      <c r="G220" s="11">
        <v>4413</v>
      </c>
      <c r="H220" s="11"/>
      <c r="I220" s="11"/>
      <c r="J220" s="11" t="s">
        <v>136</v>
      </c>
      <c r="M220" s="98"/>
    </row>
    <row r="221" spans="1:13" hidden="1">
      <c r="A221" s="15">
        <v>45566</v>
      </c>
      <c r="B221" s="11">
        <f t="shared" si="0"/>
        <v>2024</v>
      </c>
      <c r="C221" s="11">
        <f t="shared" si="1"/>
        <v>10</v>
      </c>
      <c r="D221" s="11" t="s">
        <v>15</v>
      </c>
      <c r="E221" s="11">
        <v>19.521999999999998</v>
      </c>
      <c r="F221" s="98">
        <v>4161</v>
      </c>
      <c r="G221" s="11">
        <v>4176</v>
      </c>
      <c r="H221" s="11"/>
      <c r="I221" s="11"/>
      <c r="J221" s="11" t="s">
        <v>137</v>
      </c>
      <c r="M221" s="98"/>
    </row>
    <row r="222" spans="1:13" hidden="1">
      <c r="A222" s="15">
        <v>45566</v>
      </c>
      <c r="B222" s="11">
        <f t="shared" si="0"/>
        <v>2024</v>
      </c>
      <c r="C222" s="11">
        <f t="shared" si="1"/>
        <v>10</v>
      </c>
      <c r="D222" s="11" t="s">
        <v>16</v>
      </c>
      <c r="E222" s="11">
        <v>32.194000000000003</v>
      </c>
      <c r="F222" s="98">
        <v>3342</v>
      </c>
      <c r="G222" s="11">
        <v>3370</v>
      </c>
      <c r="H222" s="11"/>
      <c r="I222" s="11"/>
      <c r="J222" s="11" t="s">
        <v>138</v>
      </c>
      <c r="M222" s="98"/>
    </row>
    <row r="223" spans="1:13" hidden="1">
      <c r="A223" s="15">
        <v>45566</v>
      </c>
      <c r="B223" s="11">
        <f t="shared" si="0"/>
        <v>2024</v>
      </c>
      <c r="C223" s="11">
        <f t="shared" si="1"/>
        <v>10</v>
      </c>
      <c r="D223" s="11" t="s">
        <v>20</v>
      </c>
      <c r="E223" s="11">
        <v>21.837</v>
      </c>
      <c r="F223" s="98">
        <v>2789</v>
      </c>
      <c r="G223" s="11">
        <v>2755</v>
      </c>
      <c r="H223" s="11"/>
      <c r="I223" s="11"/>
      <c r="J223" s="11" t="s">
        <v>139</v>
      </c>
      <c r="M223" s="98"/>
    </row>
    <row r="224" spans="1:13" hidden="1">
      <c r="A224" s="15">
        <v>45566</v>
      </c>
      <c r="B224" s="11">
        <f t="shared" si="0"/>
        <v>2024</v>
      </c>
      <c r="C224" s="11">
        <f t="shared" si="1"/>
        <v>10</v>
      </c>
      <c r="D224" s="11" t="s">
        <v>18</v>
      </c>
      <c r="E224" s="11">
        <v>24.870999999999999</v>
      </c>
      <c r="F224" s="98">
        <v>2159</v>
      </c>
      <c r="G224" s="11">
        <v>2346</v>
      </c>
      <c r="H224" s="11"/>
      <c r="I224" s="11"/>
      <c r="J224" s="11" t="s">
        <v>140</v>
      </c>
      <c r="M224" s="98"/>
    </row>
    <row r="225" spans="1:13" hidden="1">
      <c r="A225" s="15">
        <v>45566</v>
      </c>
      <c r="B225" s="11">
        <f t="shared" si="0"/>
        <v>2024</v>
      </c>
      <c r="C225" s="11">
        <f t="shared" si="1"/>
        <v>10</v>
      </c>
      <c r="D225" s="11" t="s">
        <v>19</v>
      </c>
      <c r="E225" s="11">
        <v>12.339</v>
      </c>
      <c r="F225" s="98">
        <v>2107</v>
      </c>
      <c r="G225" s="11">
        <v>2136</v>
      </c>
      <c r="H225" s="11"/>
      <c r="I225" s="11"/>
      <c r="J225" s="11" t="s">
        <v>141</v>
      </c>
      <c r="M225" s="98"/>
    </row>
    <row r="226" spans="1:13" hidden="1">
      <c r="A226" s="15">
        <v>45566</v>
      </c>
      <c r="B226" s="11">
        <f t="shared" si="0"/>
        <v>2024</v>
      </c>
      <c r="C226" s="11">
        <f t="shared" si="1"/>
        <v>10</v>
      </c>
      <c r="D226" s="11" t="s">
        <v>22</v>
      </c>
      <c r="E226" s="11">
        <v>27.905000000000001</v>
      </c>
      <c r="F226" s="98">
        <v>868</v>
      </c>
      <c r="G226" s="11">
        <v>1561</v>
      </c>
      <c r="H226" s="11"/>
      <c r="I226" s="11"/>
      <c r="J226" s="11" t="s">
        <v>142</v>
      </c>
      <c r="M226" s="98"/>
    </row>
    <row r="227" spans="1:13" hidden="1">
      <c r="A227" s="15">
        <v>45566</v>
      </c>
      <c r="B227" s="11">
        <f t="shared" si="0"/>
        <v>2024</v>
      </c>
      <c r="C227" s="11">
        <f t="shared" si="1"/>
        <v>10</v>
      </c>
      <c r="D227" s="11" t="s">
        <v>32</v>
      </c>
      <c r="E227" s="11">
        <v>14.221</v>
      </c>
      <c r="F227" s="98">
        <v>1681</v>
      </c>
      <c r="G227" s="11">
        <v>1490</v>
      </c>
      <c r="H227" s="11"/>
      <c r="I227" s="11"/>
      <c r="J227" s="11" t="s">
        <v>143</v>
      </c>
      <c r="M227" s="98"/>
    </row>
    <row r="228" spans="1:13" hidden="1">
      <c r="A228" s="15">
        <v>45566</v>
      </c>
      <c r="B228" s="11">
        <f t="shared" si="0"/>
        <v>2024</v>
      </c>
      <c r="C228" s="11">
        <f t="shared" si="1"/>
        <v>10</v>
      </c>
      <c r="D228" s="11" t="s">
        <v>23</v>
      </c>
      <c r="E228" s="11">
        <v>18.498000000000001</v>
      </c>
      <c r="F228" s="98">
        <v>1197</v>
      </c>
      <c r="G228" s="11">
        <v>1118</v>
      </c>
      <c r="H228" s="11"/>
      <c r="I228" s="11"/>
      <c r="J228" s="11" t="s">
        <v>144</v>
      </c>
      <c r="M228" s="98"/>
    </row>
    <row r="229" spans="1:13" hidden="1">
      <c r="A229" s="15">
        <v>45566</v>
      </c>
      <c r="B229" s="11">
        <f t="shared" si="0"/>
        <v>2024</v>
      </c>
      <c r="C229" s="11">
        <f t="shared" si="1"/>
        <v>10</v>
      </c>
      <c r="D229" s="11" t="s">
        <v>101</v>
      </c>
      <c r="E229" s="11" t="s">
        <v>107</v>
      </c>
      <c r="F229" s="98">
        <v>734</v>
      </c>
      <c r="G229" s="11">
        <v>1035</v>
      </c>
      <c r="H229" s="11"/>
      <c r="I229" s="11"/>
      <c r="J229" s="11" t="s">
        <v>145</v>
      </c>
      <c r="M229" s="98"/>
    </row>
    <row r="230" spans="1:13" hidden="1">
      <c r="A230" s="15">
        <v>45566</v>
      </c>
      <c r="B230" s="11">
        <f t="shared" si="0"/>
        <v>2024</v>
      </c>
      <c r="C230" s="11">
        <f t="shared" si="1"/>
        <v>10</v>
      </c>
      <c r="D230" s="11" t="s">
        <v>26</v>
      </c>
      <c r="E230" s="11">
        <v>11.851000000000001</v>
      </c>
      <c r="F230" s="98">
        <v>704</v>
      </c>
      <c r="G230" s="11">
        <v>909</v>
      </c>
      <c r="H230" s="11"/>
      <c r="I230" s="11"/>
      <c r="J230" s="11" t="s">
        <v>146</v>
      </c>
      <c r="M230" s="98"/>
    </row>
    <row r="231" spans="1:13" hidden="1">
      <c r="A231" s="15">
        <v>45566</v>
      </c>
      <c r="B231" s="11">
        <f t="shared" si="0"/>
        <v>2024</v>
      </c>
      <c r="C231" s="11">
        <f t="shared" si="1"/>
        <v>10</v>
      </c>
      <c r="D231" s="11" t="s">
        <v>25</v>
      </c>
      <c r="E231" s="11">
        <v>8.4130000000000003</v>
      </c>
      <c r="F231" s="98">
        <v>729</v>
      </c>
      <c r="G231" s="11">
        <v>527</v>
      </c>
      <c r="H231" s="11"/>
      <c r="I231" s="11"/>
      <c r="J231" s="11" t="s">
        <v>147</v>
      </c>
      <c r="M231" s="98"/>
    </row>
    <row r="232" spans="1:13" hidden="1">
      <c r="A232" s="15">
        <v>45566</v>
      </c>
      <c r="B232" s="11">
        <f t="shared" si="0"/>
        <v>2024</v>
      </c>
      <c r="C232" s="11">
        <f t="shared" si="1"/>
        <v>10</v>
      </c>
      <c r="D232" s="11" t="s">
        <v>126</v>
      </c>
      <c r="E232" s="11">
        <v>850</v>
      </c>
      <c r="F232" s="98">
        <v>220</v>
      </c>
      <c r="G232" s="11">
        <v>505</v>
      </c>
      <c r="H232" s="11"/>
      <c r="I232" s="11"/>
      <c r="J232" s="11" t="s">
        <v>148</v>
      </c>
      <c r="M232" s="98"/>
    </row>
    <row r="233" spans="1:13" hidden="1">
      <c r="A233" s="15">
        <v>45566</v>
      </c>
      <c r="B233" s="11">
        <f t="shared" si="0"/>
        <v>2024</v>
      </c>
      <c r="C233" s="11">
        <f t="shared" si="1"/>
        <v>10</v>
      </c>
      <c r="D233" s="11" t="s">
        <v>33</v>
      </c>
      <c r="E233" s="11" t="s">
        <v>107</v>
      </c>
      <c r="F233" s="98">
        <v>78</v>
      </c>
      <c r="G233" s="11">
        <v>313</v>
      </c>
      <c r="H233" s="11"/>
      <c r="I233" s="11"/>
      <c r="J233" s="11" t="s">
        <v>145</v>
      </c>
      <c r="M233" s="98"/>
    </row>
    <row r="234" spans="1:13" hidden="1">
      <c r="A234" s="15">
        <v>45566</v>
      </c>
      <c r="B234" s="11">
        <f t="shared" si="0"/>
        <v>2024</v>
      </c>
      <c r="C234" s="11">
        <f t="shared" si="1"/>
        <v>10</v>
      </c>
      <c r="D234" s="11" t="s">
        <v>27</v>
      </c>
      <c r="E234" s="11">
        <v>2.129</v>
      </c>
      <c r="F234" s="98">
        <v>0</v>
      </c>
      <c r="G234" s="11">
        <v>303</v>
      </c>
      <c r="H234" s="11"/>
      <c r="I234" s="11"/>
      <c r="J234" s="11" t="s">
        <v>149</v>
      </c>
      <c r="M234" s="98"/>
    </row>
    <row r="235" spans="1:13" hidden="1">
      <c r="A235" s="15">
        <v>45597</v>
      </c>
      <c r="B235" s="11">
        <f t="shared" si="0"/>
        <v>2024</v>
      </c>
      <c r="C235" s="11">
        <f t="shared" si="1"/>
        <v>11</v>
      </c>
      <c r="D235" s="11" t="s">
        <v>7</v>
      </c>
      <c r="E235" s="13">
        <v>176873</v>
      </c>
      <c r="F235" s="98">
        <v>14999</v>
      </c>
      <c r="G235" s="100">
        <v>10659</v>
      </c>
      <c r="H235" s="14"/>
      <c r="I235" s="14"/>
      <c r="J235" s="14">
        <v>3.8800000000000001E-2</v>
      </c>
      <c r="M235" s="98"/>
    </row>
    <row r="236" spans="1:13" hidden="1">
      <c r="A236" s="15">
        <v>45597</v>
      </c>
      <c r="B236" s="11">
        <f t="shared" si="0"/>
        <v>2024</v>
      </c>
      <c r="C236" s="11">
        <f t="shared" si="1"/>
        <v>11</v>
      </c>
      <c r="D236" s="11" t="s">
        <v>8</v>
      </c>
      <c r="E236" s="13">
        <v>148163</v>
      </c>
      <c r="F236" s="98">
        <v>19199</v>
      </c>
      <c r="G236" s="100">
        <v>7869</v>
      </c>
      <c r="H236" s="14"/>
      <c r="I236" s="14"/>
      <c r="J236" s="14">
        <v>0.19650000000000001</v>
      </c>
      <c r="M236" s="98"/>
    </row>
    <row r="237" spans="1:13" hidden="1">
      <c r="A237" s="15">
        <v>45597</v>
      </c>
      <c r="B237" s="11">
        <f t="shared" si="0"/>
        <v>2024</v>
      </c>
      <c r="C237" s="11">
        <f t="shared" si="1"/>
        <v>11</v>
      </c>
      <c r="D237" s="11" t="s">
        <v>9</v>
      </c>
      <c r="E237" s="13">
        <v>163753</v>
      </c>
      <c r="F237" s="98">
        <v>14268</v>
      </c>
      <c r="G237" s="100">
        <v>16588</v>
      </c>
      <c r="H237" s="14"/>
      <c r="I237" s="14"/>
      <c r="J237" s="14">
        <v>2.9000000000000001E-2</v>
      </c>
      <c r="M237" s="98"/>
    </row>
    <row r="238" spans="1:13" hidden="1">
      <c r="A238" s="15">
        <v>45597</v>
      </c>
      <c r="B238" s="11">
        <f t="shared" si="0"/>
        <v>2024</v>
      </c>
      <c r="C238" s="11">
        <f t="shared" si="1"/>
        <v>11</v>
      </c>
      <c r="D238" s="11" t="s">
        <v>10</v>
      </c>
      <c r="E238" s="13">
        <v>107820</v>
      </c>
      <c r="F238" s="98">
        <v>11031</v>
      </c>
      <c r="G238" s="100">
        <v>9174</v>
      </c>
      <c r="H238" s="14"/>
      <c r="I238" s="14"/>
      <c r="J238" s="14">
        <v>0.25080000000000002</v>
      </c>
      <c r="M238" s="98"/>
    </row>
    <row r="239" spans="1:13" hidden="1">
      <c r="A239" s="15">
        <v>45597</v>
      </c>
      <c r="B239" s="11">
        <f t="shared" si="0"/>
        <v>2024</v>
      </c>
      <c r="C239" s="11">
        <f t="shared" si="1"/>
        <v>11</v>
      </c>
      <c r="D239" s="11" t="s">
        <v>11</v>
      </c>
      <c r="E239" s="13">
        <v>113352</v>
      </c>
      <c r="F239" s="98">
        <v>13165</v>
      </c>
      <c r="G239" s="100">
        <v>13635</v>
      </c>
      <c r="H239" s="14"/>
      <c r="I239" s="14"/>
      <c r="J239" s="14">
        <v>0.1045</v>
      </c>
      <c r="M239" s="98"/>
    </row>
    <row r="240" spans="1:13" hidden="1">
      <c r="A240" s="15">
        <v>45597</v>
      </c>
      <c r="B240" s="11">
        <f t="shared" si="0"/>
        <v>2024</v>
      </c>
      <c r="C240" s="11">
        <f t="shared" si="1"/>
        <v>11</v>
      </c>
      <c r="D240" s="11" t="s">
        <v>12</v>
      </c>
      <c r="E240" s="13">
        <v>60705</v>
      </c>
      <c r="F240" s="98">
        <v>6006</v>
      </c>
      <c r="G240" s="100">
        <v>5559</v>
      </c>
      <c r="H240" s="14"/>
      <c r="I240" s="14"/>
      <c r="J240" s="14">
        <v>0.33679999999999999</v>
      </c>
      <c r="M240" s="98"/>
    </row>
    <row r="241" spans="1:13" hidden="1">
      <c r="A241" s="15">
        <v>45597</v>
      </c>
      <c r="B241" s="11">
        <f t="shared" si="0"/>
        <v>2024</v>
      </c>
      <c r="C241" s="11">
        <f t="shared" si="1"/>
        <v>11</v>
      </c>
      <c r="D241" s="11" t="s">
        <v>13</v>
      </c>
      <c r="E241" s="13">
        <v>113737</v>
      </c>
      <c r="F241" s="98">
        <v>7039</v>
      </c>
      <c r="G241" s="100">
        <v>12308</v>
      </c>
      <c r="H241" s="14"/>
      <c r="I241" s="14"/>
      <c r="J241" s="14">
        <v>-0.33450000000000002</v>
      </c>
      <c r="M241" s="98"/>
    </row>
    <row r="242" spans="1:13" hidden="1">
      <c r="A242" s="15">
        <v>45597</v>
      </c>
      <c r="B242" s="11">
        <f t="shared" si="0"/>
        <v>2024</v>
      </c>
      <c r="C242" s="11">
        <f t="shared" si="1"/>
        <v>11</v>
      </c>
      <c r="D242" s="11" t="s">
        <v>14</v>
      </c>
      <c r="E242" s="13">
        <v>55295</v>
      </c>
      <c r="F242" s="98">
        <v>4766</v>
      </c>
      <c r="G242" s="100">
        <v>6261</v>
      </c>
      <c r="H242" s="14"/>
      <c r="I242" s="14"/>
      <c r="J242" s="14">
        <v>3.3399999999999999E-2</v>
      </c>
      <c r="M242" s="98"/>
    </row>
    <row r="243" spans="1:13" hidden="1">
      <c r="A243" s="15">
        <v>45597</v>
      </c>
      <c r="B243" s="11">
        <f t="shared" si="0"/>
        <v>2024</v>
      </c>
      <c r="C243" s="11">
        <f t="shared" si="1"/>
        <v>11</v>
      </c>
      <c r="D243" s="11" t="s">
        <v>15</v>
      </c>
      <c r="E243" s="13">
        <v>28079</v>
      </c>
      <c r="F243" s="98">
        <v>3448</v>
      </c>
      <c r="G243" s="100">
        <v>4304</v>
      </c>
      <c r="H243" s="14"/>
      <c r="I243" s="14"/>
      <c r="J243" s="14">
        <v>0.33650000000000002</v>
      </c>
      <c r="M243" s="98"/>
    </row>
    <row r="244" spans="1:13" hidden="1">
      <c r="A244" s="15">
        <v>45597</v>
      </c>
      <c r="B244" s="11">
        <f t="shared" si="0"/>
        <v>2024</v>
      </c>
      <c r="C244" s="11">
        <f t="shared" si="1"/>
        <v>11</v>
      </c>
      <c r="D244" s="11" t="s">
        <v>16</v>
      </c>
      <c r="E244" s="13">
        <v>19522</v>
      </c>
      <c r="F244" s="98">
        <v>3221</v>
      </c>
      <c r="G244" s="100">
        <v>3618</v>
      </c>
      <c r="H244" s="14"/>
      <c r="I244" s="14"/>
      <c r="J244" s="14">
        <v>0.81459999999999999</v>
      </c>
      <c r="M244" s="98"/>
    </row>
    <row r="245" spans="1:13" hidden="1">
      <c r="A245" s="15">
        <v>45597</v>
      </c>
      <c r="B245" s="11">
        <f t="shared" si="0"/>
        <v>2024</v>
      </c>
      <c r="C245" s="11">
        <f t="shared" si="1"/>
        <v>11</v>
      </c>
      <c r="D245" s="11" t="s">
        <v>17</v>
      </c>
      <c r="E245" s="13">
        <v>35487</v>
      </c>
      <c r="F245" s="98">
        <v>3199</v>
      </c>
      <c r="G245" s="100">
        <v>3560</v>
      </c>
      <c r="H245" s="14"/>
      <c r="I245" s="14"/>
      <c r="J245" s="14">
        <v>-5.0000000000000001E-3</v>
      </c>
      <c r="M245" s="98"/>
    </row>
    <row r="246" spans="1:13" hidden="1">
      <c r="A246" s="15">
        <v>45597</v>
      </c>
      <c r="B246" s="11">
        <f t="shared" si="0"/>
        <v>2024</v>
      </c>
      <c r="C246" s="11">
        <f t="shared" si="1"/>
        <v>11</v>
      </c>
      <c r="D246" s="11" t="s">
        <v>18</v>
      </c>
      <c r="E246" s="13">
        <v>23985</v>
      </c>
      <c r="F246" s="98">
        <v>2454</v>
      </c>
      <c r="G246" s="100">
        <v>3067</v>
      </c>
      <c r="H246" s="14"/>
      <c r="I246" s="14"/>
      <c r="J246" s="14">
        <v>0.1595</v>
      </c>
      <c r="M246" s="98"/>
    </row>
    <row r="247" spans="1:13" hidden="1">
      <c r="A247" s="15">
        <v>45597</v>
      </c>
      <c r="B247" s="11">
        <f t="shared" si="0"/>
        <v>2024</v>
      </c>
      <c r="C247" s="11">
        <f t="shared" si="1"/>
        <v>11</v>
      </c>
      <c r="D247" s="11" t="s">
        <v>19</v>
      </c>
      <c r="E247" s="13">
        <v>27994</v>
      </c>
      <c r="F247" s="98">
        <v>1640</v>
      </c>
      <c r="G247" s="100">
        <v>2503</v>
      </c>
      <c r="H247" s="14"/>
      <c r="I247" s="14"/>
      <c r="J247" s="14">
        <v>-7.7499999999999999E-2</v>
      </c>
      <c r="M247" s="98"/>
    </row>
    <row r="248" spans="1:13" hidden="1">
      <c r="A248" s="15">
        <v>45597</v>
      </c>
      <c r="B248" s="11">
        <f t="shared" si="0"/>
        <v>2024</v>
      </c>
      <c r="C248" s="11">
        <f t="shared" si="1"/>
        <v>11</v>
      </c>
      <c r="D248" s="11" t="s">
        <v>20</v>
      </c>
      <c r="E248" s="13">
        <v>14432</v>
      </c>
      <c r="F248" s="98">
        <v>1630</v>
      </c>
      <c r="G248" s="100">
        <v>1910</v>
      </c>
      <c r="H248" s="14"/>
      <c r="I248" s="14"/>
      <c r="J248" s="14">
        <v>0.36270000000000002</v>
      </c>
      <c r="M248" s="98"/>
    </row>
    <row r="249" spans="1:13" hidden="1">
      <c r="A249" s="15">
        <v>45597</v>
      </c>
      <c r="B249" s="11">
        <f t="shared" si="0"/>
        <v>2024</v>
      </c>
      <c r="C249" s="11">
        <f t="shared" si="1"/>
        <v>11</v>
      </c>
      <c r="D249" s="11" t="s">
        <v>126</v>
      </c>
      <c r="E249" s="13">
        <v>31313</v>
      </c>
      <c r="F249" s="98">
        <v>1016</v>
      </c>
      <c r="G249" s="100">
        <v>181</v>
      </c>
      <c r="H249" s="14"/>
      <c r="I249" s="14"/>
      <c r="J249" s="14">
        <v>-0.44779999999999998</v>
      </c>
      <c r="M249" s="98"/>
    </row>
    <row r="250" spans="1:13" hidden="1">
      <c r="A250" s="15">
        <v>45597</v>
      </c>
      <c r="B250" s="11">
        <f t="shared" si="0"/>
        <v>2024</v>
      </c>
      <c r="C250" s="11">
        <f t="shared" si="1"/>
        <v>11</v>
      </c>
      <c r="D250" s="11" t="s">
        <v>22</v>
      </c>
      <c r="E250" s="13">
        <v>15222</v>
      </c>
      <c r="F250" s="98">
        <v>1469</v>
      </c>
      <c r="G250" s="100">
        <v>1177</v>
      </c>
      <c r="H250" s="14"/>
      <c r="I250" s="14"/>
      <c r="J250" s="14">
        <v>-2.98E-2</v>
      </c>
      <c r="M250" s="98"/>
    </row>
    <row r="251" spans="1:13" hidden="1">
      <c r="A251" s="15">
        <v>45597</v>
      </c>
      <c r="B251" s="11">
        <f t="shared" si="0"/>
        <v>2024</v>
      </c>
      <c r="C251" s="11">
        <f t="shared" si="1"/>
        <v>11</v>
      </c>
      <c r="D251" s="11" t="s">
        <v>23</v>
      </c>
      <c r="E251" s="13">
        <v>19854</v>
      </c>
      <c r="F251" s="98">
        <v>1240</v>
      </c>
      <c r="G251" s="100">
        <v>1116</v>
      </c>
      <c r="H251" s="14"/>
      <c r="I251" s="14"/>
      <c r="J251" s="14">
        <v>-0.34470000000000001</v>
      </c>
      <c r="M251" s="98"/>
    </row>
    <row r="252" spans="1:13" hidden="1">
      <c r="A252" s="15">
        <v>45597</v>
      </c>
      <c r="B252" s="11">
        <f t="shared" si="0"/>
        <v>2024</v>
      </c>
      <c r="C252" s="11">
        <f t="shared" si="1"/>
        <v>11</v>
      </c>
      <c r="D252" s="11" t="s">
        <v>24</v>
      </c>
      <c r="E252" s="11" t="s">
        <v>107</v>
      </c>
      <c r="F252" s="98">
        <v>954</v>
      </c>
      <c r="G252" s="100">
        <v>1085</v>
      </c>
      <c r="H252" s="14"/>
      <c r="I252" s="14"/>
      <c r="J252" s="14">
        <v>0</v>
      </c>
      <c r="M252" s="98"/>
    </row>
    <row r="253" spans="1:13" hidden="1">
      <c r="A253" s="15">
        <v>45597</v>
      </c>
      <c r="B253" s="11">
        <f t="shared" si="0"/>
        <v>2024</v>
      </c>
      <c r="C253" s="11">
        <f t="shared" si="1"/>
        <v>11</v>
      </c>
      <c r="D253" s="11" t="s">
        <v>25</v>
      </c>
      <c r="E253" s="13">
        <v>12592</v>
      </c>
      <c r="F253" s="98">
        <v>380</v>
      </c>
      <c r="G253" s="100">
        <v>295</v>
      </c>
      <c r="H253" s="14"/>
      <c r="I253" s="14"/>
      <c r="J253" s="14">
        <v>-0.4849</v>
      </c>
      <c r="M253" s="98"/>
    </row>
    <row r="254" spans="1:13" hidden="1">
      <c r="A254" s="15">
        <v>45597</v>
      </c>
      <c r="B254" s="11">
        <f t="shared" si="0"/>
        <v>2024</v>
      </c>
      <c r="C254" s="11">
        <f t="shared" si="1"/>
        <v>11</v>
      </c>
      <c r="D254" s="11" t="s">
        <v>26</v>
      </c>
      <c r="E254" s="13">
        <v>8558</v>
      </c>
      <c r="F254" s="98">
        <v>664</v>
      </c>
      <c r="G254" s="100">
        <v>360</v>
      </c>
      <c r="H254" s="14"/>
      <c r="I254" s="14"/>
      <c r="J254" s="14">
        <v>-0.4773</v>
      </c>
      <c r="M254" s="98"/>
    </row>
    <row r="255" spans="1:13" hidden="1">
      <c r="A255" s="15">
        <v>45597</v>
      </c>
      <c r="B255" s="11">
        <f t="shared" si="0"/>
        <v>2024</v>
      </c>
      <c r="C255" s="11">
        <f t="shared" si="1"/>
        <v>11</v>
      </c>
      <c r="D255" s="11" t="s">
        <v>27</v>
      </c>
      <c r="E255" s="11">
        <v>894</v>
      </c>
      <c r="F255" s="98">
        <v>0</v>
      </c>
      <c r="G255" s="100">
        <v>0</v>
      </c>
      <c r="H255" s="14"/>
      <c r="I255" s="14"/>
      <c r="J255" s="14">
        <v>1.9228000000000001</v>
      </c>
      <c r="M255" s="98"/>
    </row>
    <row r="256" spans="1:13" hidden="1">
      <c r="A256" s="15">
        <v>45597</v>
      </c>
      <c r="B256" s="11">
        <f t="shared" si="0"/>
        <v>2024</v>
      </c>
      <c r="C256" s="11">
        <f t="shared" si="1"/>
        <v>11</v>
      </c>
      <c r="D256" s="11" t="s">
        <v>28</v>
      </c>
      <c r="E256" s="11" t="s">
        <v>107</v>
      </c>
      <c r="F256" s="98">
        <v>170</v>
      </c>
      <c r="G256" s="100">
        <v>0</v>
      </c>
      <c r="H256" s="14"/>
      <c r="I256" s="14"/>
      <c r="J256" s="14">
        <v>0</v>
      </c>
      <c r="M256" s="98"/>
    </row>
    <row r="257" spans="1:13" hidden="1">
      <c r="A257" s="15">
        <v>45597</v>
      </c>
      <c r="B257" s="11">
        <f t="shared" ref="B257:B511" si="2">YEAR(A257)</f>
        <v>2024</v>
      </c>
      <c r="C257" s="11">
        <f t="shared" ref="C257:C511" si="3">MONTH(A257)</f>
        <v>11</v>
      </c>
      <c r="D257" s="11" t="s">
        <v>29</v>
      </c>
      <c r="E257" s="13">
        <v>1146</v>
      </c>
      <c r="F257" s="98">
        <v>0</v>
      </c>
      <c r="G257" s="100">
        <v>0</v>
      </c>
      <c r="H257" s="14"/>
      <c r="I257" s="14"/>
      <c r="J257" s="14">
        <v>-0.93889999999999996</v>
      </c>
      <c r="M257" s="98"/>
    </row>
    <row r="258" spans="1:13" hidden="1">
      <c r="A258" s="15">
        <v>45627</v>
      </c>
      <c r="B258" s="11">
        <f t="shared" si="2"/>
        <v>2024</v>
      </c>
      <c r="C258" s="11">
        <f t="shared" si="3"/>
        <v>12</v>
      </c>
      <c r="D258" s="11" t="s">
        <v>7</v>
      </c>
      <c r="E258" s="13">
        <v>199067</v>
      </c>
      <c r="F258" s="98">
        <v>19798</v>
      </c>
      <c r="G258" s="13">
        <v>28113</v>
      </c>
      <c r="H258" s="14"/>
      <c r="I258" s="14"/>
      <c r="J258" s="14">
        <v>2.24E-2</v>
      </c>
      <c r="M258" s="98"/>
    </row>
    <row r="259" spans="1:13" hidden="1">
      <c r="A259" s="15">
        <v>45627</v>
      </c>
      <c r="B259" s="11">
        <f t="shared" si="2"/>
        <v>2024</v>
      </c>
      <c r="C259" s="11">
        <f t="shared" si="3"/>
        <v>12</v>
      </c>
      <c r="D259" s="11" t="s">
        <v>8</v>
      </c>
      <c r="E259" s="13">
        <v>163326</v>
      </c>
      <c r="F259" s="98">
        <v>16915</v>
      </c>
      <c r="G259" s="13">
        <v>15813</v>
      </c>
      <c r="H259" s="14"/>
      <c r="I259" s="14"/>
      <c r="J259" s="14">
        <v>0.189</v>
      </c>
      <c r="M259" s="98"/>
    </row>
    <row r="260" spans="1:13" hidden="1">
      <c r="A260" s="15">
        <v>45627</v>
      </c>
      <c r="B260" s="11">
        <f t="shared" si="2"/>
        <v>2024</v>
      </c>
      <c r="C260" s="11">
        <f t="shared" si="3"/>
        <v>12</v>
      </c>
      <c r="D260" s="11" t="s">
        <v>9</v>
      </c>
      <c r="E260" s="13">
        <v>179658</v>
      </c>
      <c r="F260" s="98">
        <v>16844</v>
      </c>
      <c r="G260" s="13">
        <v>23159</v>
      </c>
      <c r="H260" s="14"/>
      <c r="I260" s="14"/>
      <c r="J260" s="14">
        <v>3.1699999999999999E-2</v>
      </c>
      <c r="M260" s="98"/>
    </row>
    <row r="261" spans="1:13" hidden="1">
      <c r="A261" s="15">
        <v>45627</v>
      </c>
      <c r="B261" s="11">
        <f t="shared" si="2"/>
        <v>2024</v>
      </c>
      <c r="C261" s="11">
        <f t="shared" si="3"/>
        <v>12</v>
      </c>
      <c r="D261" s="11" t="s">
        <v>10</v>
      </c>
      <c r="E261" s="13">
        <v>115596</v>
      </c>
      <c r="F261" s="98">
        <v>10401</v>
      </c>
      <c r="G261" s="13">
        <v>10886</v>
      </c>
      <c r="H261" s="14"/>
      <c r="I261" s="14"/>
      <c r="J261" s="14">
        <v>0.25659999999999999</v>
      </c>
      <c r="M261" s="98"/>
    </row>
    <row r="262" spans="1:13" hidden="1">
      <c r="A262" s="15">
        <v>45627</v>
      </c>
      <c r="B262" s="11">
        <f t="shared" si="2"/>
        <v>2024</v>
      </c>
      <c r="C262" s="11">
        <f t="shared" si="3"/>
        <v>12</v>
      </c>
      <c r="D262" s="11" t="s">
        <v>11</v>
      </c>
      <c r="E262" s="13">
        <v>124359</v>
      </c>
      <c r="F262" s="98">
        <v>14424</v>
      </c>
      <c r="G262" s="13">
        <v>2231</v>
      </c>
      <c r="H262" s="14"/>
      <c r="I262" s="14"/>
      <c r="J262" s="14">
        <v>0.1227</v>
      </c>
      <c r="M262" s="98"/>
    </row>
    <row r="263" spans="1:13" hidden="1">
      <c r="A263" s="15">
        <v>45627</v>
      </c>
      <c r="B263" s="11">
        <f t="shared" si="2"/>
        <v>2024</v>
      </c>
      <c r="C263" s="11">
        <f t="shared" si="3"/>
        <v>12</v>
      </c>
      <c r="D263" s="11" t="s">
        <v>12</v>
      </c>
      <c r="E263" s="13">
        <v>68490</v>
      </c>
      <c r="F263" s="98">
        <v>7483</v>
      </c>
      <c r="G263" s="13">
        <v>4908</v>
      </c>
      <c r="H263" s="14"/>
      <c r="I263" s="14"/>
      <c r="J263" s="14">
        <v>0.29409999999999997</v>
      </c>
      <c r="M263" s="98"/>
    </row>
    <row r="264" spans="1:13" hidden="1">
      <c r="A264" s="15">
        <v>45627</v>
      </c>
      <c r="B264" s="11">
        <f t="shared" si="2"/>
        <v>2024</v>
      </c>
      <c r="C264" s="11">
        <f t="shared" si="3"/>
        <v>12</v>
      </c>
      <c r="D264" s="11" t="s">
        <v>13</v>
      </c>
      <c r="E264" s="13">
        <v>121343</v>
      </c>
      <c r="F264" s="98">
        <v>7477</v>
      </c>
      <c r="G264" s="13">
        <v>11781</v>
      </c>
      <c r="H264" s="14"/>
      <c r="I264" s="14"/>
      <c r="J264" s="14">
        <v>-0.31459999999999999</v>
      </c>
      <c r="M264" s="98"/>
    </row>
    <row r="265" spans="1:13" hidden="1">
      <c r="A265" s="15">
        <v>45627</v>
      </c>
      <c r="B265" s="11">
        <f t="shared" si="2"/>
        <v>2024</v>
      </c>
      <c r="C265" s="11">
        <f t="shared" si="3"/>
        <v>12</v>
      </c>
      <c r="D265" s="11" t="s">
        <v>14</v>
      </c>
      <c r="E265" s="13">
        <v>60927</v>
      </c>
      <c r="F265" s="98">
        <v>5246</v>
      </c>
      <c r="G265" s="13">
        <v>2969</v>
      </c>
      <c r="H265" s="14"/>
      <c r="I265" s="14"/>
      <c r="J265" s="14">
        <v>2.4E-2</v>
      </c>
      <c r="M265" s="98"/>
    </row>
    <row r="266" spans="1:13" hidden="1">
      <c r="A266" s="15">
        <v>45627</v>
      </c>
      <c r="B266" s="11">
        <f t="shared" si="2"/>
        <v>2024</v>
      </c>
      <c r="C266" s="11">
        <f t="shared" si="3"/>
        <v>12</v>
      </c>
      <c r="D266" s="11" t="s">
        <v>15</v>
      </c>
      <c r="E266" s="13">
        <v>31561</v>
      </c>
      <c r="F266" s="98">
        <v>3644</v>
      </c>
      <c r="G266" s="13">
        <v>1247</v>
      </c>
      <c r="H266" s="14"/>
      <c r="I266" s="14"/>
      <c r="J266" s="14">
        <v>0.30449999999999999</v>
      </c>
      <c r="M266" s="98"/>
    </row>
    <row r="267" spans="1:13" hidden="1">
      <c r="A267" s="15">
        <v>45627</v>
      </c>
      <c r="B267" s="11">
        <f t="shared" si="2"/>
        <v>2024</v>
      </c>
      <c r="C267" s="11">
        <f t="shared" si="3"/>
        <v>12</v>
      </c>
      <c r="D267" s="11" t="s">
        <v>16</v>
      </c>
      <c r="E267" s="13">
        <v>28766</v>
      </c>
      <c r="F267" s="98">
        <v>4600</v>
      </c>
      <c r="G267" s="13">
        <v>0</v>
      </c>
      <c r="H267" s="14"/>
      <c r="I267" s="14"/>
      <c r="J267" s="14">
        <v>0.39140000000000003</v>
      </c>
      <c r="M267" s="98"/>
    </row>
    <row r="268" spans="1:13" hidden="1">
      <c r="A268" s="15">
        <v>45627</v>
      </c>
      <c r="B268" s="11">
        <f t="shared" si="2"/>
        <v>2024</v>
      </c>
      <c r="C268" s="11">
        <f t="shared" si="3"/>
        <v>12</v>
      </c>
      <c r="D268" s="11" t="s">
        <v>17</v>
      </c>
      <c r="E268" s="13">
        <v>39109</v>
      </c>
      <c r="F268" s="98">
        <v>3922</v>
      </c>
      <c r="G268" s="13">
        <v>6553</v>
      </c>
      <c r="H268" s="14"/>
      <c r="I268" s="14"/>
      <c r="J268" s="14">
        <v>3.0999999999999999E-3</v>
      </c>
      <c r="M268" s="98"/>
    </row>
    <row r="269" spans="1:13" hidden="1">
      <c r="A269" s="15">
        <v>45627</v>
      </c>
      <c r="B269" s="11">
        <f t="shared" si="2"/>
        <v>2024</v>
      </c>
      <c r="C269" s="11">
        <f t="shared" si="3"/>
        <v>12</v>
      </c>
      <c r="D269" s="11" t="s">
        <v>18</v>
      </c>
      <c r="E269" s="13">
        <v>26467</v>
      </c>
      <c r="F269" s="98">
        <v>3104</v>
      </c>
      <c r="G269" s="13">
        <v>2091</v>
      </c>
      <c r="H269" s="14"/>
      <c r="I269" s="14"/>
      <c r="J269" s="14">
        <v>0.1681</v>
      </c>
      <c r="M269" s="98"/>
    </row>
    <row r="270" spans="1:13" hidden="1">
      <c r="A270" s="15">
        <v>45627</v>
      </c>
      <c r="B270" s="11">
        <f t="shared" si="2"/>
        <v>2024</v>
      </c>
      <c r="C270" s="11">
        <f t="shared" si="3"/>
        <v>12</v>
      </c>
      <c r="D270" s="11" t="s">
        <v>19</v>
      </c>
      <c r="E270" s="13">
        <v>30386</v>
      </c>
      <c r="F270" s="98">
        <v>1773</v>
      </c>
      <c r="G270" s="13">
        <v>1099</v>
      </c>
      <c r="H270" s="14"/>
      <c r="I270" s="14"/>
      <c r="J270" s="14">
        <v>-9.1800000000000007E-2</v>
      </c>
      <c r="M270" s="98"/>
    </row>
    <row r="271" spans="1:13" hidden="1">
      <c r="A271" s="15">
        <v>45627</v>
      </c>
      <c r="B271" s="11">
        <f t="shared" si="2"/>
        <v>2024</v>
      </c>
      <c r="C271" s="11">
        <f t="shared" si="3"/>
        <v>12</v>
      </c>
      <c r="D271" s="11" t="s">
        <v>20</v>
      </c>
      <c r="E271" s="13">
        <v>16092</v>
      </c>
      <c r="F271" s="98">
        <v>1847</v>
      </c>
      <c r="G271" s="13">
        <v>2111</v>
      </c>
      <c r="H271" s="14"/>
      <c r="I271" s="14"/>
      <c r="J271" s="14">
        <v>0.33689999999999998</v>
      </c>
      <c r="M271" s="98"/>
    </row>
    <row r="272" spans="1:13" hidden="1">
      <c r="A272" s="15">
        <v>45627</v>
      </c>
      <c r="B272" s="11">
        <f t="shared" si="2"/>
        <v>2024</v>
      </c>
      <c r="C272" s="11">
        <f t="shared" si="3"/>
        <v>12</v>
      </c>
      <c r="D272" s="11" t="s">
        <v>126</v>
      </c>
      <c r="E272" s="13">
        <v>34782</v>
      </c>
      <c r="F272" s="98">
        <v>1561</v>
      </c>
      <c r="G272" s="13">
        <v>3332</v>
      </c>
      <c r="H272" s="14"/>
      <c r="I272" s="14"/>
      <c r="J272" s="14">
        <v>-0.44290000000000002</v>
      </c>
      <c r="M272" s="98"/>
    </row>
    <row r="273" spans="1:13" hidden="1">
      <c r="A273" s="15">
        <v>45627</v>
      </c>
      <c r="B273" s="11">
        <f t="shared" si="2"/>
        <v>2024</v>
      </c>
      <c r="C273" s="11">
        <f t="shared" si="3"/>
        <v>12</v>
      </c>
      <c r="D273" s="11" t="s">
        <v>22</v>
      </c>
      <c r="E273" s="13">
        <v>15947</v>
      </c>
      <c r="F273" s="98">
        <v>1812</v>
      </c>
      <c r="G273" s="13">
        <v>24311</v>
      </c>
      <c r="H273" s="14"/>
      <c r="I273" s="14"/>
      <c r="J273" s="14">
        <v>3.9699999999999999E-2</v>
      </c>
      <c r="M273" s="98"/>
    </row>
    <row r="274" spans="1:13" hidden="1">
      <c r="A274" s="15">
        <v>45627</v>
      </c>
      <c r="B274" s="11">
        <f t="shared" si="2"/>
        <v>2024</v>
      </c>
      <c r="C274" s="11">
        <f t="shared" si="3"/>
        <v>12</v>
      </c>
      <c r="D274" s="11" t="s">
        <v>23</v>
      </c>
      <c r="E274" s="13">
        <v>20909</v>
      </c>
      <c r="F274" s="98">
        <v>1353</v>
      </c>
      <c r="G274" s="13">
        <v>0</v>
      </c>
      <c r="H274" s="14"/>
      <c r="I274" s="14"/>
      <c r="J274" s="14">
        <v>-0.313</v>
      </c>
      <c r="M274" s="98"/>
    </row>
    <row r="275" spans="1:13" hidden="1">
      <c r="A275" s="15">
        <v>45627</v>
      </c>
      <c r="B275" s="11">
        <f t="shared" si="2"/>
        <v>2024</v>
      </c>
      <c r="C275" s="11">
        <f t="shared" si="3"/>
        <v>12</v>
      </c>
      <c r="D275" s="11" t="s">
        <v>24</v>
      </c>
      <c r="E275" s="11" t="s">
        <v>107</v>
      </c>
      <c r="F275" s="98">
        <v>992</v>
      </c>
      <c r="G275" s="11">
        <v>737</v>
      </c>
      <c r="H275" s="14"/>
      <c r="I275" s="14"/>
      <c r="J275" s="14">
        <v>0</v>
      </c>
      <c r="M275" s="98"/>
    </row>
    <row r="276" spans="1:13" hidden="1">
      <c r="A276" s="15">
        <v>45627</v>
      </c>
      <c r="B276" s="11">
        <f t="shared" si="2"/>
        <v>2024</v>
      </c>
      <c r="C276" s="11">
        <f t="shared" si="3"/>
        <v>12</v>
      </c>
      <c r="D276" s="11" t="s">
        <v>25</v>
      </c>
      <c r="E276" s="13">
        <v>13160</v>
      </c>
      <c r="F276" s="98">
        <v>640</v>
      </c>
      <c r="G276" s="13">
        <v>0</v>
      </c>
      <c r="H276" s="14"/>
      <c r="I276" s="14"/>
      <c r="J276" s="14">
        <v>-0.45850000000000002</v>
      </c>
      <c r="M276" s="98"/>
    </row>
    <row r="277" spans="1:13" hidden="1">
      <c r="A277" s="15">
        <v>45627</v>
      </c>
      <c r="B277" s="11">
        <f t="shared" si="2"/>
        <v>2024</v>
      </c>
      <c r="C277" s="11">
        <f t="shared" si="3"/>
        <v>12</v>
      </c>
      <c r="D277" s="11" t="s">
        <v>26</v>
      </c>
      <c r="E277" s="13">
        <v>9169</v>
      </c>
      <c r="F277" s="98">
        <v>526</v>
      </c>
      <c r="G277" s="13">
        <v>0</v>
      </c>
      <c r="H277" s="14"/>
      <c r="I277" s="14"/>
      <c r="J277" s="14">
        <v>-0.45479999999999998</v>
      </c>
      <c r="M277" s="98"/>
    </row>
    <row r="278" spans="1:13" hidden="1">
      <c r="A278" s="15">
        <v>45627</v>
      </c>
      <c r="B278" s="11">
        <f t="shared" si="2"/>
        <v>2024</v>
      </c>
      <c r="C278" s="11">
        <f t="shared" si="3"/>
        <v>12</v>
      </c>
      <c r="D278" s="11" t="s">
        <v>27</v>
      </c>
      <c r="E278" s="13">
        <v>1034</v>
      </c>
      <c r="F278" s="98">
        <v>0</v>
      </c>
      <c r="G278" s="11">
        <v>0</v>
      </c>
      <c r="H278" s="14"/>
      <c r="I278" s="14"/>
      <c r="J278" s="14">
        <v>1.9981</v>
      </c>
      <c r="M278" s="98"/>
    </row>
    <row r="279" spans="1:13" hidden="1">
      <c r="A279" s="15">
        <v>45627</v>
      </c>
      <c r="B279" s="11">
        <f t="shared" si="2"/>
        <v>2024</v>
      </c>
      <c r="C279" s="11">
        <f t="shared" si="3"/>
        <v>12</v>
      </c>
      <c r="D279" s="11" t="s">
        <v>28</v>
      </c>
      <c r="E279" s="11" t="s">
        <v>107</v>
      </c>
      <c r="F279" s="98">
        <v>306</v>
      </c>
      <c r="G279" s="11">
        <v>173</v>
      </c>
      <c r="H279" s="14"/>
      <c r="I279" s="14"/>
      <c r="J279" s="14">
        <v>0</v>
      </c>
      <c r="M279" s="98"/>
    </row>
    <row r="280" spans="1:13" hidden="1">
      <c r="A280" s="15">
        <v>45627</v>
      </c>
      <c r="B280" s="11">
        <f t="shared" si="2"/>
        <v>2024</v>
      </c>
      <c r="C280" s="11">
        <f t="shared" si="3"/>
        <v>12</v>
      </c>
      <c r="D280" s="11" t="s">
        <v>29</v>
      </c>
      <c r="E280" s="13">
        <v>2258</v>
      </c>
      <c r="F280" s="98">
        <v>0</v>
      </c>
      <c r="G280" s="13">
        <v>0</v>
      </c>
      <c r="H280" s="14"/>
      <c r="I280" s="14"/>
      <c r="J280" s="14">
        <v>-0.96899999999999997</v>
      </c>
      <c r="M280" s="98"/>
    </row>
    <row r="281" spans="1:13">
      <c r="A281" s="12">
        <v>45658</v>
      </c>
      <c r="B281" s="11">
        <f t="shared" si="2"/>
        <v>2025</v>
      </c>
      <c r="C281" s="11">
        <f t="shared" si="3"/>
        <v>1</v>
      </c>
      <c r="D281" s="11" t="s">
        <v>7</v>
      </c>
      <c r="E281" s="13"/>
      <c r="F281" s="98"/>
      <c r="G281" s="14"/>
      <c r="H281" s="13">
        <v>24830</v>
      </c>
      <c r="I281" s="14"/>
      <c r="J281" s="14">
        <v>0.34499999999999997</v>
      </c>
      <c r="M281" s="98"/>
    </row>
    <row r="282" spans="1:13" hidden="1">
      <c r="A282" s="12">
        <v>45658</v>
      </c>
      <c r="B282" s="11">
        <f t="shared" si="2"/>
        <v>2025</v>
      </c>
      <c r="C282" s="11">
        <f t="shared" si="3"/>
        <v>1</v>
      </c>
      <c r="D282" s="11" t="s">
        <v>8</v>
      </c>
      <c r="E282" s="13"/>
      <c r="F282" s="98"/>
      <c r="G282" s="14"/>
      <c r="H282" s="13">
        <v>14121</v>
      </c>
      <c r="I282" s="14"/>
      <c r="J282" s="14">
        <v>0.22090000000000001</v>
      </c>
      <c r="M282" s="98"/>
    </row>
    <row r="283" spans="1:13" hidden="1">
      <c r="A283" s="12">
        <v>45658</v>
      </c>
      <c r="B283" s="11">
        <f t="shared" si="2"/>
        <v>2025</v>
      </c>
      <c r="C283" s="11">
        <f t="shared" si="3"/>
        <v>1</v>
      </c>
      <c r="D283" s="11" t="s">
        <v>10</v>
      </c>
      <c r="E283" s="13"/>
      <c r="F283" s="98"/>
      <c r="G283" s="14"/>
      <c r="H283" s="13">
        <v>7862</v>
      </c>
      <c r="I283" s="14"/>
      <c r="J283" s="14">
        <v>0.43109999999999998</v>
      </c>
      <c r="M283" s="98"/>
    </row>
    <row r="284" spans="1:13" hidden="1">
      <c r="A284" s="12">
        <v>45658</v>
      </c>
      <c r="B284" s="11">
        <f t="shared" si="2"/>
        <v>2025</v>
      </c>
      <c r="C284" s="11">
        <f t="shared" si="3"/>
        <v>1</v>
      </c>
      <c r="D284" s="11" t="s">
        <v>11</v>
      </c>
      <c r="E284" s="13"/>
      <c r="F284" s="98"/>
      <c r="G284" s="14"/>
      <c r="H284" s="13">
        <v>2198</v>
      </c>
      <c r="I284" s="14"/>
      <c r="J284" s="14">
        <v>0.18579999999999999</v>
      </c>
      <c r="M284" s="98"/>
    </row>
    <row r="285" spans="1:13" hidden="1">
      <c r="A285" s="12">
        <v>45658</v>
      </c>
      <c r="B285" s="11">
        <f t="shared" si="2"/>
        <v>2025</v>
      </c>
      <c r="C285" s="11">
        <f t="shared" si="3"/>
        <v>1</v>
      </c>
      <c r="D285" s="11" t="s">
        <v>9</v>
      </c>
      <c r="E285" s="13"/>
      <c r="F285" s="98"/>
      <c r="G285" s="14"/>
      <c r="H285" s="13">
        <v>13403</v>
      </c>
      <c r="I285" s="14"/>
      <c r="J285" s="14">
        <v>-3.1800000000000002E-2</v>
      </c>
      <c r="M285" s="98"/>
    </row>
    <row r="286" spans="1:13" hidden="1">
      <c r="A286" s="12">
        <v>45658</v>
      </c>
      <c r="B286" s="11">
        <f t="shared" si="2"/>
        <v>2025</v>
      </c>
      <c r="C286" s="11">
        <f t="shared" si="3"/>
        <v>1</v>
      </c>
      <c r="D286" s="11" t="s">
        <v>12</v>
      </c>
      <c r="E286" s="13"/>
      <c r="F286" s="98"/>
      <c r="G286" s="14"/>
      <c r="H286" s="13">
        <v>6100</v>
      </c>
      <c r="I286" s="14"/>
      <c r="J286" s="14">
        <v>0.1905</v>
      </c>
      <c r="M286" s="98"/>
    </row>
    <row r="287" spans="1:13" hidden="1">
      <c r="A287" s="12">
        <v>45658</v>
      </c>
      <c r="B287" s="11">
        <f t="shared" si="2"/>
        <v>2025</v>
      </c>
      <c r="C287" s="11">
        <f t="shared" si="3"/>
        <v>1</v>
      </c>
      <c r="D287" s="11" t="s">
        <v>13</v>
      </c>
      <c r="E287" s="13"/>
      <c r="F287" s="98"/>
      <c r="G287" s="14"/>
      <c r="H287" s="13">
        <v>13059</v>
      </c>
      <c r="I287" s="14"/>
      <c r="J287" s="14">
        <v>-0.1293</v>
      </c>
      <c r="M287" s="98"/>
    </row>
    <row r="288" spans="1:13" hidden="1">
      <c r="A288" s="12">
        <v>45658</v>
      </c>
      <c r="B288" s="11">
        <f t="shared" si="2"/>
        <v>2025</v>
      </c>
      <c r="C288" s="11">
        <f t="shared" si="3"/>
        <v>1</v>
      </c>
      <c r="D288" s="11" t="s">
        <v>14</v>
      </c>
      <c r="E288" s="13"/>
      <c r="F288" s="98"/>
      <c r="G288" s="14"/>
      <c r="H288" s="13">
        <v>2710</v>
      </c>
      <c r="I288" s="14"/>
      <c r="J288" s="14">
        <v>8.3999999999999995E-3</v>
      </c>
      <c r="M288" s="98"/>
    </row>
    <row r="289" spans="1:13" hidden="1">
      <c r="A289" s="12">
        <v>45658</v>
      </c>
      <c r="B289" s="11">
        <f t="shared" si="2"/>
        <v>2025</v>
      </c>
      <c r="C289" s="11">
        <f t="shared" si="3"/>
        <v>1</v>
      </c>
      <c r="D289" s="11" t="s">
        <v>15</v>
      </c>
      <c r="E289" s="13"/>
      <c r="F289" s="98"/>
      <c r="G289" s="14"/>
      <c r="H289" s="13">
        <v>1257</v>
      </c>
      <c r="I289" s="14"/>
      <c r="J289" s="14">
        <v>0.3211</v>
      </c>
      <c r="M289" s="98"/>
    </row>
    <row r="290" spans="1:13" hidden="1">
      <c r="A290" s="12">
        <v>45658</v>
      </c>
      <c r="B290" s="11">
        <f t="shared" si="2"/>
        <v>2025</v>
      </c>
      <c r="C290" s="11">
        <f t="shared" si="3"/>
        <v>1</v>
      </c>
      <c r="D290" s="11" t="s">
        <v>17</v>
      </c>
      <c r="E290" s="13"/>
      <c r="F290" s="98"/>
      <c r="G290" s="14"/>
      <c r="H290" s="13">
        <v>3938</v>
      </c>
      <c r="I290" s="14"/>
      <c r="J290" s="14">
        <v>0.14169999999999999</v>
      </c>
      <c r="M290" s="98"/>
    </row>
    <row r="291" spans="1:13" hidden="1">
      <c r="A291" s="12">
        <v>45658</v>
      </c>
      <c r="B291" s="11">
        <f t="shared" si="2"/>
        <v>2025</v>
      </c>
      <c r="C291" s="11">
        <f t="shared" si="3"/>
        <v>1</v>
      </c>
      <c r="D291" s="11" t="s">
        <v>102</v>
      </c>
      <c r="E291" s="13"/>
      <c r="F291" s="98"/>
      <c r="G291" s="14"/>
      <c r="H291" s="13">
        <v>0</v>
      </c>
      <c r="I291" s="14"/>
      <c r="J291" s="14">
        <v>4.1799999999999997E-2</v>
      </c>
      <c r="M291" s="98"/>
    </row>
    <row r="292" spans="1:13" hidden="1">
      <c r="A292" s="12">
        <v>45658</v>
      </c>
      <c r="B292" s="11">
        <f t="shared" si="2"/>
        <v>2025</v>
      </c>
      <c r="C292" s="11">
        <f t="shared" si="3"/>
        <v>1</v>
      </c>
      <c r="D292" s="11" t="s">
        <v>19</v>
      </c>
      <c r="E292" s="13"/>
      <c r="F292" s="98"/>
      <c r="G292" s="14"/>
      <c r="H292" s="13">
        <v>2189</v>
      </c>
      <c r="I292" s="14"/>
      <c r="J292" s="14">
        <v>0.90100000000000002</v>
      </c>
      <c r="M292" s="98"/>
    </row>
    <row r="293" spans="1:13" hidden="1">
      <c r="A293" s="12">
        <v>45658</v>
      </c>
      <c r="B293" s="11">
        <f t="shared" si="2"/>
        <v>2025</v>
      </c>
      <c r="C293" s="11">
        <f t="shared" si="3"/>
        <v>1</v>
      </c>
      <c r="D293" s="11" t="s">
        <v>18</v>
      </c>
      <c r="E293" s="13"/>
      <c r="F293" s="98"/>
      <c r="G293" s="14"/>
      <c r="H293" s="13">
        <v>2672</v>
      </c>
      <c r="I293" s="14"/>
      <c r="J293" s="14">
        <v>-0.184</v>
      </c>
      <c r="M293" s="98"/>
    </row>
    <row r="294" spans="1:13" hidden="1">
      <c r="A294" s="12">
        <v>45658</v>
      </c>
      <c r="B294" s="11">
        <f t="shared" si="2"/>
        <v>2025</v>
      </c>
      <c r="C294" s="11">
        <f t="shared" si="3"/>
        <v>1</v>
      </c>
      <c r="D294" s="11" t="s">
        <v>20</v>
      </c>
      <c r="E294" s="13"/>
      <c r="F294" s="98"/>
      <c r="G294" s="14"/>
      <c r="H294" s="13">
        <v>1146</v>
      </c>
      <c r="I294" s="14"/>
      <c r="J294" s="14">
        <v>-0.36480000000000001</v>
      </c>
      <c r="M294" s="98"/>
    </row>
    <row r="295" spans="1:13" hidden="1">
      <c r="A295" s="12">
        <v>45658</v>
      </c>
      <c r="B295" s="11">
        <f t="shared" si="2"/>
        <v>2025</v>
      </c>
      <c r="C295" s="11">
        <f t="shared" si="3"/>
        <v>1</v>
      </c>
      <c r="D295" s="11" t="s">
        <v>23</v>
      </c>
      <c r="F295" s="98"/>
      <c r="G295" s="14"/>
      <c r="H295" s="13">
        <v>0</v>
      </c>
      <c r="I295" s="14"/>
      <c r="J295" s="14">
        <v>1.0345</v>
      </c>
      <c r="M295" s="98"/>
    </row>
    <row r="296" spans="1:13" hidden="1">
      <c r="A296" s="12">
        <v>45658</v>
      </c>
      <c r="B296" s="11">
        <f t="shared" si="2"/>
        <v>2025</v>
      </c>
      <c r="C296" s="11">
        <f t="shared" si="3"/>
        <v>1</v>
      </c>
      <c r="D296" s="11" t="s">
        <v>22</v>
      </c>
      <c r="E296" s="13"/>
      <c r="F296" s="98"/>
      <c r="G296" s="14"/>
      <c r="H296" s="13">
        <v>16612</v>
      </c>
      <c r="I296" s="14"/>
      <c r="J296" s="14">
        <v>-4.7E-2</v>
      </c>
      <c r="M296" s="98"/>
    </row>
    <row r="297" spans="1:13" hidden="1">
      <c r="A297" s="12">
        <v>45658</v>
      </c>
      <c r="B297" s="11">
        <f t="shared" si="2"/>
        <v>2025</v>
      </c>
      <c r="C297" s="11">
        <f t="shared" si="3"/>
        <v>1</v>
      </c>
      <c r="D297" s="11" t="s">
        <v>25</v>
      </c>
      <c r="F297" s="98"/>
      <c r="G297" s="14"/>
      <c r="H297" s="13">
        <v>0</v>
      </c>
      <c r="I297" s="14"/>
      <c r="J297" s="14">
        <v>0.32719999999999999</v>
      </c>
      <c r="M297" s="98"/>
    </row>
    <row r="298" spans="1:13" hidden="1">
      <c r="A298" s="12">
        <v>45658</v>
      </c>
      <c r="B298" s="11">
        <f t="shared" si="2"/>
        <v>2025</v>
      </c>
      <c r="C298" s="11">
        <f t="shared" si="3"/>
        <v>1</v>
      </c>
      <c r="D298" s="11" t="s">
        <v>24</v>
      </c>
      <c r="G298" s="14"/>
      <c r="H298" s="13">
        <v>437</v>
      </c>
      <c r="I298" s="14"/>
      <c r="J298" s="14">
        <v>1.1882999999999999</v>
      </c>
      <c r="M298" s="98"/>
    </row>
    <row r="299" spans="1:13" hidden="1">
      <c r="A299" s="12">
        <v>45658</v>
      </c>
      <c r="B299" s="11">
        <f t="shared" si="2"/>
        <v>2025</v>
      </c>
      <c r="C299" s="11">
        <f t="shared" si="3"/>
        <v>1</v>
      </c>
      <c r="D299" s="11" t="s">
        <v>26</v>
      </c>
      <c r="F299" s="98"/>
      <c r="G299" s="14"/>
      <c r="H299" s="13">
        <v>0</v>
      </c>
      <c r="I299" s="14"/>
      <c r="J299" s="14">
        <v>0.53739999999999999</v>
      </c>
      <c r="M299" s="98"/>
    </row>
    <row r="300" spans="1:13" hidden="1">
      <c r="A300" s="12">
        <v>45658</v>
      </c>
      <c r="B300" s="11">
        <f t="shared" si="2"/>
        <v>2025</v>
      </c>
      <c r="C300" s="11">
        <f t="shared" si="3"/>
        <v>1</v>
      </c>
      <c r="D300" s="11" t="s">
        <v>29</v>
      </c>
      <c r="F300" s="98"/>
      <c r="G300" s="14"/>
      <c r="H300" s="13">
        <v>0</v>
      </c>
      <c r="I300" s="14"/>
      <c r="J300" s="14">
        <v>2.1709000000000001</v>
      </c>
      <c r="M300" s="98"/>
    </row>
    <row r="301" spans="1:13" hidden="1">
      <c r="A301" s="12">
        <v>45658</v>
      </c>
      <c r="B301" s="11">
        <f t="shared" si="2"/>
        <v>2025</v>
      </c>
      <c r="C301" s="11">
        <f t="shared" si="3"/>
        <v>1</v>
      </c>
      <c r="D301" s="11" t="s">
        <v>30</v>
      </c>
      <c r="F301" s="98"/>
      <c r="G301" s="14"/>
      <c r="H301" s="13">
        <v>0</v>
      </c>
      <c r="I301" s="14"/>
      <c r="J301" s="14">
        <v>0</v>
      </c>
      <c r="M301" s="98"/>
    </row>
    <row r="302" spans="1:13" hidden="1">
      <c r="A302" s="12">
        <v>45658</v>
      </c>
      <c r="B302" s="11">
        <f t="shared" si="2"/>
        <v>2025</v>
      </c>
      <c r="C302" s="11">
        <f t="shared" si="3"/>
        <v>1</v>
      </c>
      <c r="D302" s="11" t="s">
        <v>27</v>
      </c>
      <c r="G302" s="14"/>
      <c r="H302" s="13">
        <v>0</v>
      </c>
      <c r="I302" s="14"/>
      <c r="J302" s="14">
        <v>0</v>
      </c>
      <c r="M302" s="98"/>
    </row>
    <row r="303" spans="1:13" hidden="1">
      <c r="A303" s="12">
        <v>45658</v>
      </c>
      <c r="B303" s="11">
        <f t="shared" si="2"/>
        <v>2025</v>
      </c>
      <c r="C303" s="11">
        <f t="shared" si="3"/>
        <v>1</v>
      </c>
      <c r="D303" s="11" t="s">
        <v>126</v>
      </c>
      <c r="F303" s="98"/>
      <c r="G303" s="14"/>
      <c r="H303" s="13">
        <v>2498</v>
      </c>
      <c r="I303" s="14"/>
      <c r="J303" s="14">
        <v>0</v>
      </c>
      <c r="M303" s="98"/>
    </row>
    <row r="304" spans="1:13">
      <c r="A304" s="12">
        <v>45689</v>
      </c>
      <c r="B304" s="11">
        <f t="shared" si="2"/>
        <v>2025</v>
      </c>
      <c r="C304" s="11">
        <f t="shared" si="3"/>
        <v>2</v>
      </c>
      <c r="D304" s="11" t="s">
        <v>7</v>
      </c>
      <c r="E304" s="13"/>
      <c r="F304" s="13"/>
      <c r="G304" s="13"/>
      <c r="H304" s="13">
        <v>43125</v>
      </c>
    </row>
    <row r="305" spans="1:8" hidden="1">
      <c r="A305" s="12">
        <v>45689</v>
      </c>
      <c r="B305" s="11">
        <f t="shared" si="2"/>
        <v>2025</v>
      </c>
      <c r="C305" s="11">
        <f t="shared" si="3"/>
        <v>2</v>
      </c>
      <c r="D305" s="11" t="s">
        <v>8</v>
      </c>
      <c r="E305" s="13"/>
      <c r="F305" s="13"/>
      <c r="G305" s="13"/>
      <c r="H305" s="13">
        <v>27834</v>
      </c>
    </row>
    <row r="306" spans="1:8" hidden="1">
      <c r="A306" s="12">
        <v>45689</v>
      </c>
      <c r="B306" s="11">
        <f t="shared" si="2"/>
        <v>2025</v>
      </c>
      <c r="C306" s="11">
        <f t="shared" si="3"/>
        <v>2</v>
      </c>
      <c r="D306" s="11" t="s">
        <v>10</v>
      </c>
      <c r="E306" s="13"/>
      <c r="F306" s="13"/>
      <c r="G306" s="13"/>
      <c r="H306" s="13">
        <v>18609</v>
      </c>
    </row>
    <row r="307" spans="1:8" hidden="1">
      <c r="A307" s="12">
        <v>45689</v>
      </c>
      <c r="B307" s="11">
        <f t="shared" si="2"/>
        <v>2025</v>
      </c>
      <c r="C307" s="11">
        <f t="shared" si="3"/>
        <v>2</v>
      </c>
      <c r="D307" s="11" t="s">
        <v>11</v>
      </c>
      <c r="E307" s="13"/>
      <c r="F307" s="13"/>
      <c r="G307" s="13"/>
      <c r="H307" s="13">
        <v>3915</v>
      </c>
    </row>
    <row r="308" spans="1:8" hidden="1">
      <c r="A308" s="12">
        <v>45689</v>
      </c>
      <c r="B308" s="11">
        <f t="shared" si="2"/>
        <v>2025</v>
      </c>
      <c r="C308" s="11">
        <f t="shared" si="3"/>
        <v>2</v>
      </c>
      <c r="D308" s="11" t="s">
        <v>9</v>
      </c>
      <c r="E308" s="13"/>
      <c r="F308" s="13"/>
      <c r="G308" s="13"/>
      <c r="H308" s="13">
        <v>28755</v>
      </c>
    </row>
    <row r="309" spans="1:8" hidden="1">
      <c r="A309" s="12">
        <v>45689</v>
      </c>
      <c r="B309" s="11">
        <f t="shared" si="2"/>
        <v>2025</v>
      </c>
      <c r="C309" s="11">
        <f t="shared" si="3"/>
        <v>2</v>
      </c>
      <c r="D309" s="11" t="s">
        <v>12</v>
      </c>
      <c r="E309" s="13"/>
      <c r="F309" s="13"/>
      <c r="G309" s="13"/>
      <c r="H309" s="13">
        <v>9396</v>
      </c>
    </row>
    <row r="310" spans="1:8" hidden="1">
      <c r="A310" s="12">
        <v>45689</v>
      </c>
      <c r="B310" s="11">
        <f t="shared" si="2"/>
        <v>2025</v>
      </c>
      <c r="C310" s="11">
        <f t="shared" si="3"/>
        <v>2</v>
      </c>
      <c r="D310" s="11" t="s">
        <v>13</v>
      </c>
      <c r="E310" s="13"/>
      <c r="F310" s="13"/>
      <c r="G310" s="13"/>
      <c r="H310" s="13">
        <v>22448</v>
      </c>
    </row>
    <row r="311" spans="1:8" hidden="1">
      <c r="A311" s="12">
        <v>45689</v>
      </c>
      <c r="B311" s="11">
        <f t="shared" si="2"/>
        <v>2025</v>
      </c>
      <c r="C311" s="11">
        <f t="shared" si="3"/>
        <v>2</v>
      </c>
      <c r="D311" s="11" t="s">
        <v>14</v>
      </c>
      <c r="E311" s="13"/>
      <c r="F311" s="13"/>
      <c r="G311" s="13"/>
      <c r="H311" s="13">
        <v>7122</v>
      </c>
    </row>
    <row r="312" spans="1:8" hidden="1">
      <c r="A312" s="12">
        <v>45689</v>
      </c>
      <c r="B312" s="11">
        <f t="shared" si="2"/>
        <v>2025</v>
      </c>
      <c r="C312" s="11">
        <f t="shared" si="3"/>
        <v>2</v>
      </c>
      <c r="D312" s="11" t="s">
        <v>15</v>
      </c>
      <c r="E312" s="13"/>
      <c r="F312" s="13"/>
      <c r="G312" s="13"/>
      <c r="H312" s="13">
        <v>1257</v>
      </c>
    </row>
    <row r="313" spans="1:8" hidden="1">
      <c r="A313" s="12">
        <v>45689</v>
      </c>
      <c r="B313" s="11">
        <f t="shared" si="2"/>
        <v>2025</v>
      </c>
      <c r="C313" s="11">
        <f t="shared" si="3"/>
        <v>2</v>
      </c>
      <c r="D313" s="11" t="s">
        <v>17</v>
      </c>
      <c r="E313" s="13"/>
      <c r="F313" s="13"/>
      <c r="G313" s="13"/>
      <c r="H313" s="13">
        <v>7272</v>
      </c>
    </row>
    <row r="314" spans="1:8" hidden="1">
      <c r="A314" s="12">
        <v>45689</v>
      </c>
      <c r="B314" s="11">
        <f t="shared" si="2"/>
        <v>2025</v>
      </c>
      <c r="C314" s="11">
        <f t="shared" si="3"/>
        <v>2</v>
      </c>
      <c r="D314" s="11" t="s">
        <v>102</v>
      </c>
      <c r="E314" s="13"/>
      <c r="F314" s="13"/>
      <c r="G314" s="13"/>
      <c r="H314" s="13">
        <v>0</v>
      </c>
    </row>
    <row r="315" spans="1:8" hidden="1">
      <c r="A315" s="12">
        <v>45689</v>
      </c>
      <c r="B315" s="11">
        <f t="shared" si="2"/>
        <v>2025</v>
      </c>
      <c r="C315" s="11">
        <f t="shared" si="3"/>
        <v>2</v>
      </c>
      <c r="D315" s="11" t="s">
        <v>19</v>
      </c>
      <c r="E315" s="13"/>
      <c r="F315" s="13"/>
      <c r="G315" s="13"/>
      <c r="H315" s="13">
        <v>3411</v>
      </c>
    </row>
    <row r="316" spans="1:8" hidden="1">
      <c r="A316" s="12">
        <v>45689</v>
      </c>
      <c r="B316" s="11">
        <f t="shared" si="2"/>
        <v>2025</v>
      </c>
      <c r="C316" s="11">
        <f t="shared" si="3"/>
        <v>2</v>
      </c>
      <c r="D316" s="11" t="s">
        <v>18</v>
      </c>
      <c r="E316" s="13"/>
      <c r="F316" s="13"/>
      <c r="G316" s="13"/>
      <c r="H316" s="13">
        <v>4436</v>
      </c>
    </row>
    <row r="317" spans="1:8" hidden="1">
      <c r="A317" s="12">
        <v>45689</v>
      </c>
      <c r="B317" s="11">
        <f t="shared" si="2"/>
        <v>2025</v>
      </c>
      <c r="C317" s="11">
        <f t="shared" si="3"/>
        <v>2</v>
      </c>
      <c r="D317" s="11" t="s">
        <v>20</v>
      </c>
      <c r="G317" s="13"/>
      <c r="H317" s="13">
        <v>2572</v>
      </c>
    </row>
    <row r="318" spans="1:8" hidden="1">
      <c r="A318" s="12">
        <v>45689</v>
      </c>
      <c r="B318" s="11">
        <f t="shared" si="2"/>
        <v>2025</v>
      </c>
      <c r="C318" s="11">
        <f t="shared" si="3"/>
        <v>2</v>
      </c>
      <c r="D318" s="11" t="s">
        <v>23</v>
      </c>
      <c r="E318" s="13"/>
      <c r="F318" s="13"/>
      <c r="G318" s="13"/>
      <c r="H318" s="13">
        <v>0</v>
      </c>
    </row>
    <row r="319" spans="1:8" hidden="1">
      <c r="A319" s="12">
        <v>45689</v>
      </c>
      <c r="B319" s="11">
        <f t="shared" si="2"/>
        <v>2025</v>
      </c>
      <c r="C319" s="11">
        <f t="shared" si="3"/>
        <v>2</v>
      </c>
      <c r="D319" s="11" t="s">
        <v>22</v>
      </c>
      <c r="E319" s="13"/>
      <c r="F319" s="13"/>
      <c r="G319" s="13"/>
      <c r="H319" s="13">
        <v>46959</v>
      </c>
    </row>
    <row r="320" spans="1:8" hidden="1">
      <c r="A320" s="12">
        <v>45689</v>
      </c>
      <c r="B320" s="11">
        <f t="shared" si="2"/>
        <v>2025</v>
      </c>
      <c r="C320" s="11">
        <f t="shared" si="3"/>
        <v>2</v>
      </c>
      <c r="D320" s="11" t="s">
        <v>25</v>
      </c>
      <c r="E320" s="13"/>
      <c r="F320" s="13"/>
      <c r="G320" s="13"/>
      <c r="H320" s="13">
        <v>0</v>
      </c>
    </row>
    <row r="321" spans="1:8" hidden="1">
      <c r="A321" s="12">
        <v>45689</v>
      </c>
      <c r="B321" s="11">
        <f t="shared" si="2"/>
        <v>2025</v>
      </c>
      <c r="C321" s="11">
        <f t="shared" si="3"/>
        <v>2</v>
      </c>
      <c r="D321" s="11" t="s">
        <v>24</v>
      </c>
      <c r="E321" s="13"/>
      <c r="F321" s="13"/>
      <c r="G321" s="13"/>
      <c r="H321" s="13">
        <v>1610</v>
      </c>
    </row>
    <row r="322" spans="1:8" hidden="1">
      <c r="A322" s="12">
        <v>45689</v>
      </c>
      <c r="B322" s="11">
        <f t="shared" si="2"/>
        <v>2025</v>
      </c>
      <c r="C322" s="11">
        <f t="shared" si="3"/>
        <v>2</v>
      </c>
      <c r="D322" s="11" t="s">
        <v>26</v>
      </c>
      <c r="E322" s="13"/>
      <c r="G322" s="13"/>
      <c r="H322" s="13">
        <v>0</v>
      </c>
    </row>
    <row r="323" spans="1:8" hidden="1">
      <c r="A323" s="12">
        <v>45689</v>
      </c>
      <c r="B323" s="11">
        <f t="shared" si="2"/>
        <v>2025</v>
      </c>
      <c r="C323" s="11">
        <f t="shared" si="3"/>
        <v>2</v>
      </c>
      <c r="D323" s="11" t="s">
        <v>29</v>
      </c>
      <c r="E323" s="13"/>
      <c r="F323" s="13"/>
      <c r="G323" s="13"/>
      <c r="H323" s="13">
        <v>0</v>
      </c>
    </row>
    <row r="324" spans="1:8" hidden="1">
      <c r="A324" s="12">
        <v>45689</v>
      </c>
      <c r="B324" s="11">
        <f t="shared" si="2"/>
        <v>2025</v>
      </c>
      <c r="C324" s="11">
        <f t="shared" si="3"/>
        <v>2</v>
      </c>
      <c r="D324" s="11" t="s">
        <v>30</v>
      </c>
      <c r="H324" s="13">
        <v>0</v>
      </c>
    </row>
    <row r="325" spans="1:8" hidden="1">
      <c r="A325" s="12">
        <v>45689</v>
      </c>
      <c r="B325" s="11">
        <f t="shared" si="2"/>
        <v>2025</v>
      </c>
      <c r="C325" s="11">
        <f t="shared" si="3"/>
        <v>2</v>
      </c>
      <c r="D325" s="11" t="s">
        <v>27</v>
      </c>
      <c r="H325" s="13">
        <v>0</v>
      </c>
    </row>
    <row r="326" spans="1:8" hidden="1">
      <c r="A326" s="12">
        <v>45689</v>
      </c>
      <c r="B326" s="11">
        <f t="shared" si="2"/>
        <v>2025</v>
      </c>
      <c r="C326" s="11">
        <f t="shared" si="3"/>
        <v>2</v>
      </c>
      <c r="D326" s="11" t="s">
        <v>126</v>
      </c>
      <c r="H326" s="13">
        <v>4471</v>
      </c>
    </row>
    <row r="327" spans="1:8">
      <c r="A327" s="12">
        <v>45717</v>
      </c>
      <c r="B327" s="11">
        <f t="shared" si="2"/>
        <v>2025</v>
      </c>
      <c r="C327" s="11">
        <f t="shared" si="3"/>
        <v>3</v>
      </c>
      <c r="D327" s="11" t="s">
        <v>7</v>
      </c>
      <c r="H327" s="13">
        <v>65124</v>
      </c>
    </row>
    <row r="328" spans="1:8" hidden="1">
      <c r="A328" s="12">
        <v>45718</v>
      </c>
      <c r="B328" s="11">
        <f t="shared" si="2"/>
        <v>2025</v>
      </c>
      <c r="C328" s="11">
        <f t="shared" si="3"/>
        <v>3</v>
      </c>
      <c r="D328" s="11" t="s">
        <v>22</v>
      </c>
      <c r="H328" s="13">
        <v>63449</v>
      </c>
    </row>
    <row r="329" spans="1:8" hidden="1">
      <c r="A329" s="12">
        <v>45719</v>
      </c>
      <c r="B329" s="11">
        <f t="shared" si="2"/>
        <v>2025</v>
      </c>
      <c r="C329" s="11">
        <f t="shared" si="3"/>
        <v>3</v>
      </c>
      <c r="D329" s="11" t="s">
        <v>9</v>
      </c>
      <c r="H329" s="13">
        <v>49466</v>
      </c>
    </row>
    <row r="330" spans="1:8" hidden="1">
      <c r="A330" s="12">
        <v>45720</v>
      </c>
      <c r="B330" s="11">
        <f t="shared" si="2"/>
        <v>2025</v>
      </c>
      <c r="C330" s="11">
        <f t="shared" si="3"/>
        <v>3</v>
      </c>
      <c r="D330" s="11" t="s">
        <v>8</v>
      </c>
      <c r="H330" s="13">
        <v>42968</v>
      </c>
    </row>
    <row r="331" spans="1:8" hidden="1">
      <c r="A331" s="12">
        <v>45721</v>
      </c>
      <c r="B331" s="11">
        <f t="shared" si="2"/>
        <v>2025</v>
      </c>
      <c r="C331" s="11">
        <f t="shared" si="3"/>
        <v>3</v>
      </c>
      <c r="D331" s="11" t="s">
        <v>10</v>
      </c>
      <c r="H331" s="13">
        <v>34247</v>
      </c>
    </row>
    <row r="332" spans="1:8" hidden="1">
      <c r="A332" s="12">
        <v>45722</v>
      </c>
      <c r="B332" s="11">
        <f t="shared" si="2"/>
        <v>2025</v>
      </c>
      <c r="C332" s="11">
        <f t="shared" si="3"/>
        <v>3</v>
      </c>
      <c r="D332" s="11" t="s">
        <v>79</v>
      </c>
      <c r="H332" s="13">
        <v>31810</v>
      </c>
    </row>
    <row r="333" spans="1:8" hidden="1">
      <c r="A333" s="12">
        <v>45723</v>
      </c>
      <c r="B333" s="11">
        <f t="shared" si="2"/>
        <v>2025</v>
      </c>
      <c r="C333" s="11">
        <f t="shared" si="3"/>
        <v>3</v>
      </c>
      <c r="D333" s="11" t="s">
        <v>12</v>
      </c>
      <c r="H333" s="13">
        <v>16331</v>
      </c>
    </row>
    <row r="334" spans="1:8" hidden="1">
      <c r="A334" s="12">
        <v>45724</v>
      </c>
      <c r="B334" s="11">
        <f t="shared" si="2"/>
        <v>2025</v>
      </c>
      <c r="C334" s="11">
        <f t="shared" si="3"/>
        <v>3</v>
      </c>
      <c r="D334" s="11" t="s">
        <v>84</v>
      </c>
      <c r="H334" s="13">
        <v>11673</v>
      </c>
    </row>
    <row r="335" spans="1:8" hidden="1">
      <c r="A335" s="12">
        <v>45725</v>
      </c>
      <c r="B335" s="11">
        <f t="shared" si="2"/>
        <v>2025</v>
      </c>
      <c r="C335" s="11">
        <f t="shared" si="3"/>
        <v>3</v>
      </c>
      <c r="D335" s="11" t="s">
        <v>91</v>
      </c>
      <c r="H335" s="13">
        <v>10374</v>
      </c>
    </row>
    <row r="336" spans="1:8" hidden="1">
      <c r="A336" s="12">
        <v>45726</v>
      </c>
      <c r="B336" s="11">
        <f t="shared" si="2"/>
        <v>2025</v>
      </c>
      <c r="C336" s="11">
        <f t="shared" si="3"/>
        <v>3</v>
      </c>
      <c r="D336" s="11" t="s">
        <v>88</v>
      </c>
      <c r="H336" s="13">
        <v>6622</v>
      </c>
    </row>
    <row r="337" spans="1:8" hidden="1">
      <c r="A337" s="12">
        <v>45727</v>
      </c>
      <c r="B337" s="11">
        <f t="shared" si="2"/>
        <v>2025</v>
      </c>
      <c r="C337" s="11">
        <f t="shared" si="3"/>
        <v>3</v>
      </c>
      <c r="D337" s="11" t="s">
        <v>11</v>
      </c>
      <c r="H337" s="13">
        <v>6113</v>
      </c>
    </row>
    <row r="338" spans="1:8" hidden="1">
      <c r="A338" s="12">
        <v>45728</v>
      </c>
      <c r="B338" s="11">
        <f t="shared" si="2"/>
        <v>2025</v>
      </c>
      <c r="C338" s="11">
        <f t="shared" si="3"/>
        <v>3</v>
      </c>
      <c r="D338" s="11" t="s">
        <v>19</v>
      </c>
      <c r="H338" s="13">
        <v>5665</v>
      </c>
    </row>
    <row r="339" spans="1:8" hidden="1">
      <c r="A339" s="12">
        <v>45729</v>
      </c>
      <c r="B339" s="11">
        <f t="shared" si="2"/>
        <v>2025</v>
      </c>
      <c r="C339" s="11">
        <f t="shared" si="3"/>
        <v>3</v>
      </c>
      <c r="D339" s="11" t="s">
        <v>20</v>
      </c>
      <c r="H339" s="13">
        <v>5485</v>
      </c>
    </row>
    <row r="340" spans="1:8" hidden="1">
      <c r="A340" s="12">
        <v>45730</v>
      </c>
      <c r="B340" s="11">
        <f t="shared" si="2"/>
        <v>2025</v>
      </c>
      <c r="C340" s="11">
        <f t="shared" si="3"/>
        <v>3</v>
      </c>
      <c r="D340" s="11" t="s">
        <v>101</v>
      </c>
      <c r="H340" s="13">
        <v>4304</v>
      </c>
    </row>
    <row r="341" spans="1:8" hidden="1">
      <c r="A341" s="12">
        <v>45731</v>
      </c>
      <c r="B341" s="11">
        <f t="shared" si="2"/>
        <v>2025</v>
      </c>
      <c r="C341" s="11">
        <f t="shared" si="3"/>
        <v>3</v>
      </c>
      <c r="D341" s="11" t="s">
        <v>24</v>
      </c>
      <c r="H341" s="13">
        <v>2527</v>
      </c>
    </row>
    <row r="342" spans="1:8" hidden="1">
      <c r="A342" s="12">
        <v>45732</v>
      </c>
      <c r="B342" s="11">
        <f t="shared" si="2"/>
        <v>2025</v>
      </c>
      <c r="C342" s="11">
        <f t="shared" si="3"/>
        <v>3</v>
      </c>
      <c r="D342" s="11" t="s">
        <v>32</v>
      </c>
      <c r="H342" s="13">
        <v>2448</v>
      </c>
    </row>
    <row r="343" spans="1:8" hidden="1">
      <c r="A343" s="12">
        <v>45733</v>
      </c>
      <c r="B343" s="11">
        <f t="shared" si="2"/>
        <v>2025</v>
      </c>
      <c r="C343" s="11">
        <f t="shared" si="3"/>
        <v>3</v>
      </c>
      <c r="D343" s="11" t="s">
        <v>15</v>
      </c>
      <c r="H343" s="13">
        <v>2067</v>
      </c>
    </row>
    <row r="344" spans="1:8" hidden="1">
      <c r="A344" s="12">
        <v>45734</v>
      </c>
      <c r="B344" s="11">
        <f t="shared" si="2"/>
        <v>2025</v>
      </c>
      <c r="C344" s="11">
        <f t="shared" si="3"/>
        <v>3</v>
      </c>
      <c r="D344" s="11" t="s">
        <v>93</v>
      </c>
      <c r="H344" s="11">
        <v>923</v>
      </c>
    </row>
    <row r="345" spans="1:8" hidden="1">
      <c r="A345" s="12">
        <v>45735</v>
      </c>
      <c r="B345" s="11">
        <f t="shared" si="2"/>
        <v>2025</v>
      </c>
      <c r="C345" s="11">
        <f t="shared" si="3"/>
        <v>3</v>
      </c>
      <c r="D345" s="11" t="s">
        <v>28</v>
      </c>
      <c r="H345" s="11">
        <v>496</v>
      </c>
    </row>
    <row r="346" spans="1:8" hidden="1">
      <c r="A346" s="12">
        <v>45736</v>
      </c>
      <c r="B346" s="11">
        <f t="shared" si="2"/>
        <v>2025</v>
      </c>
      <c r="C346" s="11">
        <f t="shared" si="3"/>
        <v>3</v>
      </c>
      <c r="D346" s="11" t="s">
        <v>102</v>
      </c>
      <c r="H346" s="11">
        <v>0</v>
      </c>
    </row>
    <row r="347" spans="1:8" hidden="1">
      <c r="A347" s="12">
        <v>45737</v>
      </c>
      <c r="B347" s="11">
        <f t="shared" si="2"/>
        <v>2025</v>
      </c>
      <c r="C347" s="11">
        <f t="shared" si="3"/>
        <v>3</v>
      </c>
      <c r="D347" s="11" t="s">
        <v>23</v>
      </c>
      <c r="H347" s="11">
        <v>0</v>
      </c>
    </row>
    <row r="348" spans="1:8" hidden="1">
      <c r="A348" s="12">
        <v>45738</v>
      </c>
      <c r="B348" s="11">
        <f t="shared" si="2"/>
        <v>2025</v>
      </c>
      <c r="C348" s="11">
        <f t="shared" si="3"/>
        <v>3</v>
      </c>
      <c r="D348" s="11" t="s">
        <v>104</v>
      </c>
      <c r="H348" s="11">
        <v>0</v>
      </c>
    </row>
    <row r="349" spans="1:8" hidden="1">
      <c r="A349" s="12">
        <v>45739</v>
      </c>
      <c r="B349" s="11">
        <f t="shared" si="2"/>
        <v>2025</v>
      </c>
      <c r="C349" s="11">
        <f t="shared" si="3"/>
        <v>3</v>
      </c>
      <c r="D349" s="11" t="s">
        <v>26</v>
      </c>
      <c r="H349" s="11">
        <v>0</v>
      </c>
    </row>
    <row r="350" spans="1:8" hidden="1">
      <c r="A350" s="12">
        <v>45740</v>
      </c>
      <c r="B350" s="11">
        <f t="shared" si="2"/>
        <v>2025</v>
      </c>
      <c r="C350" s="11">
        <f t="shared" si="3"/>
        <v>3</v>
      </c>
      <c r="D350" s="11" t="s">
        <v>30</v>
      </c>
      <c r="H350" s="11">
        <v>0</v>
      </c>
    </row>
    <row r="351" spans="1:8" hidden="1">
      <c r="A351" s="12">
        <v>45741</v>
      </c>
      <c r="B351" s="11">
        <f t="shared" si="2"/>
        <v>2025</v>
      </c>
      <c r="C351" s="11">
        <f t="shared" si="3"/>
        <v>3</v>
      </c>
      <c r="D351" s="11" t="s">
        <v>105</v>
      </c>
      <c r="H351" s="11">
        <v>0</v>
      </c>
    </row>
    <row r="352" spans="1:8" hidden="1">
      <c r="A352" s="12">
        <v>45742</v>
      </c>
      <c r="B352" s="11">
        <f t="shared" si="2"/>
        <v>2025</v>
      </c>
      <c r="C352" s="11">
        <f t="shared" si="3"/>
        <v>3</v>
      </c>
      <c r="D352" s="11" t="s">
        <v>106</v>
      </c>
      <c r="H352" s="11">
        <v>0</v>
      </c>
    </row>
    <row r="353" spans="1:8">
      <c r="A353" s="12">
        <v>45749</v>
      </c>
      <c r="B353" s="11">
        <f t="shared" si="2"/>
        <v>2025</v>
      </c>
      <c r="C353" s="11">
        <f t="shared" si="3"/>
        <v>4</v>
      </c>
      <c r="D353" s="11" t="s">
        <v>7</v>
      </c>
      <c r="H353" s="13">
        <v>86479</v>
      </c>
    </row>
    <row r="354" spans="1:8" hidden="1">
      <c r="A354" s="12">
        <v>45750</v>
      </c>
      <c r="B354" s="11">
        <f t="shared" si="2"/>
        <v>2025</v>
      </c>
      <c r="C354" s="11">
        <f t="shared" si="3"/>
        <v>4</v>
      </c>
      <c r="D354" s="11" t="s">
        <v>22</v>
      </c>
      <c r="H354" s="13">
        <v>83668</v>
      </c>
    </row>
    <row r="355" spans="1:8" hidden="1">
      <c r="A355" s="12">
        <v>45751</v>
      </c>
      <c r="B355" s="11">
        <f t="shared" si="2"/>
        <v>2025</v>
      </c>
      <c r="C355" s="11">
        <f t="shared" si="3"/>
        <v>4</v>
      </c>
      <c r="D355" s="11" t="s">
        <v>9</v>
      </c>
      <c r="H355" s="13">
        <v>68853</v>
      </c>
    </row>
    <row r="356" spans="1:8" hidden="1">
      <c r="A356" s="12">
        <v>45752</v>
      </c>
      <c r="B356" s="11">
        <f t="shared" si="2"/>
        <v>2025</v>
      </c>
      <c r="C356" s="11">
        <f t="shared" si="3"/>
        <v>4</v>
      </c>
      <c r="D356" s="11" t="s">
        <v>8</v>
      </c>
      <c r="H356" s="13">
        <v>55667</v>
      </c>
    </row>
    <row r="357" spans="1:8" hidden="1">
      <c r="A357" s="12">
        <v>45753</v>
      </c>
      <c r="B357" s="11">
        <f t="shared" si="2"/>
        <v>2025</v>
      </c>
      <c r="C357" s="11">
        <f t="shared" si="3"/>
        <v>4</v>
      </c>
      <c r="D357" s="11" t="s">
        <v>10</v>
      </c>
      <c r="H357" s="13">
        <v>46530</v>
      </c>
    </row>
    <row r="358" spans="1:8" hidden="1">
      <c r="A358" s="12">
        <v>45754</v>
      </c>
      <c r="B358" s="11">
        <f t="shared" si="2"/>
        <v>2025</v>
      </c>
      <c r="C358" s="11">
        <f t="shared" si="3"/>
        <v>4</v>
      </c>
      <c r="D358" s="11" t="s">
        <v>79</v>
      </c>
      <c r="H358" s="13">
        <v>39926</v>
      </c>
    </row>
    <row r="359" spans="1:8" hidden="1">
      <c r="A359" s="12">
        <v>45755</v>
      </c>
      <c r="B359" s="11">
        <f t="shared" si="2"/>
        <v>2025</v>
      </c>
      <c r="C359" s="11">
        <f t="shared" si="3"/>
        <v>4</v>
      </c>
      <c r="D359" s="11" t="s">
        <v>12</v>
      </c>
      <c r="H359" s="13">
        <v>20470</v>
      </c>
    </row>
    <row r="360" spans="1:8" hidden="1">
      <c r="A360" s="12">
        <v>45756</v>
      </c>
      <c r="B360" s="11">
        <f t="shared" si="2"/>
        <v>2025</v>
      </c>
      <c r="C360" s="11">
        <f t="shared" si="3"/>
        <v>4</v>
      </c>
      <c r="D360" s="11" t="s">
        <v>84</v>
      </c>
      <c r="H360" s="13">
        <v>13341</v>
      </c>
    </row>
    <row r="361" spans="1:8" hidden="1">
      <c r="A361" s="12">
        <v>45757</v>
      </c>
      <c r="B361" s="11">
        <f t="shared" si="2"/>
        <v>2025</v>
      </c>
      <c r="C361" s="11">
        <f t="shared" si="3"/>
        <v>4</v>
      </c>
      <c r="D361" s="11" t="s">
        <v>91</v>
      </c>
      <c r="H361" s="13">
        <v>12852</v>
      </c>
    </row>
    <row r="362" spans="1:8" hidden="1">
      <c r="A362" s="12">
        <v>45758</v>
      </c>
      <c r="B362" s="11">
        <f t="shared" si="2"/>
        <v>2025</v>
      </c>
      <c r="C362" s="11">
        <f t="shared" si="3"/>
        <v>4</v>
      </c>
      <c r="D362" s="11" t="s">
        <v>11</v>
      </c>
      <c r="H362" s="13">
        <v>9040</v>
      </c>
    </row>
    <row r="363" spans="1:8" hidden="1">
      <c r="A363" s="12">
        <v>45759</v>
      </c>
      <c r="B363" s="11">
        <f t="shared" si="2"/>
        <v>2025</v>
      </c>
      <c r="C363" s="11">
        <f t="shared" si="3"/>
        <v>4</v>
      </c>
      <c r="D363" s="11" t="s">
        <v>88</v>
      </c>
      <c r="H363" s="13">
        <v>8578</v>
      </c>
    </row>
    <row r="364" spans="1:8" hidden="1">
      <c r="A364" s="12">
        <v>45760</v>
      </c>
      <c r="B364" s="11">
        <f t="shared" si="2"/>
        <v>2025</v>
      </c>
      <c r="C364" s="11">
        <f t="shared" si="3"/>
        <v>4</v>
      </c>
      <c r="D364" s="11" t="s">
        <v>20</v>
      </c>
      <c r="H364" s="13">
        <v>6939</v>
      </c>
    </row>
    <row r="365" spans="1:8" hidden="1">
      <c r="A365" s="12">
        <v>45761</v>
      </c>
      <c r="B365" s="11">
        <f t="shared" si="2"/>
        <v>2025</v>
      </c>
      <c r="C365" s="11">
        <f t="shared" si="3"/>
        <v>4</v>
      </c>
      <c r="D365" s="11" t="s">
        <v>19</v>
      </c>
      <c r="H365" s="13">
        <v>6803</v>
      </c>
    </row>
    <row r="366" spans="1:8" hidden="1">
      <c r="A366" s="12">
        <v>45762</v>
      </c>
      <c r="B366" s="11">
        <f t="shared" si="2"/>
        <v>2025</v>
      </c>
      <c r="C366" s="11">
        <f t="shared" si="3"/>
        <v>4</v>
      </c>
      <c r="D366" s="11" t="s">
        <v>101</v>
      </c>
      <c r="H366" s="13">
        <v>5788</v>
      </c>
    </row>
    <row r="367" spans="1:8" hidden="1">
      <c r="A367" s="12">
        <v>45763</v>
      </c>
      <c r="B367" s="11">
        <f t="shared" si="2"/>
        <v>2025</v>
      </c>
      <c r="C367" s="11">
        <f t="shared" si="3"/>
        <v>4</v>
      </c>
      <c r="D367" s="11" t="s">
        <v>32</v>
      </c>
      <c r="H367" s="13">
        <v>3377</v>
      </c>
    </row>
    <row r="368" spans="1:8" hidden="1">
      <c r="A368" s="12">
        <v>45764</v>
      </c>
      <c r="B368" s="11">
        <f t="shared" si="2"/>
        <v>2025</v>
      </c>
      <c r="C368" s="11">
        <f t="shared" si="3"/>
        <v>4</v>
      </c>
      <c r="D368" s="11" t="s">
        <v>24</v>
      </c>
      <c r="H368" s="13">
        <v>3349</v>
      </c>
    </row>
    <row r="369" spans="1:10" hidden="1">
      <c r="A369" s="12">
        <v>45765</v>
      </c>
      <c r="B369" s="11">
        <f t="shared" si="2"/>
        <v>2025</v>
      </c>
      <c r="C369" s="11">
        <f t="shared" si="3"/>
        <v>4</v>
      </c>
      <c r="D369" s="11" t="s">
        <v>15</v>
      </c>
      <c r="H369" s="13">
        <v>2907</v>
      </c>
    </row>
    <row r="370" spans="1:10" hidden="1">
      <c r="A370" s="12">
        <v>45766</v>
      </c>
      <c r="B370" s="11">
        <f t="shared" si="2"/>
        <v>2025</v>
      </c>
      <c r="C370" s="11">
        <f t="shared" si="3"/>
        <v>4</v>
      </c>
      <c r="D370" s="11" t="s">
        <v>93</v>
      </c>
      <c r="H370" s="13">
        <v>1265</v>
      </c>
    </row>
    <row r="371" spans="1:10" hidden="1">
      <c r="A371" s="12">
        <v>45767</v>
      </c>
      <c r="B371" s="11">
        <f t="shared" si="2"/>
        <v>2025</v>
      </c>
      <c r="C371" s="11">
        <f t="shared" si="3"/>
        <v>4</v>
      </c>
      <c r="D371" s="11" t="s">
        <v>28</v>
      </c>
      <c r="H371" s="11">
        <v>788</v>
      </c>
    </row>
    <row r="372" spans="1:10" hidden="1">
      <c r="A372" s="12">
        <v>45768</v>
      </c>
      <c r="B372" s="11">
        <f t="shared" si="2"/>
        <v>2025</v>
      </c>
      <c r="C372" s="11">
        <f t="shared" si="3"/>
        <v>4</v>
      </c>
      <c r="D372" s="11" t="s">
        <v>102</v>
      </c>
      <c r="H372" s="11">
        <v>0</v>
      </c>
    </row>
    <row r="373" spans="1:10" hidden="1">
      <c r="A373" s="12">
        <v>45769</v>
      </c>
      <c r="B373" s="11">
        <f t="shared" si="2"/>
        <v>2025</v>
      </c>
      <c r="C373" s="11">
        <f t="shared" si="3"/>
        <v>4</v>
      </c>
      <c r="D373" s="11" t="s">
        <v>23</v>
      </c>
      <c r="H373" s="11">
        <v>0</v>
      </c>
    </row>
    <row r="374" spans="1:10" hidden="1">
      <c r="A374" s="12">
        <v>45770</v>
      </c>
      <c r="B374" s="11">
        <f t="shared" si="2"/>
        <v>2025</v>
      </c>
      <c r="C374" s="11">
        <f t="shared" si="3"/>
        <v>4</v>
      </c>
      <c r="D374" s="11" t="s">
        <v>104</v>
      </c>
      <c r="H374" s="11">
        <v>0</v>
      </c>
    </row>
    <row r="375" spans="1:10" hidden="1">
      <c r="A375" s="12">
        <v>45771</v>
      </c>
      <c r="B375" s="11">
        <f t="shared" si="2"/>
        <v>2025</v>
      </c>
      <c r="C375" s="11">
        <f t="shared" si="3"/>
        <v>4</v>
      </c>
      <c r="D375" s="11" t="s">
        <v>26</v>
      </c>
      <c r="H375" s="11">
        <v>0</v>
      </c>
    </row>
    <row r="376" spans="1:10" hidden="1">
      <c r="A376" s="12">
        <v>45772</v>
      </c>
      <c r="B376" s="11">
        <f t="shared" si="2"/>
        <v>2025</v>
      </c>
      <c r="C376" s="11">
        <f t="shared" si="3"/>
        <v>4</v>
      </c>
      <c r="D376" s="11" t="s">
        <v>30</v>
      </c>
      <c r="H376" s="11">
        <v>0</v>
      </c>
    </row>
    <row r="377" spans="1:10" hidden="1">
      <c r="A377" s="12">
        <v>45773</v>
      </c>
      <c r="B377" s="11">
        <f t="shared" si="2"/>
        <v>2025</v>
      </c>
      <c r="C377" s="11">
        <f t="shared" si="3"/>
        <v>4</v>
      </c>
      <c r="D377" s="11" t="s">
        <v>105</v>
      </c>
      <c r="H377" s="11">
        <v>0</v>
      </c>
    </row>
    <row r="378" spans="1:10" hidden="1">
      <c r="A378" s="12">
        <v>45774</v>
      </c>
      <c r="B378" s="11">
        <f t="shared" si="2"/>
        <v>2025</v>
      </c>
      <c r="C378" s="11">
        <f t="shared" si="3"/>
        <v>4</v>
      </c>
      <c r="D378" s="11" t="s">
        <v>106</v>
      </c>
      <c r="H378" s="11">
        <v>0</v>
      </c>
    </row>
    <row r="379" spans="1:10">
      <c r="A379" s="12">
        <v>45781</v>
      </c>
      <c r="B379" s="11">
        <f t="shared" si="2"/>
        <v>2025</v>
      </c>
      <c r="C379" s="11">
        <f t="shared" si="3"/>
        <v>5</v>
      </c>
      <c r="D379" s="11" t="s">
        <v>7</v>
      </c>
      <c r="H379" s="13">
        <v>98500</v>
      </c>
      <c r="I379" s="14"/>
      <c r="J379" s="14"/>
    </row>
    <row r="380" spans="1:10" hidden="1">
      <c r="A380" s="12">
        <v>45782</v>
      </c>
      <c r="B380" s="11">
        <f t="shared" si="2"/>
        <v>2025</v>
      </c>
      <c r="C380" s="11">
        <f t="shared" si="3"/>
        <v>5</v>
      </c>
      <c r="D380" s="11" t="s">
        <v>9</v>
      </c>
      <c r="H380" s="13">
        <v>78261</v>
      </c>
      <c r="I380" s="14"/>
      <c r="J380" s="14"/>
    </row>
    <row r="381" spans="1:10" hidden="1">
      <c r="A381" s="12">
        <v>45783</v>
      </c>
      <c r="B381" s="11">
        <f t="shared" si="2"/>
        <v>2025</v>
      </c>
      <c r="C381" s="11">
        <f t="shared" si="3"/>
        <v>5</v>
      </c>
      <c r="D381" s="11" t="s">
        <v>8</v>
      </c>
      <c r="H381" s="13">
        <v>73170</v>
      </c>
      <c r="I381" s="14"/>
      <c r="J381" s="14"/>
    </row>
    <row r="382" spans="1:10" hidden="1">
      <c r="A382" s="12">
        <v>45784</v>
      </c>
      <c r="B382" s="11">
        <f t="shared" si="2"/>
        <v>2025</v>
      </c>
      <c r="C382" s="11">
        <f t="shared" si="3"/>
        <v>5</v>
      </c>
      <c r="D382" s="11" t="s">
        <v>11</v>
      </c>
      <c r="H382" s="13">
        <v>69801</v>
      </c>
      <c r="I382" s="14"/>
      <c r="J382" s="14"/>
    </row>
    <row r="383" spans="1:10" hidden="1">
      <c r="A383" s="12">
        <v>45785</v>
      </c>
      <c r="B383" s="11">
        <f t="shared" si="2"/>
        <v>2025</v>
      </c>
      <c r="C383" s="11">
        <f t="shared" si="3"/>
        <v>5</v>
      </c>
      <c r="D383" s="11" t="s">
        <v>13</v>
      </c>
      <c r="H383" s="13">
        <v>60170</v>
      </c>
      <c r="I383" s="14"/>
      <c r="J383" s="14"/>
    </row>
    <row r="384" spans="1:10" hidden="1">
      <c r="A384" s="12">
        <v>45786</v>
      </c>
      <c r="B384" s="11">
        <f t="shared" si="2"/>
        <v>2025</v>
      </c>
      <c r="C384" s="11">
        <f t="shared" si="3"/>
        <v>5</v>
      </c>
      <c r="D384" s="11" t="s">
        <v>10</v>
      </c>
      <c r="H384" s="13">
        <v>65811</v>
      </c>
      <c r="I384" s="14"/>
      <c r="J384" s="14"/>
    </row>
    <row r="385" spans="1:10" hidden="1">
      <c r="A385" s="12">
        <v>45787</v>
      </c>
      <c r="B385" s="11">
        <f t="shared" si="2"/>
        <v>2025</v>
      </c>
      <c r="C385" s="11">
        <f t="shared" si="3"/>
        <v>5</v>
      </c>
      <c r="D385" s="11" t="s">
        <v>14</v>
      </c>
      <c r="H385" s="13">
        <v>31814</v>
      </c>
      <c r="I385" s="14"/>
      <c r="J385" s="14"/>
    </row>
    <row r="386" spans="1:10" hidden="1">
      <c r="A386" s="12">
        <v>45788</v>
      </c>
      <c r="B386" s="11">
        <f t="shared" si="2"/>
        <v>2025</v>
      </c>
      <c r="C386" s="11">
        <f t="shared" si="3"/>
        <v>5</v>
      </c>
      <c r="D386" s="11" t="s">
        <v>12</v>
      </c>
      <c r="H386" s="13">
        <v>28131</v>
      </c>
      <c r="I386" s="14"/>
      <c r="J386" s="14"/>
    </row>
    <row r="387" spans="1:10" hidden="1">
      <c r="A387" s="12">
        <v>45789</v>
      </c>
      <c r="B387" s="11">
        <f t="shared" si="2"/>
        <v>2025</v>
      </c>
      <c r="C387" s="11">
        <f t="shared" si="3"/>
        <v>5</v>
      </c>
      <c r="D387" s="11" t="s">
        <v>17</v>
      </c>
      <c r="H387" s="13">
        <v>20785</v>
      </c>
      <c r="I387" s="14"/>
      <c r="J387" s="14"/>
    </row>
    <row r="388" spans="1:10" hidden="1">
      <c r="A388" s="12">
        <v>45790</v>
      </c>
      <c r="B388" s="11">
        <f t="shared" si="2"/>
        <v>2025</v>
      </c>
      <c r="C388" s="11">
        <f t="shared" si="3"/>
        <v>5</v>
      </c>
      <c r="D388" s="11" t="s">
        <v>15</v>
      </c>
      <c r="H388" s="13">
        <v>15792</v>
      </c>
      <c r="I388" s="14"/>
      <c r="J388" s="14"/>
    </row>
    <row r="389" spans="1:10" hidden="1">
      <c r="A389" s="12">
        <v>45791</v>
      </c>
      <c r="B389" s="11">
        <f t="shared" si="2"/>
        <v>2025</v>
      </c>
      <c r="C389" s="11">
        <f t="shared" si="3"/>
        <v>5</v>
      </c>
      <c r="D389" s="11" t="s">
        <v>16</v>
      </c>
      <c r="H389" s="13">
        <v>15109</v>
      </c>
      <c r="I389" s="14"/>
      <c r="J389" s="14"/>
    </row>
    <row r="390" spans="1:10" hidden="1">
      <c r="A390" s="12">
        <v>45792</v>
      </c>
      <c r="B390" s="11">
        <f t="shared" si="2"/>
        <v>2025</v>
      </c>
      <c r="C390" s="11">
        <f t="shared" si="3"/>
        <v>5</v>
      </c>
      <c r="D390" s="11" t="s">
        <v>19</v>
      </c>
      <c r="H390" s="13">
        <v>9488</v>
      </c>
      <c r="I390" s="14"/>
      <c r="J390" s="14"/>
    </row>
    <row r="391" spans="1:10" hidden="1">
      <c r="A391" s="12">
        <v>45793</v>
      </c>
      <c r="B391" s="11">
        <f t="shared" si="2"/>
        <v>2025</v>
      </c>
      <c r="C391" s="11">
        <f t="shared" si="3"/>
        <v>5</v>
      </c>
      <c r="D391" s="11" t="s">
        <v>18</v>
      </c>
      <c r="H391" s="13">
        <v>9578</v>
      </c>
      <c r="I391" s="14"/>
      <c r="J391" s="14"/>
    </row>
    <row r="392" spans="1:10" hidden="1">
      <c r="A392" s="12">
        <v>45794</v>
      </c>
      <c r="B392" s="11">
        <f t="shared" si="2"/>
        <v>2025</v>
      </c>
      <c r="C392" s="11">
        <f t="shared" si="3"/>
        <v>5</v>
      </c>
      <c r="D392" s="11" t="s">
        <v>20</v>
      </c>
      <c r="H392" s="13">
        <v>7437</v>
      </c>
      <c r="I392" s="14"/>
      <c r="J392" s="14"/>
    </row>
    <row r="393" spans="1:10" hidden="1">
      <c r="A393" s="12">
        <v>45795</v>
      </c>
      <c r="B393" s="11">
        <f t="shared" si="2"/>
        <v>2025</v>
      </c>
      <c r="C393" s="11">
        <f t="shared" si="3"/>
        <v>5</v>
      </c>
      <c r="D393" s="11" t="s">
        <v>22</v>
      </c>
      <c r="H393" s="13">
        <v>6828</v>
      </c>
      <c r="I393" s="14"/>
      <c r="J393" s="14"/>
    </row>
    <row r="394" spans="1:10" hidden="1">
      <c r="A394" s="12">
        <v>45796</v>
      </c>
      <c r="B394" s="11">
        <f t="shared" si="2"/>
        <v>2025</v>
      </c>
      <c r="C394" s="11">
        <f t="shared" si="3"/>
        <v>5</v>
      </c>
      <c r="D394" s="11" t="s">
        <v>23</v>
      </c>
      <c r="H394" s="13">
        <v>6126</v>
      </c>
      <c r="I394" s="14"/>
      <c r="J394" s="14"/>
    </row>
    <row r="395" spans="1:10" hidden="1">
      <c r="A395" s="12">
        <v>45797</v>
      </c>
      <c r="B395" s="11">
        <f t="shared" si="2"/>
        <v>2025</v>
      </c>
      <c r="C395" s="11">
        <f t="shared" si="3"/>
        <v>5</v>
      </c>
      <c r="D395" s="11" t="s">
        <v>32</v>
      </c>
      <c r="H395" s="13">
        <v>7186</v>
      </c>
      <c r="I395" s="14"/>
      <c r="J395" s="14"/>
    </row>
    <row r="396" spans="1:10" hidden="1">
      <c r="A396" s="12">
        <v>45798</v>
      </c>
      <c r="B396" s="11">
        <f t="shared" si="2"/>
        <v>2025</v>
      </c>
      <c r="C396" s="11">
        <f t="shared" si="3"/>
        <v>5</v>
      </c>
      <c r="D396" s="11" t="s">
        <v>101</v>
      </c>
      <c r="H396" s="13">
        <v>5171</v>
      </c>
      <c r="I396" s="14"/>
      <c r="J396" s="14"/>
    </row>
    <row r="397" spans="1:10" hidden="1">
      <c r="A397" s="12">
        <v>45799</v>
      </c>
      <c r="B397" s="11">
        <f t="shared" si="2"/>
        <v>2025</v>
      </c>
      <c r="C397" s="11">
        <f t="shared" si="3"/>
        <v>5</v>
      </c>
      <c r="D397" s="11" t="s">
        <v>21</v>
      </c>
      <c r="H397" s="13">
        <v>3846</v>
      </c>
      <c r="I397" s="14"/>
      <c r="J397" s="14"/>
    </row>
    <row r="398" spans="1:10" hidden="1">
      <c r="A398" s="12">
        <v>45800</v>
      </c>
      <c r="B398" s="11">
        <f t="shared" si="2"/>
        <v>2025</v>
      </c>
      <c r="C398" s="11">
        <f t="shared" si="3"/>
        <v>5</v>
      </c>
      <c r="D398" s="11" t="s">
        <v>26</v>
      </c>
      <c r="H398" s="13">
        <v>3453</v>
      </c>
      <c r="I398" s="14"/>
      <c r="J398" s="14"/>
    </row>
    <row r="399" spans="1:10" hidden="1">
      <c r="A399" s="12">
        <v>45801</v>
      </c>
      <c r="B399" s="11">
        <f t="shared" si="2"/>
        <v>2025</v>
      </c>
      <c r="C399" s="11">
        <f t="shared" si="3"/>
        <v>5</v>
      </c>
      <c r="D399" s="11" t="s">
        <v>25</v>
      </c>
      <c r="H399" s="13">
        <v>2422</v>
      </c>
      <c r="I399" s="14"/>
      <c r="J399" s="14"/>
    </row>
    <row r="400" spans="1:10" hidden="1">
      <c r="A400" s="12">
        <v>45802</v>
      </c>
      <c r="B400" s="11">
        <f t="shared" si="2"/>
        <v>2025</v>
      </c>
      <c r="C400" s="11">
        <f t="shared" si="3"/>
        <v>5</v>
      </c>
      <c r="D400" s="11" t="s">
        <v>27</v>
      </c>
      <c r="H400" s="11">
        <v>696</v>
      </c>
      <c r="I400" s="14"/>
      <c r="J400" s="14"/>
    </row>
    <row r="401" spans="1:10" hidden="1">
      <c r="A401" s="12">
        <v>45803</v>
      </c>
      <c r="B401" s="11">
        <f t="shared" si="2"/>
        <v>2025</v>
      </c>
      <c r="C401" s="11">
        <f t="shared" si="3"/>
        <v>5</v>
      </c>
      <c r="D401" s="11" t="s">
        <v>33</v>
      </c>
      <c r="H401" s="11">
        <v>663</v>
      </c>
      <c r="I401" s="14"/>
      <c r="J401" s="14"/>
    </row>
    <row r="402" spans="1:10" hidden="1">
      <c r="A402" s="12">
        <v>45804</v>
      </c>
      <c r="B402" s="11">
        <f t="shared" si="2"/>
        <v>2025</v>
      </c>
      <c r="C402" s="11">
        <f t="shared" si="3"/>
        <v>5</v>
      </c>
      <c r="D402" s="11" t="s">
        <v>29</v>
      </c>
      <c r="H402" s="11">
        <v>0</v>
      </c>
      <c r="I402" s="14"/>
      <c r="J402" s="14"/>
    </row>
    <row r="403" spans="1:10" hidden="1">
      <c r="A403" s="12">
        <v>45805</v>
      </c>
      <c r="B403" s="11">
        <f t="shared" si="2"/>
        <v>2025</v>
      </c>
      <c r="C403" s="11">
        <f t="shared" si="3"/>
        <v>5</v>
      </c>
      <c r="D403" s="11" t="s">
        <v>28</v>
      </c>
      <c r="H403" s="11">
        <v>0</v>
      </c>
      <c r="I403" s="14"/>
      <c r="J403" s="14"/>
    </row>
    <row r="404" spans="1:10" hidden="1">
      <c r="A404" s="12">
        <v>45806</v>
      </c>
      <c r="B404" s="11">
        <f t="shared" si="2"/>
        <v>2025</v>
      </c>
      <c r="C404" s="11">
        <f t="shared" si="3"/>
        <v>5</v>
      </c>
      <c r="D404" s="11" t="s">
        <v>30</v>
      </c>
      <c r="H404" s="11">
        <v>0</v>
      </c>
      <c r="I404" s="14"/>
      <c r="J404" s="14"/>
    </row>
    <row r="405" spans="1:10">
      <c r="A405" s="12">
        <v>45809</v>
      </c>
      <c r="B405" s="11">
        <f t="shared" si="2"/>
        <v>2025</v>
      </c>
      <c r="C405" s="11">
        <f t="shared" si="3"/>
        <v>6</v>
      </c>
      <c r="D405" s="11" t="s">
        <v>7</v>
      </c>
      <c r="H405" s="13">
        <v>119165</v>
      </c>
      <c r="I405" s="14"/>
      <c r="J405" s="14"/>
    </row>
    <row r="406" spans="1:10" hidden="1">
      <c r="A406" s="12">
        <v>45809</v>
      </c>
      <c r="B406" s="11">
        <f t="shared" si="2"/>
        <v>2025</v>
      </c>
      <c r="C406" s="11">
        <f t="shared" si="3"/>
        <v>6</v>
      </c>
      <c r="D406" s="11" t="s">
        <v>9</v>
      </c>
      <c r="H406" s="13">
        <v>95879</v>
      </c>
      <c r="I406" s="14"/>
      <c r="J406" s="14"/>
    </row>
    <row r="407" spans="1:10" hidden="1">
      <c r="A407" s="12">
        <v>45809</v>
      </c>
      <c r="B407" s="11">
        <f t="shared" si="2"/>
        <v>2025</v>
      </c>
      <c r="C407" s="11">
        <f t="shared" si="3"/>
        <v>6</v>
      </c>
      <c r="D407" s="11" t="s">
        <v>8</v>
      </c>
      <c r="H407" s="13">
        <v>85261</v>
      </c>
      <c r="I407" s="14"/>
      <c r="J407" s="14"/>
    </row>
    <row r="408" spans="1:10" hidden="1">
      <c r="A408" s="12">
        <v>45809</v>
      </c>
      <c r="B408" s="11">
        <f t="shared" si="2"/>
        <v>2025</v>
      </c>
      <c r="C408" s="11">
        <f t="shared" si="3"/>
        <v>6</v>
      </c>
      <c r="D408" s="11" t="s">
        <v>11</v>
      </c>
      <c r="H408" s="13">
        <v>83035</v>
      </c>
      <c r="I408" s="14"/>
      <c r="J408" s="14"/>
    </row>
    <row r="409" spans="1:10" hidden="1">
      <c r="A409" s="12">
        <v>45809</v>
      </c>
      <c r="B409" s="11">
        <f t="shared" si="2"/>
        <v>2025</v>
      </c>
      <c r="C409" s="11">
        <f t="shared" si="3"/>
        <v>6</v>
      </c>
      <c r="D409" s="11" t="s">
        <v>13</v>
      </c>
      <c r="H409" s="13">
        <v>71899</v>
      </c>
      <c r="I409" s="14"/>
      <c r="J409" s="14"/>
    </row>
    <row r="410" spans="1:10" hidden="1">
      <c r="A410" s="12">
        <v>45809</v>
      </c>
      <c r="B410" s="11">
        <f t="shared" si="2"/>
        <v>2025</v>
      </c>
      <c r="C410" s="11">
        <f t="shared" si="3"/>
        <v>6</v>
      </c>
      <c r="D410" s="11" t="s">
        <v>10</v>
      </c>
      <c r="H410" s="13">
        <v>82279</v>
      </c>
      <c r="I410" s="14"/>
      <c r="J410" s="14"/>
    </row>
    <row r="411" spans="1:10" hidden="1">
      <c r="A411" s="12">
        <v>45809</v>
      </c>
      <c r="B411" s="11">
        <f t="shared" si="2"/>
        <v>2025</v>
      </c>
      <c r="C411" s="11">
        <f t="shared" si="3"/>
        <v>6</v>
      </c>
      <c r="D411" s="11" t="s">
        <v>14</v>
      </c>
      <c r="H411" s="13">
        <v>38056</v>
      </c>
      <c r="I411" s="14"/>
      <c r="J411" s="14"/>
    </row>
    <row r="412" spans="1:10" hidden="1">
      <c r="A412" s="12">
        <v>45809</v>
      </c>
      <c r="B412" s="11">
        <f t="shared" si="2"/>
        <v>2025</v>
      </c>
      <c r="C412" s="11">
        <f t="shared" si="3"/>
        <v>6</v>
      </c>
      <c r="D412" s="11" t="s">
        <v>12</v>
      </c>
      <c r="H412" s="13">
        <v>33664</v>
      </c>
      <c r="I412" s="14"/>
      <c r="J412" s="14"/>
    </row>
    <row r="413" spans="1:10" hidden="1">
      <c r="A413" s="12">
        <v>45809</v>
      </c>
      <c r="B413" s="11">
        <f t="shared" si="2"/>
        <v>2025</v>
      </c>
      <c r="C413" s="11">
        <f t="shared" si="3"/>
        <v>6</v>
      </c>
      <c r="D413" s="11" t="s">
        <v>17</v>
      </c>
      <c r="H413" s="13">
        <v>25339</v>
      </c>
      <c r="I413" s="14"/>
      <c r="J413" s="14"/>
    </row>
    <row r="414" spans="1:10" hidden="1">
      <c r="A414" s="12">
        <v>45809</v>
      </c>
      <c r="B414" s="11">
        <f t="shared" si="2"/>
        <v>2025</v>
      </c>
      <c r="C414" s="11">
        <f t="shared" si="3"/>
        <v>6</v>
      </c>
      <c r="D414" s="11" t="s">
        <v>15</v>
      </c>
      <c r="H414" s="13">
        <v>18116</v>
      </c>
      <c r="I414" s="14"/>
      <c r="J414" s="14"/>
    </row>
    <row r="415" spans="1:10" hidden="1">
      <c r="A415" s="12">
        <v>45809</v>
      </c>
      <c r="B415" s="11">
        <f t="shared" si="2"/>
        <v>2025</v>
      </c>
      <c r="C415" s="11">
        <f t="shared" si="3"/>
        <v>6</v>
      </c>
      <c r="D415" s="11" t="s">
        <v>16</v>
      </c>
      <c r="H415" s="13">
        <v>17978</v>
      </c>
      <c r="I415" s="14"/>
      <c r="J415" s="14"/>
    </row>
    <row r="416" spans="1:10" hidden="1">
      <c r="A416" s="12">
        <v>45809</v>
      </c>
      <c r="B416" s="11">
        <f t="shared" si="2"/>
        <v>2025</v>
      </c>
      <c r="C416" s="11">
        <f t="shared" si="3"/>
        <v>6</v>
      </c>
      <c r="D416" s="11" t="s">
        <v>19</v>
      </c>
      <c r="H416" s="13">
        <v>11015</v>
      </c>
      <c r="I416" s="14"/>
      <c r="J416" s="14"/>
    </row>
    <row r="417" spans="1:10" hidden="1">
      <c r="A417" s="12">
        <v>45809</v>
      </c>
      <c r="B417" s="11">
        <f t="shared" si="2"/>
        <v>2025</v>
      </c>
      <c r="C417" s="11">
        <f t="shared" si="3"/>
        <v>6</v>
      </c>
      <c r="D417" s="11" t="s">
        <v>18</v>
      </c>
      <c r="H417" s="13">
        <v>11229</v>
      </c>
      <c r="I417" s="14"/>
      <c r="J417" s="14"/>
    </row>
    <row r="418" spans="1:10" hidden="1">
      <c r="A418" s="12">
        <v>45809</v>
      </c>
      <c r="B418" s="11">
        <f t="shared" si="2"/>
        <v>2025</v>
      </c>
      <c r="C418" s="11">
        <f t="shared" si="3"/>
        <v>6</v>
      </c>
      <c r="D418" s="11" t="s">
        <v>20</v>
      </c>
      <c r="H418" s="13">
        <v>8323</v>
      </c>
      <c r="I418" s="14"/>
      <c r="J418" s="14"/>
    </row>
    <row r="419" spans="1:10" hidden="1">
      <c r="A419" s="12">
        <v>45809</v>
      </c>
      <c r="B419" s="11">
        <f t="shared" si="2"/>
        <v>2025</v>
      </c>
      <c r="C419" s="11">
        <f t="shared" si="3"/>
        <v>6</v>
      </c>
      <c r="D419" s="11" t="s">
        <v>22</v>
      </c>
      <c r="H419" s="13">
        <v>8150</v>
      </c>
      <c r="I419" s="14"/>
      <c r="J419" s="14"/>
    </row>
    <row r="420" spans="1:10" hidden="1">
      <c r="A420" s="12">
        <v>45809</v>
      </c>
      <c r="B420" s="11">
        <f t="shared" si="2"/>
        <v>2025</v>
      </c>
      <c r="C420" s="11">
        <f t="shared" si="3"/>
        <v>6</v>
      </c>
      <c r="D420" s="11" t="s">
        <v>23</v>
      </c>
      <c r="H420" s="13">
        <v>7332</v>
      </c>
      <c r="I420" s="14"/>
      <c r="J420" s="14"/>
    </row>
    <row r="421" spans="1:10" hidden="1">
      <c r="A421" s="12">
        <v>45809</v>
      </c>
      <c r="B421" s="11">
        <f t="shared" si="2"/>
        <v>2025</v>
      </c>
      <c r="C421" s="11">
        <f t="shared" si="3"/>
        <v>6</v>
      </c>
      <c r="D421" s="11" t="s">
        <v>32</v>
      </c>
      <c r="H421" s="13">
        <v>8758</v>
      </c>
      <c r="I421" s="14"/>
      <c r="J421" s="14"/>
    </row>
    <row r="422" spans="1:10" hidden="1">
      <c r="A422" s="12">
        <v>45809</v>
      </c>
      <c r="B422" s="11">
        <f t="shared" si="2"/>
        <v>2025</v>
      </c>
      <c r="C422" s="11">
        <f t="shared" si="3"/>
        <v>6</v>
      </c>
      <c r="D422" s="11" t="s">
        <v>101</v>
      </c>
      <c r="H422" s="13">
        <v>6402</v>
      </c>
      <c r="I422" s="14"/>
      <c r="J422" s="14"/>
    </row>
    <row r="423" spans="1:10" hidden="1">
      <c r="A423" s="12">
        <v>45810</v>
      </c>
      <c r="B423" s="11">
        <f t="shared" si="2"/>
        <v>2025</v>
      </c>
      <c r="C423" s="11">
        <f t="shared" si="3"/>
        <v>6</v>
      </c>
      <c r="D423" s="11" t="s">
        <v>21</v>
      </c>
      <c r="H423" s="13">
        <v>4873</v>
      </c>
      <c r="I423" s="14"/>
      <c r="J423" s="14"/>
    </row>
    <row r="424" spans="1:10" hidden="1">
      <c r="A424" s="12">
        <v>45811</v>
      </c>
      <c r="B424" s="11">
        <f t="shared" si="2"/>
        <v>2025</v>
      </c>
      <c r="C424" s="11">
        <f t="shared" si="3"/>
        <v>6</v>
      </c>
      <c r="D424" s="11" t="s">
        <v>26</v>
      </c>
      <c r="H424" s="13">
        <v>4258</v>
      </c>
      <c r="I424" s="14"/>
      <c r="J424" s="14"/>
    </row>
    <row r="425" spans="1:10" hidden="1">
      <c r="A425" s="12">
        <v>45812</v>
      </c>
      <c r="B425" s="11">
        <f t="shared" si="2"/>
        <v>2025</v>
      </c>
      <c r="C425" s="11">
        <f t="shared" si="3"/>
        <v>6</v>
      </c>
      <c r="D425" s="11" t="s">
        <v>25</v>
      </c>
      <c r="H425" s="13">
        <v>3015</v>
      </c>
      <c r="I425" s="14"/>
      <c r="J425" s="14"/>
    </row>
    <row r="426" spans="1:10" hidden="1">
      <c r="A426" s="12">
        <v>45813</v>
      </c>
      <c r="B426" s="11">
        <f t="shared" si="2"/>
        <v>2025</v>
      </c>
      <c r="C426" s="11">
        <f t="shared" si="3"/>
        <v>6</v>
      </c>
      <c r="D426" s="11" t="s">
        <v>27</v>
      </c>
      <c r="H426" s="11">
        <v>962</v>
      </c>
      <c r="I426" s="14"/>
      <c r="J426" s="14"/>
    </row>
    <row r="427" spans="1:10" hidden="1">
      <c r="A427" s="12">
        <v>45814</v>
      </c>
      <c r="B427" s="11">
        <f t="shared" si="2"/>
        <v>2025</v>
      </c>
      <c r="C427" s="11">
        <f t="shared" si="3"/>
        <v>6</v>
      </c>
      <c r="D427" s="11" t="s">
        <v>33</v>
      </c>
      <c r="H427" s="11">
        <v>958</v>
      </c>
      <c r="I427" s="14"/>
      <c r="J427" s="14"/>
    </row>
    <row r="428" spans="1:10" hidden="1">
      <c r="A428" s="12">
        <v>45815</v>
      </c>
      <c r="B428" s="11">
        <f t="shared" si="2"/>
        <v>2025</v>
      </c>
      <c r="C428" s="11">
        <f t="shared" si="3"/>
        <v>6</v>
      </c>
      <c r="D428" s="11" t="s">
        <v>29</v>
      </c>
      <c r="H428" s="11">
        <v>0</v>
      </c>
      <c r="I428" s="14"/>
      <c r="J428" s="14"/>
    </row>
    <row r="429" spans="1:10" hidden="1">
      <c r="A429" s="12">
        <v>45816</v>
      </c>
      <c r="B429" s="11">
        <f t="shared" si="2"/>
        <v>2025</v>
      </c>
      <c r="C429" s="11">
        <f t="shared" si="3"/>
        <v>6</v>
      </c>
      <c r="D429" s="11" t="s">
        <v>28</v>
      </c>
      <c r="H429" s="11">
        <v>0</v>
      </c>
      <c r="I429" s="14"/>
      <c r="J429" s="14"/>
    </row>
    <row r="430" spans="1:10" hidden="1">
      <c r="A430" s="12">
        <v>45817</v>
      </c>
      <c r="B430" s="11">
        <f t="shared" si="2"/>
        <v>2025</v>
      </c>
      <c r="C430" s="11">
        <f t="shared" si="3"/>
        <v>6</v>
      </c>
      <c r="D430" s="11" t="s">
        <v>30</v>
      </c>
      <c r="H430" s="11">
        <v>0</v>
      </c>
      <c r="I430" s="14"/>
      <c r="J430" s="14"/>
    </row>
    <row r="431" spans="1:10" hidden="1">
      <c r="A431" s="12">
        <v>45839</v>
      </c>
      <c r="B431" s="11">
        <f t="shared" si="2"/>
        <v>2025</v>
      </c>
      <c r="C431" s="11">
        <f t="shared" si="3"/>
        <v>7</v>
      </c>
      <c r="D431" s="11" t="s">
        <v>14</v>
      </c>
      <c r="H431" s="101">
        <v>28403</v>
      </c>
    </row>
    <row r="432" spans="1:10" hidden="1">
      <c r="A432" s="12">
        <v>45839</v>
      </c>
      <c r="B432" s="11">
        <f t="shared" si="2"/>
        <v>2025</v>
      </c>
      <c r="C432" s="11">
        <f t="shared" si="3"/>
        <v>7</v>
      </c>
      <c r="D432" s="11" t="s">
        <v>15</v>
      </c>
      <c r="H432" s="101">
        <v>6304</v>
      </c>
    </row>
    <row r="433" spans="1:8" hidden="1">
      <c r="A433" s="12">
        <v>45839</v>
      </c>
      <c r="B433" s="11">
        <f t="shared" si="2"/>
        <v>2025</v>
      </c>
      <c r="C433" s="11">
        <f t="shared" si="3"/>
        <v>7</v>
      </c>
      <c r="D433" s="11" t="s">
        <v>17</v>
      </c>
      <c r="H433" s="101">
        <v>28252</v>
      </c>
    </row>
    <row r="434" spans="1:8" hidden="1">
      <c r="A434" s="12">
        <v>45839</v>
      </c>
      <c r="B434" s="11">
        <f t="shared" si="2"/>
        <v>2025</v>
      </c>
      <c r="C434" s="11">
        <f t="shared" si="3"/>
        <v>7</v>
      </c>
      <c r="D434" s="11" t="s">
        <v>16</v>
      </c>
      <c r="H434" s="11">
        <v>0</v>
      </c>
    </row>
    <row r="435" spans="1:8" hidden="1">
      <c r="A435" s="12">
        <v>45839</v>
      </c>
      <c r="B435" s="11">
        <f t="shared" si="2"/>
        <v>2025</v>
      </c>
      <c r="C435" s="11">
        <f t="shared" si="3"/>
        <v>7</v>
      </c>
      <c r="D435" s="11" t="s">
        <v>19</v>
      </c>
      <c r="H435" s="101">
        <v>9223</v>
      </c>
    </row>
    <row r="436" spans="1:8" hidden="1">
      <c r="A436" s="12">
        <v>45839</v>
      </c>
      <c r="B436" s="11">
        <f t="shared" si="2"/>
        <v>2025</v>
      </c>
      <c r="C436" s="11">
        <f t="shared" si="3"/>
        <v>7</v>
      </c>
      <c r="D436" s="11" t="s">
        <v>18</v>
      </c>
      <c r="H436" s="101">
        <v>13362</v>
      </c>
    </row>
    <row r="437" spans="1:8" hidden="1">
      <c r="A437" s="12">
        <v>45839</v>
      </c>
      <c r="B437" s="11">
        <f t="shared" si="2"/>
        <v>2025</v>
      </c>
      <c r="C437" s="11">
        <f t="shared" si="3"/>
        <v>7</v>
      </c>
      <c r="D437" s="11" t="s">
        <v>126</v>
      </c>
      <c r="H437" s="101">
        <v>613902</v>
      </c>
    </row>
    <row r="438" spans="1:8" hidden="1">
      <c r="A438" s="12">
        <v>45839</v>
      </c>
      <c r="B438" s="11">
        <f t="shared" si="2"/>
        <v>2025</v>
      </c>
      <c r="C438" s="11">
        <f t="shared" si="3"/>
        <v>7</v>
      </c>
      <c r="D438" s="11" t="s">
        <v>20</v>
      </c>
      <c r="H438" s="101">
        <v>10818</v>
      </c>
    </row>
    <row r="439" spans="1:8" hidden="1">
      <c r="A439" s="12">
        <v>45839</v>
      </c>
      <c r="B439" s="11">
        <f t="shared" si="2"/>
        <v>2025</v>
      </c>
      <c r="C439" s="11">
        <f t="shared" si="3"/>
        <v>7</v>
      </c>
      <c r="D439" s="11" t="s">
        <v>22</v>
      </c>
      <c r="H439" s="101">
        <v>147788</v>
      </c>
    </row>
    <row r="440" spans="1:8" hidden="1">
      <c r="A440" s="12">
        <v>45839</v>
      </c>
      <c r="B440" s="11">
        <f t="shared" si="2"/>
        <v>2025</v>
      </c>
      <c r="C440" s="11">
        <f t="shared" si="3"/>
        <v>7</v>
      </c>
      <c r="D440" s="11" t="s">
        <v>23</v>
      </c>
      <c r="H440" s="101">
        <v>4109</v>
      </c>
    </row>
    <row r="441" spans="1:8" hidden="1">
      <c r="A441" s="12">
        <v>45839</v>
      </c>
      <c r="B441" s="11">
        <f t="shared" si="2"/>
        <v>2025</v>
      </c>
      <c r="C441" s="11">
        <f t="shared" si="3"/>
        <v>7</v>
      </c>
      <c r="D441" s="11" t="s">
        <v>24</v>
      </c>
      <c r="H441" s="101">
        <v>6010</v>
      </c>
    </row>
    <row r="442" spans="1:8" hidden="1">
      <c r="A442" s="12">
        <v>45839</v>
      </c>
      <c r="B442" s="11">
        <f t="shared" si="2"/>
        <v>2025</v>
      </c>
      <c r="C442" s="11">
        <f t="shared" si="3"/>
        <v>7</v>
      </c>
      <c r="D442" s="11" t="s">
        <v>25</v>
      </c>
      <c r="H442" s="11">
        <v>0</v>
      </c>
    </row>
    <row r="443" spans="1:8" hidden="1">
      <c r="A443" s="12">
        <v>45839</v>
      </c>
      <c r="B443" s="11">
        <f t="shared" si="2"/>
        <v>2025</v>
      </c>
      <c r="C443" s="11">
        <f t="shared" si="3"/>
        <v>7</v>
      </c>
      <c r="D443" s="11" t="s">
        <v>26</v>
      </c>
      <c r="H443" s="101">
        <v>1055</v>
      </c>
    </row>
    <row r="444" spans="1:8" hidden="1">
      <c r="A444" s="12">
        <v>45839</v>
      </c>
      <c r="B444" s="11">
        <f t="shared" si="2"/>
        <v>2025</v>
      </c>
      <c r="C444" s="11">
        <f t="shared" si="3"/>
        <v>7</v>
      </c>
      <c r="D444" s="11" t="s">
        <v>27</v>
      </c>
      <c r="H444" s="101">
        <v>0</v>
      </c>
    </row>
    <row r="445" spans="1:8" hidden="1">
      <c r="A445" s="12">
        <v>45839</v>
      </c>
      <c r="B445" s="11">
        <f t="shared" si="2"/>
        <v>2025</v>
      </c>
      <c r="C445" s="11">
        <f t="shared" si="3"/>
        <v>7</v>
      </c>
      <c r="D445" s="11" t="s">
        <v>29</v>
      </c>
      <c r="H445" s="11">
        <v>0</v>
      </c>
    </row>
    <row r="446" spans="1:8" hidden="1">
      <c r="A446" s="12">
        <v>45839</v>
      </c>
      <c r="B446" s="11">
        <f t="shared" si="2"/>
        <v>2025</v>
      </c>
      <c r="C446" s="11">
        <f t="shared" si="3"/>
        <v>7</v>
      </c>
      <c r="D446" s="11" t="s">
        <v>30</v>
      </c>
      <c r="H446" s="11">
        <v>0</v>
      </c>
    </row>
    <row r="447" spans="1:8">
      <c r="A447" s="12">
        <v>45870</v>
      </c>
      <c r="B447" s="11">
        <f t="shared" si="2"/>
        <v>2025</v>
      </c>
      <c r="C447" s="11">
        <f t="shared" si="3"/>
        <v>8</v>
      </c>
      <c r="D447" s="11" t="s">
        <v>7</v>
      </c>
      <c r="H447" s="101">
        <v>175722</v>
      </c>
    </row>
    <row r="448" spans="1:8" hidden="1">
      <c r="A448" s="12">
        <v>45870</v>
      </c>
      <c r="B448" s="11">
        <f t="shared" si="2"/>
        <v>2025</v>
      </c>
      <c r="C448" s="11">
        <f t="shared" si="3"/>
        <v>8</v>
      </c>
      <c r="D448" s="11" t="s">
        <v>8</v>
      </c>
      <c r="H448" s="101">
        <v>118712</v>
      </c>
    </row>
    <row r="449" spans="1:8" hidden="1">
      <c r="A449" s="12">
        <v>45870</v>
      </c>
      <c r="B449" s="11">
        <f t="shared" si="2"/>
        <v>2025</v>
      </c>
      <c r="C449" s="11">
        <f t="shared" si="3"/>
        <v>8</v>
      </c>
      <c r="D449" s="11" t="s">
        <v>9</v>
      </c>
      <c r="H449" s="101">
        <v>146874</v>
      </c>
    </row>
    <row r="450" spans="1:8" hidden="1">
      <c r="A450" s="12">
        <v>45870</v>
      </c>
      <c r="B450" s="11">
        <f t="shared" si="2"/>
        <v>2025</v>
      </c>
      <c r="C450" s="11">
        <f t="shared" si="3"/>
        <v>8</v>
      </c>
      <c r="D450" s="11" t="s">
        <v>10</v>
      </c>
      <c r="H450" s="101">
        <v>93584</v>
      </c>
    </row>
    <row r="451" spans="1:8" hidden="1">
      <c r="A451" s="12">
        <v>45870</v>
      </c>
      <c r="B451" s="11">
        <f t="shared" si="2"/>
        <v>2025</v>
      </c>
      <c r="C451" s="11">
        <f t="shared" si="3"/>
        <v>8</v>
      </c>
      <c r="D451" s="11" t="s">
        <v>11</v>
      </c>
      <c r="H451" s="101">
        <v>20448</v>
      </c>
    </row>
    <row r="452" spans="1:8" hidden="1">
      <c r="A452" s="12">
        <v>45870</v>
      </c>
      <c r="B452" s="11">
        <f t="shared" si="2"/>
        <v>2025</v>
      </c>
      <c r="C452" s="11">
        <f t="shared" si="3"/>
        <v>8</v>
      </c>
      <c r="D452" s="11" t="s">
        <v>12</v>
      </c>
      <c r="H452" s="101">
        <v>41015</v>
      </c>
    </row>
    <row r="453" spans="1:8" hidden="1">
      <c r="A453" s="12">
        <v>45870</v>
      </c>
      <c r="B453" s="11">
        <f t="shared" si="2"/>
        <v>2025</v>
      </c>
      <c r="C453" s="11">
        <f t="shared" si="3"/>
        <v>8</v>
      </c>
      <c r="D453" s="11" t="s">
        <v>13</v>
      </c>
      <c r="H453" s="101">
        <v>71988</v>
      </c>
    </row>
    <row r="454" spans="1:8" hidden="1">
      <c r="A454" s="12">
        <v>45870</v>
      </c>
      <c r="B454" s="11">
        <f t="shared" si="2"/>
        <v>2025</v>
      </c>
      <c r="C454" s="11">
        <f t="shared" si="3"/>
        <v>8</v>
      </c>
      <c r="D454" s="11" t="s">
        <v>14</v>
      </c>
      <c r="H454" s="101">
        <v>35929</v>
      </c>
    </row>
    <row r="455" spans="1:8" hidden="1">
      <c r="A455" s="12">
        <v>45870</v>
      </c>
      <c r="B455" s="11">
        <f t="shared" si="2"/>
        <v>2025</v>
      </c>
      <c r="C455" s="11">
        <f t="shared" si="3"/>
        <v>8</v>
      </c>
      <c r="D455" s="11" t="s">
        <v>15</v>
      </c>
      <c r="H455" s="101">
        <v>7278</v>
      </c>
    </row>
    <row r="456" spans="1:8" hidden="1">
      <c r="A456" s="12">
        <v>45870</v>
      </c>
      <c r="B456" s="11">
        <f t="shared" si="2"/>
        <v>2025</v>
      </c>
      <c r="C456" s="11">
        <f t="shared" si="3"/>
        <v>8</v>
      </c>
      <c r="D456" s="11" t="s">
        <v>17</v>
      </c>
      <c r="H456" s="101">
        <v>32300</v>
      </c>
    </row>
    <row r="457" spans="1:8" hidden="1">
      <c r="A457" s="12">
        <v>45870</v>
      </c>
      <c r="B457" s="11">
        <f t="shared" si="2"/>
        <v>2025</v>
      </c>
      <c r="C457" s="11">
        <f t="shared" si="3"/>
        <v>8</v>
      </c>
      <c r="D457" s="11" t="s">
        <v>16</v>
      </c>
      <c r="H457" s="11">
        <v>0</v>
      </c>
    </row>
    <row r="458" spans="1:8" hidden="1">
      <c r="A458" s="12">
        <v>45870</v>
      </c>
      <c r="B458" s="11">
        <f t="shared" si="2"/>
        <v>2025</v>
      </c>
      <c r="C458" s="11">
        <f t="shared" si="3"/>
        <v>8</v>
      </c>
      <c r="D458" s="11" t="s">
        <v>19</v>
      </c>
      <c r="H458" s="101">
        <v>10341</v>
      </c>
    </row>
    <row r="459" spans="1:8" hidden="1">
      <c r="A459" s="12">
        <v>45870</v>
      </c>
      <c r="B459" s="11">
        <f t="shared" si="2"/>
        <v>2025</v>
      </c>
      <c r="C459" s="11">
        <f t="shared" si="3"/>
        <v>8</v>
      </c>
      <c r="D459" s="11" t="s">
        <v>18</v>
      </c>
      <c r="H459" s="101">
        <v>15193</v>
      </c>
    </row>
    <row r="460" spans="1:8" hidden="1">
      <c r="A460" s="12">
        <v>45870</v>
      </c>
      <c r="B460" s="11">
        <f t="shared" si="2"/>
        <v>2025</v>
      </c>
      <c r="C460" s="11">
        <f t="shared" si="3"/>
        <v>8</v>
      </c>
      <c r="D460" s="11" t="s">
        <v>126</v>
      </c>
      <c r="H460" s="101">
        <v>959929</v>
      </c>
    </row>
    <row r="461" spans="1:8" hidden="1">
      <c r="A461" s="12">
        <v>45870</v>
      </c>
      <c r="B461" s="11">
        <f t="shared" si="2"/>
        <v>2025</v>
      </c>
      <c r="C461" s="11">
        <f t="shared" si="3"/>
        <v>8</v>
      </c>
      <c r="D461" s="11" t="s">
        <v>20</v>
      </c>
      <c r="H461" s="101">
        <v>12265</v>
      </c>
    </row>
    <row r="462" spans="1:8" hidden="1">
      <c r="A462" s="12">
        <v>45870</v>
      </c>
      <c r="B462" s="11">
        <f t="shared" si="2"/>
        <v>2025</v>
      </c>
      <c r="C462" s="11">
        <f t="shared" si="3"/>
        <v>8</v>
      </c>
      <c r="D462" s="11" t="s">
        <v>22</v>
      </c>
      <c r="H462" s="101">
        <v>166221</v>
      </c>
    </row>
    <row r="463" spans="1:8" hidden="1">
      <c r="A463" s="12">
        <v>45870</v>
      </c>
      <c r="B463" s="11">
        <f t="shared" si="2"/>
        <v>2025</v>
      </c>
      <c r="C463" s="11">
        <f t="shared" si="3"/>
        <v>8</v>
      </c>
      <c r="D463" s="11" t="s">
        <v>23</v>
      </c>
      <c r="H463" s="101">
        <v>6056</v>
      </c>
    </row>
    <row r="464" spans="1:8" hidden="1">
      <c r="A464" s="12">
        <v>45870</v>
      </c>
      <c r="B464" s="11">
        <f t="shared" si="2"/>
        <v>2025</v>
      </c>
      <c r="C464" s="11">
        <f t="shared" si="3"/>
        <v>8</v>
      </c>
      <c r="D464" s="11" t="s">
        <v>24</v>
      </c>
      <c r="H464" s="101">
        <v>6657</v>
      </c>
    </row>
    <row r="465" spans="1:8" hidden="1">
      <c r="A465" s="12">
        <v>45870</v>
      </c>
      <c r="B465" s="11">
        <f t="shared" si="2"/>
        <v>2025</v>
      </c>
      <c r="C465" s="11">
        <f t="shared" si="3"/>
        <v>8</v>
      </c>
      <c r="D465" s="11" t="s">
        <v>25</v>
      </c>
      <c r="H465" s="101">
        <v>1590</v>
      </c>
    </row>
    <row r="466" spans="1:8" hidden="1">
      <c r="A466" s="12">
        <v>45870</v>
      </c>
      <c r="B466" s="11">
        <f t="shared" si="2"/>
        <v>2025</v>
      </c>
      <c r="C466" s="11">
        <f t="shared" si="3"/>
        <v>8</v>
      </c>
      <c r="D466" s="11" t="s">
        <v>26</v>
      </c>
      <c r="H466" s="101">
        <v>1055</v>
      </c>
    </row>
    <row r="467" spans="1:8" hidden="1">
      <c r="A467" s="12">
        <v>45870</v>
      </c>
      <c r="B467" s="11">
        <f t="shared" si="2"/>
        <v>2025</v>
      </c>
      <c r="C467" s="11">
        <f t="shared" si="3"/>
        <v>8</v>
      </c>
      <c r="D467" s="11" t="s">
        <v>27</v>
      </c>
      <c r="H467" s="11">
        <v>0</v>
      </c>
    </row>
    <row r="468" spans="1:8" hidden="1">
      <c r="A468" s="12">
        <v>45870</v>
      </c>
      <c r="B468" s="11">
        <f t="shared" si="2"/>
        <v>2025</v>
      </c>
      <c r="C468" s="11">
        <f t="shared" si="3"/>
        <v>8</v>
      </c>
      <c r="D468" s="11" t="s">
        <v>28</v>
      </c>
      <c r="H468" s="101">
        <v>2757</v>
      </c>
    </row>
    <row r="469" spans="1:8" hidden="1">
      <c r="A469" s="12">
        <v>45870</v>
      </c>
      <c r="B469" s="11">
        <f t="shared" si="2"/>
        <v>2025</v>
      </c>
      <c r="C469" s="11">
        <f t="shared" si="3"/>
        <v>8</v>
      </c>
      <c r="D469" s="11" t="s">
        <v>29</v>
      </c>
      <c r="H469" s="11">
        <v>0</v>
      </c>
    </row>
    <row r="470" spans="1:8">
      <c r="A470" s="12">
        <v>45901</v>
      </c>
      <c r="B470" s="11">
        <f t="shared" si="2"/>
        <v>2025</v>
      </c>
      <c r="C470" s="11">
        <f t="shared" si="3"/>
        <v>9</v>
      </c>
      <c r="D470" s="11" t="s">
        <v>7</v>
      </c>
      <c r="H470" s="11">
        <v>192255</v>
      </c>
    </row>
    <row r="471" spans="1:8" hidden="1">
      <c r="A471" s="12">
        <v>45901</v>
      </c>
      <c r="B471" s="11">
        <f t="shared" si="2"/>
        <v>2025</v>
      </c>
      <c r="C471" s="11">
        <f t="shared" si="3"/>
        <v>9</v>
      </c>
      <c r="D471" s="11" t="s">
        <v>8</v>
      </c>
      <c r="H471" s="11">
        <v>132377</v>
      </c>
    </row>
    <row r="472" spans="1:8" hidden="1">
      <c r="A472" s="12">
        <v>45901</v>
      </c>
      <c r="B472" s="11">
        <f t="shared" si="2"/>
        <v>2025</v>
      </c>
      <c r="C472" s="11">
        <f t="shared" si="3"/>
        <v>9</v>
      </c>
      <c r="D472" s="11" t="s">
        <v>9</v>
      </c>
      <c r="H472" s="11">
        <v>168954</v>
      </c>
    </row>
    <row r="473" spans="1:8" hidden="1">
      <c r="A473" s="12">
        <v>45901</v>
      </c>
      <c r="B473" s="11">
        <f t="shared" si="2"/>
        <v>2025</v>
      </c>
      <c r="C473" s="11">
        <f t="shared" si="3"/>
        <v>9</v>
      </c>
      <c r="D473" s="11" t="s">
        <v>10</v>
      </c>
      <c r="H473" s="11">
        <v>105144</v>
      </c>
    </row>
    <row r="474" spans="1:8" hidden="1">
      <c r="A474" s="12">
        <v>45901</v>
      </c>
      <c r="B474" s="11">
        <f t="shared" si="2"/>
        <v>2025</v>
      </c>
      <c r="C474" s="11">
        <f t="shared" si="3"/>
        <v>9</v>
      </c>
      <c r="D474" s="11" t="s">
        <v>11</v>
      </c>
      <c r="H474" s="11">
        <v>23077</v>
      </c>
    </row>
    <row r="475" spans="1:8" hidden="1">
      <c r="A475" s="12">
        <v>45901</v>
      </c>
      <c r="B475" s="11">
        <f t="shared" si="2"/>
        <v>2025</v>
      </c>
      <c r="C475" s="11">
        <f t="shared" si="3"/>
        <v>9</v>
      </c>
      <c r="D475" s="11" t="s">
        <v>12</v>
      </c>
      <c r="H475" s="11">
        <v>45695</v>
      </c>
    </row>
    <row r="476" spans="1:8" hidden="1">
      <c r="A476" s="12">
        <v>45901</v>
      </c>
      <c r="B476" s="11">
        <f t="shared" si="2"/>
        <v>2025</v>
      </c>
      <c r="C476" s="11">
        <f t="shared" si="3"/>
        <v>9</v>
      </c>
      <c r="D476" s="11" t="s">
        <v>13</v>
      </c>
      <c r="H476" s="11">
        <v>81077</v>
      </c>
    </row>
    <row r="477" spans="1:8" hidden="1">
      <c r="A477" s="12">
        <v>45901</v>
      </c>
      <c r="B477" s="11">
        <f t="shared" si="2"/>
        <v>2025</v>
      </c>
      <c r="C477" s="11">
        <f t="shared" si="3"/>
        <v>9</v>
      </c>
      <c r="D477" s="11" t="s">
        <v>14</v>
      </c>
      <c r="H477" s="11">
        <v>43695</v>
      </c>
    </row>
    <row r="478" spans="1:8" hidden="1">
      <c r="A478" s="12">
        <v>45901</v>
      </c>
      <c r="B478" s="11">
        <f t="shared" si="2"/>
        <v>2025</v>
      </c>
      <c r="C478" s="11">
        <f t="shared" si="3"/>
        <v>9</v>
      </c>
      <c r="D478" s="11" t="s">
        <v>15</v>
      </c>
      <c r="H478" s="11">
        <v>7278</v>
      </c>
    </row>
    <row r="479" spans="1:8" hidden="1">
      <c r="A479" s="12">
        <v>45901</v>
      </c>
      <c r="B479" s="11">
        <f t="shared" si="2"/>
        <v>2025</v>
      </c>
      <c r="C479" s="11">
        <f t="shared" si="3"/>
        <v>9</v>
      </c>
      <c r="D479" s="11" t="s">
        <v>17</v>
      </c>
      <c r="H479" s="11">
        <v>36517</v>
      </c>
    </row>
    <row r="480" spans="1:8" hidden="1">
      <c r="A480" s="12">
        <v>45901</v>
      </c>
      <c r="B480" s="11">
        <f t="shared" si="2"/>
        <v>2025</v>
      </c>
      <c r="C480" s="11">
        <f t="shared" si="3"/>
        <v>9</v>
      </c>
      <c r="D480" s="11" t="s">
        <v>16</v>
      </c>
      <c r="H480" s="11">
        <v>0</v>
      </c>
    </row>
    <row r="481" spans="1:8" hidden="1">
      <c r="A481" s="12">
        <v>45901</v>
      </c>
      <c r="B481" s="11">
        <f t="shared" si="2"/>
        <v>2025</v>
      </c>
      <c r="C481" s="11">
        <f t="shared" si="3"/>
        <v>9</v>
      </c>
      <c r="D481" s="11" t="s">
        <v>19</v>
      </c>
      <c r="H481" s="11">
        <v>11521</v>
      </c>
    </row>
    <row r="482" spans="1:8" hidden="1">
      <c r="A482" s="12">
        <v>45901</v>
      </c>
      <c r="B482" s="11">
        <f t="shared" si="2"/>
        <v>2025</v>
      </c>
      <c r="C482" s="11">
        <f t="shared" si="3"/>
        <v>9</v>
      </c>
      <c r="D482" s="11" t="s">
        <v>18</v>
      </c>
      <c r="H482" s="11">
        <v>17166</v>
      </c>
    </row>
    <row r="483" spans="1:8" hidden="1">
      <c r="A483" s="12">
        <v>45901</v>
      </c>
      <c r="B483" s="11">
        <f t="shared" si="2"/>
        <v>2025</v>
      </c>
      <c r="C483" s="11">
        <f t="shared" si="3"/>
        <v>9</v>
      </c>
      <c r="D483" s="11" t="s">
        <v>126</v>
      </c>
      <c r="H483" s="11">
        <v>0</v>
      </c>
    </row>
    <row r="484" spans="1:8" hidden="1">
      <c r="A484" s="12">
        <v>45901</v>
      </c>
      <c r="B484" s="11">
        <f t="shared" si="2"/>
        <v>2025</v>
      </c>
      <c r="C484" s="11">
        <f t="shared" si="3"/>
        <v>9</v>
      </c>
      <c r="D484" s="11" t="s">
        <v>20</v>
      </c>
      <c r="H484" s="11">
        <v>15252</v>
      </c>
    </row>
    <row r="485" spans="1:8" hidden="1">
      <c r="A485" s="12">
        <v>45901</v>
      </c>
      <c r="B485" s="11">
        <f t="shared" si="2"/>
        <v>2025</v>
      </c>
      <c r="C485" s="11">
        <f t="shared" si="3"/>
        <v>9</v>
      </c>
      <c r="D485" s="11" t="s">
        <v>22</v>
      </c>
      <c r="H485" s="11">
        <v>182147</v>
      </c>
    </row>
    <row r="486" spans="1:8" hidden="1">
      <c r="A486" s="12">
        <v>45901</v>
      </c>
      <c r="B486" s="11">
        <f t="shared" si="2"/>
        <v>2025</v>
      </c>
      <c r="C486" s="11">
        <f t="shared" si="3"/>
        <v>9</v>
      </c>
      <c r="D486" s="11" t="s">
        <v>23</v>
      </c>
      <c r="H486" s="11">
        <v>10744</v>
      </c>
    </row>
    <row r="487" spans="1:8" hidden="1">
      <c r="A487" s="12">
        <v>45901</v>
      </c>
      <c r="B487" s="11">
        <f t="shared" si="2"/>
        <v>2025</v>
      </c>
      <c r="C487" s="11">
        <f t="shared" si="3"/>
        <v>9</v>
      </c>
      <c r="D487" s="11" t="s">
        <v>24</v>
      </c>
      <c r="H487" s="11">
        <v>8383</v>
      </c>
    </row>
    <row r="488" spans="1:8" hidden="1">
      <c r="A488" s="12">
        <v>45901</v>
      </c>
      <c r="B488" s="11">
        <f t="shared" si="2"/>
        <v>2025</v>
      </c>
      <c r="C488" s="11">
        <f t="shared" si="3"/>
        <v>9</v>
      </c>
      <c r="D488" s="11" t="s">
        <v>25</v>
      </c>
      <c r="H488" s="11">
        <v>3204</v>
      </c>
    </row>
    <row r="489" spans="1:8" hidden="1">
      <c r="A489" s="12">
        <v>45901</v>
      </c>
      <c r="B489" s="11">
        <f t="shared" si="2"/>
        <v>2025</v>
      </c>
      <c r="C489" s="11">
        <f t="shared" si="3"/>
        <v>9</v>
      </c>
      <c r="D489" s="11" t="s">
        <v>26</v>
      </c>
      <c r="H489" s="11">
        <v>3804</v>
      </c>
    </row>
    <row r="490" spans="1:8" hidden="1">
      <c r="A490" s="12">
        <v>45901</v>
      </c>
      <c r="B490" s="11">
        <f t="shared" si="2"/>
        <v>2025</v>
      </c>
      <c r="C490" s="11">
        <f t="shared" si="3"/>
        <v>9</v>
      </c>
      <c r="D490" s="11" t="s">
        <v>27</v>
      </c>
      <c r="H490" s="11">
        <v>0</v>
      </c>
    </row>
    <row r="491" spans="1:8" hidden="1">
      <c r="A491" s="12">
        <v>45901</v>
      </c>
      <c r="B491" s="11">
        <f t="shared" si="2"/>
        <v>2025</v>
      </c>
      <c r="C491" s="11">
        <f t="shared" si="3"/>
        <v>9</v>
      </c>
      <c r="D491" s="11" t="s">
        <v>28</v>
      </c>
      <c r="H491" s="11">
        <v>3152</v>
      </c>
    </row>
    <row r="492" spans="1:8" hidden="1">
      <c r="A492" s="12">
        <v>45901</v>
      </c>
      <c r="B492" s="11">
        <f t="shared" si="2"/>
        <v>2025</v>
      </c>
      <c r="C492" s="11">
        <f t="shared" si="3"/>
        <v>9</v>
      </c>
      <c r="D492" s="11" t="s">
        <v>29</v>
      </c>
      <c r="H492" s="11">
        <v>0</v>
      </c>
    </row>
    <row r="493" spans="1:8">
      <c r="A493" s="15">
        <v>45931</v>
      </c>
      <c r="B493" s="11">
        <f t="shared" si="2"/>
        <v>2025</v>
      </c>
      <c r="C493" s="11">
        <f t="shared" si="3"/>
        <v>10</v>
      </c>
      <c r="D493" s="11" t="s">
        <v>7</v>
      </c>
      <c r="H493" s="11">
        <v>201281</v>
      </c>
    </row>
    <row r="494" spans="1:8" hidden="1">
      <c r="A494" s="15">
        <v>45931</v>
      </c>
      <c r="B494" s="11">
        <f t="shared" si="2"/>
        <v>2025</v>
      </c>
      <c r="C494" s="11">
        <f t="shared" si="3"/>
        <v>10</v>
      </c>
      <c r="D494" s="11" t="s">
        <v>8</v>
      </c>
      <c r="H494" s="11">
        <v>149275</v>
      </c>
    </row>
    <row r="495" spans="1:8" hidden="1">
      <c r="A495" s="15">
        <v>45931</v>
      </c>
      <c r="B495" s="11">
        <f t="shared" si="2"/>
        <v>2025</v>
      </c>
      <c r="C495" s="11">
        <f t="shared" si="3"/>
        <v>10</v>
      </c>
      <c r="D495" s="11" t="s">
        <v>9</v>
      </c>
      <c r="H495" s="11">
        <v>169291</v>
      </c>
    </row>
    <row r="496" spans="1:8" hidden="1">
      <c r="A496" s="15">
        <v>45931</v>
      </c>
      <c r="B496" s="11">
        <f t="shared" si="2"/>
        <v>2025</v>
      </c>
      <c r="C496" s="11">
        <f t="shared" si="3"/>
        <v>10</v>
      </c>
      <c r="D496" s="11" t="s">
        <v>10</v>
      </c>
      <c r="H496" s="11">
        <v>144630</v>
      </c>
    </row>
    <row r="497" spans="1:8" hidden="1">
      <c r="A497" s="15">
        <v>45931</v>
      </c>
      <c r="B497" s="11">
        <f t="shared" si="2"/>
        <v>2025</v>
      </c>
      <c r="C497" s="11">
        <f t="shared" si="3"/>
        <v>10</v>
      </c>
      <c r="D497" s="11" t="s">
        <v>11</v>
      </c>
      <c r="H497" s="11">
        <v>144325</v>
      </c>
    </row>
    <row r="498" spans="1:8" hidden="1">
      <c r="A498" s="15">
        <v>45931</v>
      </c>
      <c r="B498" s="11">
        <f t="shared" si="2"/>
        <v>2025</v>
      </c>
      <c r="C498" s="11">
        <f t="shared" si="3"/>
        <v>10</v>
      </c>
      <c r="D498" s="11" t="s">
        <v>12</v>
      </c>
      <c r="H498" s="11">
        <v>49305</v>
      </c>
    </row>
    <row r="499" spans="1:8" hidden="1">
      <c r="A499" s="15">
        <v>45931</v>
      </c>
      <c r="B499" s="11">
        <f t="shared" si="2"/>
        <v>2025</v>
      </c>
      <c r="C499" s="11">
        <f t="shared" si="3"/>
        <v>10</v>
      </c>
      <c r="D499" s="11" t="s">
        <v>13</v>
      </c>
      <c r="H499" s="11">
        <v>107188</v>
      </c>
    </row>
    <row r="500" spans="1:8" hidden="1">
      <c r="A500" s="15">
        <v>45931</v>
      </c>
      <c r="B500" s="11">
        <f t="shared" si="2"/>
        <v>2025</v>
      </c>
      <c r="C500" s="11">
        <f t="shared" si="3"/>
        <v>10</v>
      </c>
      <c r="D500" s="11" t="s">
        <v>14</v>
      </c>
      <c r="H500" s="11">
        <v>66343</v>
      </c>
    </row>
    <row r="501" spans="1:8" hidden="1">
      <c r="A501" s="15">
        <v>45931</v>
      </c>
      <c r="B501" s="11">
        <f t="shared" si="2"/>
        <v>2025</v>
      </c>
      <c r="C501" s="11">
        <f t="shared" si="3"/>
        <v>10</v>
      </c>
      <c r="D501" s="11" t="s">
        <v>15</v>
      </c>
      <c r="H501" s="11">
        <v>28464</v>
      </c>
    </row>
    <row r="502" spans="1:8" hidden="1">
      <c r="A502" s="15">
        <v>45931</v>
      </c>
      <c r="B502" s="11">
        <f t="shared" si="2"/>
        <v>2025</v>
      </c>
      <c r="C502" s="11">
        <f t="shared" si="3"/>
        <v>10</v>
      </c>
      <c r="D502" s="11" t="s">
        <v>17</v>
      </c>
      <c r="H502" s="11">
        <v>42025</v>
      </c>
    </row>
    <row r="503" spans="1:8" hidden="1">
      <c r="A503" s="15">
        <v>45931</v>
      </c>
      <c r="B503" s="11">
        <f t="shared" si="2"/>
        <v>2025</v>
      </c>
      <c r="C503" s="11">
        <f t="shared" si="3"/>
        <v>10</v>
      </c>
      <c r="D503" s="11" t="s">
        <v>16</v>
      </c>
      <c r="H503" s="11">
        <v>29804</v>
      </c>
    </row>
    <row r="504" spans="1:8" hidden="1">
      <c r="A504" s="15">
        <v>45931</v>
      </c>
      <c r="B504" s="11">
        <f t="shared" si="2"/>
        <v>2025</v>
      </c>
      <c r="C504" s="11">
        <f t="shared" si="3"/>
        <v>10</v>
      </c>
      <c r="D504" s="11" t="s">
        <v>19</v>
      </c>
      <c r="H504" s="11">
        <v>17516</v>
      </c>
    </row>
    <row r="505" spans="1:8" hidden="1">
      <c r="A505" s="15">
        <v>45931</v>
      </c>
      <c r="B505" s="11">
        <f t="shared" si="2"/>
        <v>2025</v>
      </c>
      <c r="C505" s="11">
        <f t="shared" si="3"/>
        <v>10</v>
      </c>
      <c r="D505" s="11" t="s">
        <v>18</v>
      </c>
      <c r="H505" s="11">
        <v>17580</v>
      </c>
    </row>
    <row r="506" spans="1:8" hidden="1">
      <c r="A506" s="15">
        <v>45931</v>
      </c>
      <c r="B506" s="11">
        <f t="shared" si="2"/>
        <v>2025</v>
      </c>
      <c r="C506" s="11">
        <f t="shared" si="3"/>
        <v>10</v>
      </c>
      <c r="D506" s="11" t="s">
        <v>126</v>
      </c>
      <c r="H506" s="11">
        <v>10182</v>
      </c>
    </row>
    <row r="507" spans="1:8" hidden="1">
      <c r="A507" s="15">
        <v>45931</v>
      </c>
      <c r="B507" s="11">
        <f t="shared" si="2"/>
        <v>2025</v>
      </c>
      <c r="C507" s="11">
        <f t="shared" si="3"/>
        <v>10</v>
      </c>
      <c r="D507" s="11" t="s">
        <v>20</v>
      </c>
      <c r="H507" s="11">
        <v>13395</v>
      </c>
    </row>
    <row r="508" spans="1:8" hidden="1">
      <c r="A508" s="15">
        <v>45931</v>
      </c>
      <c r="B508" s="11">
        <f t="shared" si="2"/>
        <v>2025</v>
      </c>
      <c r="C508" s="11">
        <f t="shared" si="3"/>
        <v>10</v>
      </c>
      <c r="D508" s="11" t="s">
        <v>22</v>
      </c>
      <c r="H508" s="11">
        <v>14520</v>
      </c>
    </row>
    <row r="509" spans="1:8" hidden="1">
      <c r="A509" s="15">
        <v>45931</v>
      </c>
      <c r="B509" s="11">
        <f t="shared" si="2"/>
        <v>2025</v>
      </c>
      <c r="C509" s="11">
        <f t="shared" si="3"/>
        <v>10</v>
      </c>
      <c r="D509" s="11" t="s">
        <v>23</v>
      </c>
      <c r="H509" s="11">
        <v>21139</v>
      </c>
    </row>
    <row r="510" spans="1:8" hidden="1">
      <c r="A510" s="15">
        <v>45931</v>
      </c>
      <c r="B510" s="11">
        <f t="shared" si="2"/>
        <v>2025</v>
      </c>
      <c r="C510" s="11">
        <f t="shared" si="3"/>
        <v>10</v>
      </c>
      <c r="D510" s="11" t="s">
        <v>24</v>
      </c>
    </row>
    <row r="511" spans="1:8" hidden="1">
      <c r="A511" s="15">
        <v>45931</v>
      </c>
      <c r="B511" s="11">
        <f t="shared" si="2"/>
        <v>2025</v>
      </c>
      <c r="C511" s="11">
        <f t="shared" si="3"/>
        <v>10</v>
      </c>
      <c r="D511" s="11" t="s">
        <v>25</v>
      </c>
      <c r="H511" s="11">
        <v>8505</v>
      </c>
    </row>
    <row r="512" spans="1:8" hidden="1">
      <c r="A512" s="15">
        <v>45931</v>
      </c>
      <c r="B512" s="11">
        <f t="shared" ref="B512:B562" si="4">YEAR(A512)</f>
        <v>2025</v>
      </c>
      <c r="C512" s="11">
        <f t="shared" ref="C512:C562" si="5">MONTH(A512)</f>
        <v>10</v>
      </c>
      <c r="D512" s="11" t="s">
        <v>26</v>
      </c>
      <c r="H512" s="11">
        <v>8521</v>
      </c>
    </row>
    <row r="513" spans="1:8" hidden="1">
      <c r="A513" s="15">
        <v>45931</v>
      </c>
      <c r="B513" s="11">
        <f t="shared" si="4"/>
        <v>2025</v>
      </c>
      <c r="C513" s="11">
        <f t="shared" si="5"/>
        <v>10</v>
      </c>
      <c r="D513" s="11" t="s">
        <v>27</v>
      </c>
      <c r="H513" s="11">
        <v>1286</v>
      </c>
    </row>
    <row r="514" spans="1:8" hidden="1">
      <c r="A514" s="15">
        <v>45931</v>
      </c>
      <c r="B514" s="11">
        <f t="shared" si="4"/>
        <v>2025</v>
      </c>
      <c r="C514" s="11">
        <f t="shared" si="5"/>
        <v>10</v>
      </c>
      <c r="D514" s="11" t="s">
        <v>28</v>
      </c>
      <c r="H514" s="11">
        <v>0</v>
      </c>
    </row>
    <row r="515" spans="1:8" hidden="1">
      <c r="A515" s="15">
        <v>45931</v>
      </c>
      <c r="B515" s="11">
        <f t="shared" si="4"/>
        <v>2025</v>
      </c>
      <c r="C515" s="11">
        <f t="shared" si="5"/>
        <v>10</v>
      </c>
      <c r="D515" s="11" t="s">
        <v>29</v>
      </c>
      <c r="H515" s="11">
        <v>0</v>
      </c>
    </row>
    <row r="516" spans="1:8">
      <c r="A516" s="15">
        <v>45962</v>
      </c>
      <c r="B516" s="11">
        <f t="shared" si="4"/>
        <v>2025</v>
      </c>
      <c r="C516" s="11">
        <f t="shared" si="5"/>
        <v>11</v>
      </c>
      <c r="D516" s="11" t="s">
        <v>7</v>
      </c>
      <c r="H516" s="11">
        <v>224321</v>
      </c>
    </row>
    <row r="517" spans="1:8" hidden="1">
      <c r="A517" s="15">
        <v>45962</v>
      </c>
      <c r="B517" s="11">
        <f t="shared" si="4"/>
        <v>2025</v>
      </c>
      <c r="C517" s="11">
        <f t="shared" si="5"/>
        <v>11</v>
      </c>
      <c r="D517" s="11" t="s">
        <v>8</v>
      </c>
      <c r="H517" s="11">
        <v>163599</v>
      </c>
    </row>
    <row r="518" spans="1:8" hidden="1">
      <c r="A518" s="15">
        <v>45962</v>
      </c>
      <c r="B518" s="11">
        <f t="shared" si="4"/>
        <v>2025</v>
      </c>
      <c r="C518" s="11">
        <f t="shared" si="5"/>
        <v>11</v>
      </c>
      <c r="D518" s="11" t="s">
        <v>9</v>
      </c>
      <c r="H518" s="11">
        <v>186203</v>
      </c>
    </row>
    <row r="519" spans="1:8" hidden="1">
      <c r="A519" s="15">
        <v>45962</v>
      </c>
      <c r="B519" s="11">
        <f t="shared" si="4"/>
        <v>2025</v>
      </c>
      <c r="C519" s="11">
        <f t="shared" si="5"/>
        <v>11</v>
      </c>
      <c r="D519" s="11" t="s">
        <v>10</v>
      </c>
      <c r="H519" s="11">
        <v>161433</v>
      </c>
    </row>
    <row r="520" spans="1:8" hidden="1">
      <c r="A520" s="15">
        <v>45962</v>
      </c>
      <c r="B520" s="11">
        <f t="shared" si="4"/>
        <v>2025</v>
      </c>
      <c r="C520" s="11">
        <f t="shared" si="5"/>
        <v>11</v>
      </c>
      <c r="D520" s="11" t="s">
        <v>11</v>
      </c>
      <c r="H520" s="11">
        <v>157628</v>
      </c>
    </row>
    <row r="521" spans="1:8" hidden="1">
      <c r="A521" s="15">
        <v>45962</v>
      </c>
      <c r="B521" s="11">
        <f t="shared" si="4"/>
        <v>2025</v>
      </c>
      <c r="C521" s="11">
        <f t="shared" si="5"/>
        <v>11</v>
      </c>
      <c r="D521" s="11" t="s">
        <v>12</v>
      </c>
      <c r="H521" s="11">
        <v>50854</v>
      </c>
    </row>
    <row r="522" spans="1:8" hidden="1">
      <c r="A522" s="15">
        <v>45962</v>
      </c>
      <c r="B522" s="11">
        <f t="shared" si="4"/>
        <v>2025</v>
      </c>
      <c r="C522" s="11">
        <f t="shared" si="5"/>
        <v>11</v>
      </c>
      <c r="D522" s="11" t="s">
        <v>13</v>
      </c>
      <c r="H522" s="11">
        <v>112977</v>
      </c>
    </row>
    <row r="523" spans="1:8" hidden="1">
      <c r="A523" s="15">
        <v>45962</v>
      </c>
      <c r="B523" s="11">
        <f t="shared" si="4"/>
        <v>2025</v>
      </c>
      <c r="C523" s="11">
        <f t="shared" si="5"/>
        <v>11</v>
      </c>
      <c r="D523" s="11" t="s">
        <v>14</v>
      </c>
      <c r="H523" s="11">
        <v>72554</v>
      </c>
    </row>
    <row r="524" spans="1:8" hidden="1">
      <c r="A524" s="15">
        <v>45962</v>
      </c>
      <c r="B524" s="11">
        <f t="shared" si="4"/>
        <v>2025</v>
      </c>
      <c r="C524" s="11">
        <f t="shared" si="5"/>
        <v>11</v>
      </c>
      <c r="D524" s="11" t="s">
        <v>15</v>
      </c>
      <c r="H524" s="11">
        <v>30945</v>
      </c>
    </row>
    <row r="525" spans="1:8" hidden="1">
      <c r="A525" s="15">
        <v>45962</v>
      </c>
      <c r="B525" s="11">
        <f t="shared" si="4"/>
        <v>2025</v>
      </c>
      <c r="C525" s="11">
        <f t="shared" si="5"/>
        <v>11</v>
      </c>
      <c r="D525" s="11" t="s">
        <v>16</v>
      </c>
      <c r="H525" s="11">
        <v>32870</v>
      </c>
    </row>
    <row r="526" spans="1:8" hidden="1">
      <c r="A526" s="15">
        <v>45962</v>
      </c>
      <c r="B526" s="11">
        <f t="shared" si="4"/>
        <v>2025</v>
      </c>
      <c r="C526" s="11">
        <f t="shared" si="5"/>
        <v>11</v>
      </c>
      <c r="D526" s="11" t="s">
        <v>17</v>
      </c>
      <c r="H526" s="11">
        <v>46291</v>
      </c>
    </row>
    <row r="527" spans="1:8" hidden="1">
      <c r="A527" s="15">
        <v>45962</v>
      </c>
      <c r="B527" s="11">
        <f t="shared" si="4"/>
        <v>2025</v>
      </c>
      <c r="C527" s="11">
        <f t="shared" si="5"/>
        <v>11</v>
      </c>
      <c r="D527" s="11" t="s">
        <v>18</v>
      </c>
      <c r="H527" s="11">
        <v>18542</v>
      </c>
    </row>
    <row r="528" spans="1:8" hidden="1">
      <c r="A528" s="15">
        <v>45962</v>
      </c>
      <c r="B528" s="11">
        <f t="shared" si="4"/>
        <v>2025</v>
      </c>
      <c r="C528" s="11">
        <f t="shared" si="5"/>
        <v>11</v>
      </c>
      <c r="D528" s="11" t="s">
        <v>19</v>
      </c>
      <c r="H528" s="11">
        <v>19323</v>
      </c>
    </row>
    <row r="529" spans="1:8" hidden="1">
      <c r="A529" s="15">
        <v>45962</v>
      </c>
      <c r="B529" s="11">
        <f t="shared" si="4"/>
        <v>2025</v>
      </c>
      <c r="C529" s="11">
        <f t="shared" si="5"/>
        <v>11</v>
      </c>
      <c r="D529" s="11" t="s">
        <v>20</v>
      </c>
      <c r="H529" s="11">
        <v>14590</v>
      </c>
    </row>
    <row r="530" spans="1:8" hidden="1">
      <c r="A530" s="15">
        <v>45962</v>
      </c>
      <c r="B530" s="11">
        <f t="shared" si="4"/>
        <v>2025</v>
      </c>
      <c r="C530" s="11">
        <f t="shared" si="5"/>
        <v>11</v>
      </c>
      <c r="D530" s="11" t="s">
        <v>126</v>
      </c>
      <c r="H530" s="11">
        <v>14285</v>
      </c>
    </row>
    <row r="531" spans="1:8" hidden="1">
      <c r="A531" s="15">
        <v>45962</v>
      </c>
      <c r="B531" s="11">
        <f t="shared" si="4"/>
        <v>2025</v>
      </c>
      <c r="C531" s="11">
        <f t="shared" si="5"/>
        <v>11</v>
      </c>
      <c r="D531" s="11" t="s">
        <v>22</v>
      </c>
      <c r="H531" s="11">
        <v>16249</v>
      </c>
    </row>
    <row r="532" spans="1:8" hidden="1">
      <c r="A532" s="15">
        <v>45962</v>
      </c>
      <c r="B532" s="11">
        <f t="shared" si="4"/>
        <v>2025</v>
      </c>
      <c r="C532" s="11">
        <f t="shared" si="5"/>
        <v>11</v>
      </c>
      <c r="D532" s="11" t="s">
        <v>23</v>
      </c>
      <c r="H532" s="11">
        <v>25101</v>
      </c>
    </row>
    <row r="533" spans="1:8" hidden="1">
      <c r="A533" s="15">
        <v>45962</v>
      </c>
      <c r="B533" s="11">
        <f t="shared" si="4"/>
        <v>2025</v>
      </c>
      <c r="C533" s="11">
        <f t="shared" si="5"/>
        <v>11</v>
      </c>
      <c r="D533" s="11" t="s">
        <v>24</v>
      </c>
    </row>
    <row r="534" spans="1:8" hidden="1">
      <c r="A534" s="15">
        <v>45962</v>
      </c>
      <c r="B534" s="11">
        <f t="shared" si="4"/>
        <v>2025</v>
      </c>
      <c r="C534" s="11">
        <f t="shared" si="5"/>
        <v>11</v>
      </c>
      <c r="D534" s="11" t="s">
        <v>25</v>
      </c>
      <c r="H534" s="11">
        <v>9790</v>
      </c>
    </row>
    <row r="535" spans="1:8" hidden="1">
      <c r="A535" s="15">
        <v>45962</v>
      </c>
      <c r="B535" s="11">
        <f t="shared" si="4"/>
        <v>2025</v>
      </c>
      <c r="C535" s="11">
        <f t="shared" si="5"/>
        <v>11</v>
      </c>
      <c r="D535" s="11" t="s">
        <v>26</v>
      </c>
      <c r="H535" s="11">
        <v>9647</v>
      </c>
    </row>
    <row r="536" spans="1:8" hidden="1">
      <c r="A536" s="15">
        <v>45962</v>
      </c>
      <c r="B536" s="11">
        <f t="shared" si="4"/>
        <v>2025</v>
      </c>
      <c r="C536" s="11">
        <f t="shared" si="5"/>
        <v>11</v>
      </c>
      <c r="D536" s="11" t="s">
        <v>27</v>
      </c>
      <c r="H536" s="11">
        <v>1382</v>
      </c>
    </row>
    <row r="537" spans="1:8" hidden="1">
      <c r="A537" s="15">
        <v>45962</v>
      </c>
      <c r="B537" s="11">
        <f t="shared" si="4"/>
        <v>2025</v>
      </c>
      <c r="C537" s="11">
        <f t="shared" si="5"/>
        <v>11</v>
      </c>
      <c r="D537" s="11" t="s">
        <v>28</v>
      </c>
      <c r="H537" s="11">
        <v>0</v>
      </c>
    </row>
    <row r="538" spans="1:8" hidden="1">
      <c r="A538" s="15">
        <v>45962</v>
      </c>
      <c r="B538" s="11">
        <f t="shared" si="4"/>
        <v>2025</v>
      </c>
      <c r="C538" s="11">
        <f t="shared" si="5"/>
        <v>11</v>
      </c>
      <c r="D538" s="11" t="s">
        <v>29</v>
      </c>
      <c r="H538" s="11">
        <v>0</v>
      </c>
    </row>
    <row r="539" spans="1:8">
      <c r="A539" s="15">
        <v>45992</v>
      </c>
      <c r="B539" s="11">
        <f t="shared" si="4"/>
        <v>2025</v>
      </c>
      <c r="C539" s="11">
        <f t="shared" si="5"/>
        <v>12</v>
      </c>
      <c r="D539" s="11" t="s">
        <v>7</v>
      </c>
      <c r="H539" s="13">
        <v>20623</v>
      </c>
    </row>
    <row r="540" spans="1:8" hidden="1">
      <c r="A540" s="15">
        <v>45992</v>
      </c>
      <c r="B540" s="11">
        <f t="shared" si="4"/>
        <v>2025</v>
      </c>
      <c r="C540" s="11">
        <f t="shared" si="5"/>
        <v>12</v>
      </c>
      <c r="D540" s="11" t="s">
        <v>9</v>
      </c>
      <c r="H540" s="13">
        <v>16574</v>
      </c>
    </row>
    <row r="541" spans="1:8" hidden="1">
      <c r="A541" s="15">
        <v>45992</v>
      </c>
      <c r="B541" s="11">
        <f t="shared" si="4"/>
        <v>2025</v>
      </c>
      <c r="C541" s="11">
        <f t="shared" si="5"/>
        <v>12</v>
      </c>
      <c r="D541" s="11" t="s">
        <v>8</v>
      </c>
      <c r="H541" s="13">
        <v>17441</v>
      </c>
    </row>
    <row r="542" spans="1:8" hidden="1">
      <c r="A542" s="15">
        <v>45992</v>
      </c>
      <c r="B542" s="11">
        <f t="shared" si="4"/>
        <v>2025</v>
      </c>
      <c r="C542" s="11">
        <f t="shared" si="5"/>
        <v>12</v>
      </c>
      <c r="D542" s="11" t="s">
        <v>10</v>
      </c>
      <c r="H542" s="13">
        <v>16259</v>
      </c>
    </row>
    <row r="543" spans="1:8" hidden="1">
      <c r="A543" s="15">
        <v>45992</v>
      </c>
      <c r="B543" s="11">
        <f t="shared" si="4"/>
        <v>2025</v>
      </c>
      <c r="C543" s="11">
        <f t="shared" si="5"/>
        <v>12</v>
      </c>
      <c r="D543" s="11" t="s">
        <v>11</v>
      </c>
      <c r="H543" s="13">
        <v>13030</v>
      </c>
    </row>
    <row r="544" spans="1:8" hidden="1">
      <c r="A544" s="15">
        <v>45992</v>
      </c>
      <c r="B544" s="11">
        <f t="shared" si="4"/>
        <v>2025</v>
      </c>
      <c r="C544" s="11">
        <f t="shared" si="5"/>
        <v>12</v>
      </c>
      <c r="D544" s="11" t="s">
        <v>13</v>
      </c>
      <c r="H544" s="13">
        <v>5216</v>
      </c>
    </row>
    <row r="545" spans="1:8" hidden="1">
      <c r="A545" s="15">
        <v>45992</v>
      </c>
      <c r="B545" s="11">
        <f t="shared" si="4"/>
        <v>2025</v>
      </c>
      <c r="C545" s="11">
        <f t="shared" si="5"/>
        <v>12</v>
      </c>
      <c r="D545" s="11" t="s">
        <v>14</v>
      </c>
      <c r="H545" s="13">
        <v>7217</v>
      </c>
    </row>
    <row r="546" spans="1:8" hidden="1">
      <c r="A546" s="15">
        <v>45992</v>
      </c>
      <c r="B546" s="11">
        <f t="shared" si="4"/>
        <v>2025</v>
      </c>
      <c r="C546" s="11">
        <f t="shared" si="5"/>
        <v>12</v>
      </c>
      <c r="D546" s="11" t="s">
        <v>12</v>
      </c>
      <c r="H546" s="13">
        <v>1851</v>
      </c>
    </row>
    <row r="547" spans="1:8" hidden="1">
      <c r="A547" s="15">
        <v>45992</v>
      </c>
      <c r="B547" s="11">
        <f t="shared" si="4"/>
        <v>2025</v>
      </c>
      <c r="C547" s="11">
        <f t="shared" si="5"/>
        <v>12</v>
      </c>
      <c r="D547" s="11" t="s">
        <v>17</v>
      </c>
      <c r="H547" s="13">
        <v>4186</v>
      </c>
    </row>
    <row r="548" spans="1:8" hidden="1">
      <c r="A548" s="15">
        <v>45992</v>
      </c>
      <c r="B548" s="11">
        <f t="shared" si="4"/>
        <v>2025</v>
      </c>
      <c r="C548" s="11">
        <f t="shared" si="5"/>
        <v>12</v>
      </c>
      <c r="D548" s="11" t="s">
        <v>16</v>
      </c>
      <c r="H548" s="13">
        <v>3335</v>
      </c>
    </row>
    <row r="549" spans="1:8" hidden="1">
      <c r="A549" s="15">
        <v>45992</v>
      </c>
      <c r="B549" s="11">
        <f t="shared" si="4"/>
        <v>2025</v>
      </c>
      <c r="C549" s="11">
        <f t="shared" si="5"/>
        <v>12</v>
      </c>
      <c r="D549" s="11" t="s">
        <v>15</v>
      </c>
      <c r="H549" s="13">
        <v>3625</v>
      </c>
    </row>
    <row r="550" spans="1:8" hidden="1">
      <c r="A550" s="15">
        <v>45992</v>
      </c>
      <c r="B550" s="11">
        <f t="shared" si="4"/>
        <v>2025</v>
      </c>
      <c r="C550" s="11">
        <f t="shared" si="5"/>
        <v>12</v>
      </c>
      <c r="D550" s="11" t="s">
        <v>23</v>
      </c>
      <c r="H550" s="13">
        <v>4410</v>
      </c>
    </row>
    <row r="551" spans="1:8" hidden="1">
      <c r="A551" s="15">
        <v>45992</v>
      </c>
      <c r="B551" s="11">
        <f t="shared" si="4"/>
        <v>2025</v>
      </c>
      <c r="C551" s="11">
        <f t="shared" si="5"/>
        <v>12</v>
      </c>
      <c r="D551" s="11" t="s">
        <v>19</v>
      </c>
      <c r="H551" s="13">
        <v>2017</v>
      </c>
    </row>
    <row r="552" spans="1:8" hidden="1">
      <c r="A552" s="15">
        <v>45992</v>
      </c>
      <c r="B552" s="11">
        <f t="shared" si="4"/>
        <v>2025</v>
      </c>
      <c r="C552" s="11">
        <f t="shared" si="5"/>
        <v>12</v>
      </c>
      <c r="D552" s="11" t="s">
        <v>18</v>
      </c>
      <c r="H552" s="13">
        <v>1535</v>
      </c>
    </row>
    <row r="553" spans="1:8" hidden="1">
      <c r="A553" s="15">
        <v>45992</v>
      </c>
      <c r="B553" s="11">
        <f t="shared" si="4"/>
        <v>2025</v>
      </c>
      <c r="C553" s="11">
        <f t="shared" si="5"/>
        <v>12</v>
      </c>
      <c r="D553" s="11" t="s">
        <v>21</v>
      </c>
      <c r="H553" s="13">
        <v>5507</v>
      </c>
    </row>
    <row r="554" spans="1:8" hidden="1">
      <c r="A554" s="15">
        <v>45992</v>
      </c>
      <c r="B554" s="11">
        <f t="shared" si="4"/>
        <v>2025</v>
      </c>
      <c r="C554" s="11">
        <f t="shared" si="5"/>
        <v>12</v>
      </c>
      <c r="D554" s="11" t="s">
        <v>32</v>
      </c>
      <c r="H554" s="13">
        <v>1797</v>
      </c>
    </row>
    <row r="555" spans="1:8" hidden="1">
      <c r="A555" s="15">
        <v>45992</v>
      </c>
      <c r="B555" s="11">
        <f t="shared" si="4"/>
        <v>2025</v>
      </c>
      <c r="C555" s="11">
        <f t="shared" si="5"/>
        <v>12</v>
      </c>
      <c r="D555" s="11" t="s">
        <v>22</v>
      </c>
      <c r="H555" s="13">
        <v>1491</v>
      </c>
    </row>
    <row r="556" spans="1:8" hidden="1">
      <c r="A556" s="15">
        <v>45992</v>
      </c>
      <c r="B556" s="11">
        <f t="shared" si="4"/>
        <v>2025</v>
      </c>
      <c r="C556" s="11">
        <f t="shared" si="5"/>
        <v>12</v>
      </c>
      <c r="D556" s="11" t="s">
        <v>20</v>
      </c>
      <c r="H556" s="13">
        <v>1334</v>
      </c>
    </row>
    <row r="557" spans="1:8" hidden="1">
      <c r="A557" s="15">
        <v>45992</v>
      </c>
      <c r="B557" s="11">
        <f t="shared" si="4"/>
        <v>2025</v>
      </c>
      <c r="C557" s="11">
        <f t="shared" si="5"/>
        <v>12</v>
      </c>
      <c r="D557" s="11" t="s">
        <v>101</v>
      </c>
      <c r="H557" s="13">
        <v>1402</v>
      </c>
    </row>
    <row r="558" spans="1:8" hidden="1">
      <c r="A558" s="15">
        <v>45992</v>
      </c>
      <c r="B558" s="11">
        <f t="shared" si="4"/>
        <v>2025</v>
      </c>
      <c r="C558" s="11">
        <f t="shared" si="5"/>
        <v>12</v>
      </c>
      <c r="D558" s="11" t="s">
        <v>25</v>
      </c>
      <c r="H558" s="13">
        <v>1904</v>
      </c>
    </row>
    <row r="559" spans="1:8" hidden="1">
      <c r="A559" s="15">
        <v>45992</v>
      </c>
      <c r="B559" s="11">
        <f t="shared" si="4"/>
        <v>2025</v>
      </c>
      <c r="C559" s="11">
        <f t="shared" si="5"/>
        <v>12</v>
      </c>
      <c r="D559" s="11" t="s">
        <v>26</v>
      </c>
      <c r="H559" s="11">
        <v>981</v>
      </c>
    </row>
    <row r="560" spans="1:8" hidden="1">
      <c r="A560" s="15">
        <v>45992</v>
      </c>
      <c r="B560" s="11">
        <f t="shared" si="4"/>
        <v>2025</v>
      </c>
      <c r="C560" s="11">
        <f t="shared" si="5"/>
        <v>12</v>
      </c>
      <c r="D560" s="11" t="s">
        <v>33</v>
      </c>
      <c r="H560" s="11">
        <v>199</v>
      </c>
    </row>
    <row r="561" spans="1:10" hidden="1">
      <c r="A561" s="15">
        <v>45992</v>
      </c>
      <c r="B561" s="11">
        <f t="shared" si="4"/>
        <v>2025</v>
      </c>
      <c r="C561" s="11">
        <f t="shared" si="5"/>
        <v>12</v>
      </c>
      <c r="D561" s="11" t="s">
        <v>27</v>
      </c>
      <c r="H561" s="11">
        <v>82</v>
      </c>
    </row>
    <row r="562" spans="1:10" hidden="1">
      <c r="A562" s="15">
        <v>45993</v>
      </c>
      <c r="B562" s="11">
        <f t="shared" si="4"/>
        <v>2025</v>
      </c>
      <c r="C562" s="11">
        <f t="shared" si="5"/>
        <v>12</v>
      </c>
      <c r="D562" s="11" t="s">
        <v>29</v>
      </c>
      <c r="H562" s="11">
        <v>0</v>
      </c>
    </row>
    <row r="563" spans="1:10">
      <c r="A563" s="12">
        <v>46023</v>
      </c>
      <c r="B563" s="11">
        <v>2026</v>
      </c>
      <c r="C563" s="11">
        <v>1</v>
      </c>
      <c r="D563" s="11" t="s">
        <v>7</v>
      </c>
      <c r="I563" s="13">
        <v>25049</v>
      </c>
      <c r="J563" s="14">
        <v>0.16830000000000001</v>
      </c>
    </row>
    <row r="564" spans="1:10" hidden="1">
      <c r="A564" s="12">
        <v>46024</v>
      </c>
      <c r="B564" s="11">
        <v>2026</v>
      </c>
      <c r="C564" s="11">
        <v>1</v>
      </c>
      <c r="D564" s="11" t="s">
        <v>8</v>
      </c>
      <c r="I564" s="13">
        <v>16841</v>
      </c>
      <c r="J564" s="14">
        <v>0.17680000000000001</v>
      </c>
    </row>
    <row r="565" spans="1:10" hidden="1">
      <c r="A565" s="12">
        <v>46025</v>
      </c>
      <c r="B565" s="11">
        <v>2026</v>
      </c>
      <c r="C565" s="11">
        <v>1</v>
      </c>
      <c r="D565" s="11" t="s">
        <v>9</v>
      </c>
      <c r="I565" s="13">
        <v>14918</v>
      </c>
      <c r="J565" s="14">
        <v>4.99E-2</v>
      </c>
    </row>
    <row r="566" spans="1:10" hidden="1">
      <c r="A566" s="12">
        <v>46026</v>
      </c>
      <c r="B566" s="11">
        <v>2026</v>
      </c>
      <c r="C566" s="11">
        <v>1</v>
      </c>
      <c r="D566" s="11" t="s">
        <v>10</v>
      </c>
      <c r="I566" s="13">
        <v>12944</v>
      </c>
      <c r="J566" s="14">
        <v>0.45079999999999998</v>
      </c>
    </row>
    <row r="567" spans="1:10" hidden="1">
      <c r="A567" s="12">
        <v>46027</v>
      </c>
      <c r="B567" s="11">
        <v>2026</v>
      </c>
      <c r="C567" s="11">
        <v>1</v>
      </c>
      <c r="D567" s="11" t="s">
        <v>11</v>
      </c>
      <c r="I567" s="13">
        <v>11806</v>
      </c>
      <c r="J567" s="14">
        <v>-9.9299999999999999E-2</v>
      </c>
    </row>
    <row r="568" spans="1:10" hidden="1">
      <c r="A568" s="12">
        <v>46028</v>
      </c>
      <c r="B568" s="11">
        <v>2026</v>
      </c>
      <c r="C568" s="11">
        <v>1</v>
      </c>
      <c r="D568" s="11" t="s">
        <v>13</v>
      </c>
      <c r="I568" s="13">
        <v>6690</v>
      </c>
      <c r="J568" s="14">
        <v>-0.43469999999999998</v>
      </c>
    </row>
    <row r="569" spans="1:10" hidden="1">
      <c r="A569" s="12">
        <v>46029</v>
      </c>
      <c r="B569" s="11">
        <v>2026</v>
      </c>
      <c r="C569" s="11">
        <v>1</v>
      </c>
      <c r="D569" s="11" t="s">
        <v>14</v>
      </c>
      <c r="I569" s="13">
        <v>5575</v>
      </c>
      <c r="J569" s="14">
        <v>-0.14269999999999999</v>
      </c>
    </row>
    <row r="570" spans="1:10" hidden="1">
      <c r="A570" s="12">
        <v>46030</v>
      </c>
      <c r="B570" s="11">
        <v>2026</v>
      </c>
      <c r="C570" s="11">
        <v>1</v>
      </c>
      <c r="D570" s="11" t="s">
        <v>23</v>
      </c>
      <c r="I570" s="13">
        <v>3601</v>
      </c>
      <c r="J570" s="14">
        <v>1.6793</v>
      </c>
    </row>
    <row r="571" spans="1:10" hidden="1">
      <c r="A571" s="12">
        <v>46031</v>
      </c>
      <c r="B571" s="11">
        <v>2026</v>
      </c>
      <c r="C571" s="11">
        <v>1</v>
      </c>
      <c r="D571" s="11" t="s">
        <v>16</v>
      </c>
      <c r="I571" s="13">
        <v>2910</v>
      </c>
      <c r="J571" s="14">
        <v>-7.3200000000000001E-2</v>
      </c>
    </row>
    <row r="572" spans="1:10" hidden="1">
      <c r="A572" s="12">
        <v>46032</v>
      </c>
      <c r="B572" s="11">
        <v>2026</v>
      </c>
      <c r="C572" s="11">
        <v>1</v>
      </c>
      <c r="D572" s="11" t="s">
        <v>17</v>
      </c>
      <c r="I572" s="13">
        <v>2799</v>
      </c>
      <c r="J572" s="14">
        <v>-0.34060000000000001</v>
      </c>
    </row>
    <row r="573" spans="1:10" hidden="1">
      <c r="A573" s="12">
        <v>46033</v>
      </c>
      <c r="B573" s="11">
        <v>2026</v>
      </c>
      <c r="C573" s="11">
        <v>1</v>
      </c>
      <c r="D573" s="11" t="s">
        <v>12</v>
      </c>
      <c r="I573" s="13">
        <v>2695</v>
      </c>
      <c r="J573" s="14">
        <v>-0.58509999999999995</v>
      </c>
    </row>
    <row r="574" spans="1:10" hidden="1">
      <c r="A574" s="12">
        <v>46034</v>
      </c>
      <c r="B574" s="11">
        <v>2026</v>
      </c>
      <c r="C574" s="11">
        <v>1</v>
      </c>
      <c r="D574" s="11" t="s">
        <v>15</v>
      </c>
      <c r="I574" s="13">
        <v>2615</v>
      </c>
      <c r="J574" s="14">
        <v>-0.23449999999999999</v>
      </c>
    </row>
    <row r="575" spans="1:10" hidden="1">
      <c r="A575" s="12">
        <v>46035</v>
      </c>
      <c r="B575" s="11">
        <v>2026</v>
      </c>
      <c r="C575" s="11">
        <v>1</v>
      </c>
      <c r="D575" s="11" t="s">
        <v>19</v>
      </c>
      <c r="I575" s="13">
        <v>2143</v>
      </c>
      <c r="J575" s="14">
        <v>-4.5999999999999999E-3</v>
      </c>
    </row>
    <row r="576" spans="1:10" hidden="1">
      <c r="A576" s="12">
        <v>46036</v>
      </c>
      <c r="B576" s="11">
        <v>2026</v>
      </c>
      <c r="C576" s="11">
        <v>1</v>
      </c>
      <c r="D576" s="11" t="s">
        <v>22</v>
      </c>
      <c r="I576" s="13">
        <v>1674</v>
      </c>
      <c r="J576" s="14">
        <v>0.23730000000000001</v>
      </c>
    </row>
    <row r="577" spans="1:10" hidden="1">
      <c r="A577" s="12">
        <v>46037</v>
      </c>
      <c r="B577" s="11">
        <v>2026</v>
      </c>
      <c r="C577" s="11">
        <v>1</v>
      </c>
      <c r="D577" s="11" t="s">
        <v>18</v>
      </c>
      <c r="I577" s="13">
        <v>1537</v>
      </c>
      <c r="J577" s="14">
        <v>-0.2787</v>
      </c>
    </row>
    <row r="578" spans="1:10" hidden="1">
      <c r="A578" s="12">
        <v>46038</v>
      </c>
      <c r="B578" s="11">
        <v>2026</v>
      </c>
      <c r="C578" s="11">
        <v>1</v>
      </c>
      <c r="D578" s="11" t="s">
        <v>32</v>
      </c>
      <c r="I578" s="13">
        <v>1421</v>
      </c>
      <c r="J578" s="14">
        <v>0</v>
      </c>
    </row>
    <row r="579" spans="1:10" hidden="1">
      <c r="A579" s="12">
        <v>46039</v>
      </c>
      <c r="B579" s="11">
        <v>2026</v>
      </c>
      <c r="C579" s="11">
        <v>1</v>
      </c>
      <c r="D579" s="11" t="s">
        <v>25</v>
      </c>
      <c r="I579" s="13">
        <v>1175</v>
      </c>
      <c r="J579" s="14">
        <v>1.7778</v>
      </c>
    </row>
    <row r="580" spans="1:10" hidden="1">
      <c r="A580" s="12">
        <v>46040</v>
      </c>
      <c r="B580" s="11">
        <v>2026</v>
      </c>
      <c r="C580" s="11">
        <v>1</v>
      </c>
      <c r="D580" s="11" t="s">
        <v>20</v>
      </c>
      <c r="I580" s="13">
        <v>1082</v>
      </c>
      <c r="J580" s="14">
        <v>-0.23100000000000001</v>
      </c>
    </row>
    <row r="581" spans="1:10" hidden="1">
      <c r="A581" s="12">
        <v>46041</v>
      </c>
      <c r="B581" s="11">
        <v>2026</v>
      </c>
      <c r="C581" s="11">
        <v>1</v>
      </c>
      <c r="D581" s="11" t="s">
        <v>21</v>
      </c>
      <c r="I581" s="11">
        <v>967</v>
      </c>
      <c r="J581" s="14">
        <v>0.1077</v>
      </c>
    </row>
    <row r="582" spans="1:10" hidden="1">
      <c r="A582" s="12">
        <v>46042</v>
      </c>
      <c r="B582" s="11">
        <v>2026</v>
      </c>
      <c r="C582" s="11">
        <v>1</v>
      </c>
      <c r="D582" s="11" t="s">
        <v>26</v>
      </c>
      <c r="I582" s="11">
        <v>856</v>
      </c>
      <c r="J582" s="14">
        <v>0.44590000000000002</v>
      </c>
    </row>
    <row r="583" spans="1:10" hidden="1">
      <c r="A583" s="12">
        <v>46043</v>
      </c>
      <c r="B583" s="11">
        <v>2026</v>
      </c>
      <c r="C583" s="11">
        <v>1</v>
      </c>
      <c r="D583" s="11" t="s">
        <v>101</v>
      </c>
      <c r="I583" s="11">
        <v>683</v>
      </c>
      <c r="J583" s="14">
        <v>0</v>
      </c>
    </row>
    <row r="584" spans="1:10" hidden="1">
      <c r="A584" s="12">
        <v>46044</v>
      </c>
      <c r="B584" s="11">
        <v>2026</v>
      </c>
      <c r="C584" s="11">
        <v>1</v>
      </c>
      <c r="D584" s="11" t="s">
        <v>33</v>
      </c>
      <c r="I584" s="11">
        <v>275</v>
      </c>
      <c r="J584" s="14">
        <v>9.5769000000000002</v>
      </c>
    </row>
    <row r="585" spans="1:10" hidden="1">
      <c r="A585" s="12">
        <v>46045</v>
      </c>
      <c r="B585" s="11">
        <v>2026</v>
      </c>
      <c r="C585" s="11">
        <v>1</v>
      </c>
      <c r="D585" s="11" t="s">
        <v>27</v>
      </c>
      <c r="I585" s="11">
        <v>130</v>
      </c>
      <c r="J585" s="14">
        <v>-0.46500000000000002</v>
      </c>
    </row>
    <row r="586" spans="1:10" hidden="1">
      <c r="A586" s="12">
        <v>46046</v>
      </c>
      <c r="B586" s="11">
        <v>2026</v>
      </c>
      <c r="C586" s="11">
        <v>1</v>
      </c>
      <c r="D586" s="11" t="s">
        <v>29</v>
      </c>
      <c r="I586" s="11" t="s">
        <v>107</v>
      </c>
      <c r="J586" s="14">
        <v>0</v>
      </c>
    </row>
    <row r="587" spans="1:10" hidden="1">
      <c r="A587" s="12">
        <v>46047</v>
      </c>
      <c r="B587" s="11">
        <v>2026</v>
      </c>
      <c r="C587" s="11">
        <v>1</v>
      </c>
      <c r="D587" s="11" t="s">
        <v>28</v>
      </c>
      <c r="I587" s="11" t="s">
        <v>107</v>
      </c>
      <c r="J587" s="14">
        <v>0</v>
      </c>
    </row>
    <row r="588" spans="1:10" hidden="1">
      <c r="A588" s="12">
        <v>46048</v>
      </c>
      <c r="B588" s="11">
        <v>2026</v>
      </c>
      <c r="C588" s="11">
        <v>1</v>
      </c>
      <c r="D588" s="11" t="s">
        <v>30</v>
      </c>
      <c r="I588" s="11" t="s">
        <v>107</v>
      </c>
      <c r="J588" s="14">
        <v>0</v>
      </c>
    </row>
    <row r="589" spans="1:10" hidden="1">
      <c r="A589" s="12"/>
    </row>
  </sheetData>
  <autoFilter ref="A1:J589" xr:uid="{00000000-0009-0000-0000-000006000000}">
    <filterColumn colId="0">
      <filters blank="1">
        <filter val="01/2025"/>
        <filter val="01/2026"/>
        <filter val="02/2025"/>
        <filter val="03/2025"/>
        <filter val="04/2025"/>
        <filter val="05/2025"/>
        <filter val="06/2025"/>
        <filter val="07/2025"/>
        <filter val="08/2025"/>
        <filter val="09/2025"/>
        <filter val="10/2025"/>
        <filter val="11/2025"/>
        <filter val="12/2025"/>
      </filters>
    </filterColumn>
    <filterColumn colId="3">
      <filters>
        <filter val="CMA"/>
      </filters>
    </filterColumn>
  </autoFilter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M10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12.5703125" style="13"/>
    <col min="5" max="5" width="9.28515625" customWidth="1"/>
    <col min="9" max="9" width="12.5703125" style="13"/>
  </cols>
  <sheetData>
    <row r="1" spans="1:13">
      <c r="A1" s="11" t="s">
        <v>57</v>
      </c>
      <c r="B1" s="11" t="s">
        <v>1</v>
      </c>
      <c r="C1" s="13" t="s">
        <v>2</v>
      </c>
      <c r="D1" s="11" t="s">
        <v>3</v>
      </c>
      <c r="E1" s="96" t="s">
        <v>121</v>
      </c>
      <c r="F1" s="96" t="s">
        <v>122</v>
      </c>
      <c r="G1" s="11" t="s">
        <v>123</v>
      </c>
      <c r="H1" s="11" t="s">
        <v>124</v>
      </c>
      <c r="I1" s="13" t="s">
        <v>125</v>
      </c>
      <c r="J1" s="11" t="s">
        <v>5</v>
      </c>
    </row>
    <row r="2" spans="1:13">
      <c r="A2" s="12">
        <v>45292</v>
      </c>
      <c r="B2" s="11">
        <f t="shared" ref="B2:B138" si="0">YEAR(A2)</f>
        <v>2024</v>
      </c>
      <c r="C2" s="13">
        <f t="shared" ref="C2:C144" si="1">MONTH(A2)</f>
        <v>1</v>
      </c>
      <c r="D2" s="11" t="s">
        <v>150</v>
      </c>
      <c r="E2" s="13">
        <v>3232</v>
      </c>
      <c r="F2" s="13">
        <v>3547</v>
      </c>
      <c r="G2" s="13">
        <v>4338</v>
      </c>
      <c r="H2" s="13"/>
      <c r="J2" s="14">
        <v>8.1699999999999995E-2</v>
      </c>
      <c r="M2" s="13"/>
    </row>
    <row r="3" spans="1:13">
      <c r="A3" s="12">
        <v>45292</v>
      </c>
      <c r="B3" s="11">
        <f t="shared" si="0"/>
        <v>2024</v>
      </c>
      <c r="C3" s="13">
        <f t="shared" si="1"/>
        <v>1</v>
      </c>
      <c r="D3" s="11" t="s">
        <v>151</v>
      </c>
      <c r="E3" s="13">
        <v>2438</v>
      </c>
      <c r="F3" s="11">
        <v>477</v>
      </c>
      <c r="G3" s="13">
        <v>5558</v>
      </c>
      <c r="J3" s="14">
        <v>-0.7752</v>
      </c>
      <c r="K3" s="102"/>
      <c r="M3" s="13"/>
    </row>
    <row r="4" spans="1:13">
      <c r="A4" s="12">
        <v>45292</v>
      </c>
      <c r="B4" s="11">
        <f t="shared" si="0"/>
        <v>2024</v>
      </c>
      <c r="C4" s="13">
        <f t="shared" si="1"/>
        <v>1</v>
      </c>
      <c r="D4" s="11" t="s">
        <v>152</v>
      </c>
      <c r="E4" s="11" t="s">
        <v>107</v>
      </c>
      <c r="F4" s="11">
        <v>172</v>
      </c>
      <c r="G4" s="11">
        <v>191</v>
      </c>
      <c r="J4" s="14">
        <v>0</v>
      </c>
      <c r="M4" s="13"/>
    </row>
    <row r="5" spans="1:13">
      <c r="A5" s="12">
        <v>45292</v>
      </c>
      <c r="B5" s="11">
        <f t="shared" si="0"/>
        <v>2024</v>
      </c>
      <c r="C5" s="13">
        <f t="shared" si="1"/>
        <v>1</v>
      </c>
      <c r="D5" s="11" t="s">
        <v>153</v>
      </c>
      <c r="E5" s="11" t="s">
        <v>107</v>
      </c>
      <c r="F5" s="11">
        <v>0</v>
      </c>
      <c r="G5" s="11">
        <v>0</v>
      </c>
      <c r="J5" s="14">
        <v>0</v>
      </c>
      <c r="K5" s="103"/>
      <c r="M5" s="13"/>
    </row>
    <row r="6" spans="1:13">
      <c r="A6" s="12">
        <v>45292</v>
      </c>
      <c r="B6" s="11">
        <f t="shared" si="0"/>
        <v>2024</v>
      </c>
      <c r="C6" s="13">
        <f t="shared" si="1"/>
        <v>1</v>
      </c>
      <c r="D6" s="11" t="s">
        <v>117</v>
      </c>
      <c r="E6" s="13">
        <v>2543</v>
      </c>
      <c r="F6" s="11">
        <v>0</v>
      </c>
      <c r="G6" s="11">
        <v>0</v>
      </c>
      <c r="J6" s="14">
        <v>-1</v>
      </c>
    </row>
    <row r="7" spans="1:13">
      <c r="A7" s="12">
        <v>45323</v>
      </c>
      <c r="B7" s="11">
        <f t="shared" si="0"/>
        <v>2024</v>
      </c>
      <c r="C7" s="13">
        <f t="shared" si="1"/>
        <v>2</v>
      </c>
      <c r="D7" s="11" t="s">
        <v>150</v>
      </c>
      <c r="E7" s="13">
        <v>4185</v>
      </c>
      <c r="F7" s="13">
        <v>4081</v>
      </c>
      <c r="G7" s="13">
        <v>4051</v>
      </c>
      <c r="H7" s="14"/>
      <c r="J7" s="14">
        <v>0.57299999999999995</v>
      </c>
    </row>
    <row r="8" spans="1:13">
      <c r="A8" s="12">
        <v>45323</v>
      </c>
      <c r="B8" s="11">
        <f t="shared" si="0"/>
        <v>2024</v>
      </c>
      <c r="C8" s="13">
        <f t="shared" si="1"/>
        <v>2</v>
      </c>
      <c r="D8" s="11" t="s">
        <v>151</v>
      </c>
      <c r="E8" s="13">
        <v>4171</v>
      </c>
      <c r="F8" s="11">
        <v>180</v>
      </c>
      <c r="G8" s="13">
        <v>3601</v>
      </c>
      <c r="H8" s="14"/>
      <c r="J8" s="14">
        <v>-0.82550000000000001</v>
      </c>
      <c r="K8" s="13"/>
    </row>
    <row r="9" spans="1:13">
      <c r="A9" s="12">
        <v>45323</v>
      </c>
      <c r="B9" s="11">
        <f t="shared" si="0"/>
        <v>2024</v>
      </c>
      <c r="C9" s="13">
        <f t="shared" si="1"/>
        <v>2</v>
      </c>
      <c r="D9" s="11" t="s">
        <v>152</v>
      </c>
      <c r="E9" s="11" t="s">
        <v>107</v>
      </c>
      <c r="F9" s="11">
        <v>225</v>
      </c>
      <c r="G9" s="11">
        <v>0</v>
      </c>
      <c r="H9" s="14"/>
      <c r="J9" s="14">
        <v>0</v>
      </c>
    </row>
    <row r="10" spans="1:13">
      <c r="A10" s="12">
        <v>45323</v>
      </c>
      <c r="B10" s="11">
        <f t="shared" si="0"/>
        <v>2024</v>
      </c>
      <c r="C10" s="13">
        <f t="shared" si="1"/>
        <v>2</v>
      </c>
      <c r="D10" s="11" t="s">
        <v>153</v>
      </c>
      <c r="E10" s="13">
        <v>6077</v>
      </c>
      <c r="F10" s="11">
        <v>0</v>
      </c>
      <c r="G10" s="11">
        <v>0</v>
      </c>
      <c r="H10" s="14"/>
      <c r="J10" s="14">
        <v>-1</v>
      </c>
    </row>
    <row r="11" spans="1:13">
      <c r="A11" s="12">
        <v>45323</v>
      </c>
      <c r="B11" s="11">
        <f t="shared" si="0"/>
        <v>2024</v>
      </c>
      <c r="C11" s="13">
        <f t="shared" si="1"/>
        <v>2</v>
      </c>
      <c r="D11" s="11" t="s">
        <v>117</v>
      </c>
      <c r="E11" s="11" t="s">
        <v>107</v>
      </c>
      <c r="F11" s="11">
        <v>0</v>
      </c>
      <c r="G11" s="11">
        <v>0</v>
      </c>
      <c r="H11" s="14"/>
      <c r="J11" s="14">
        <v>0</v>
      </c>
    </row>
    <row r="12" spans="1:13">
      <c r="A12" s="12">
        <v>45352</v>
      </c>
      <c r="B12" s="11">
        <f t="shared" si="0"/>
        <v>2024</v>
      </c>
      <c r="C12" s="13">
        <f t="shared" si="1"/>
        <v>3</v>
      </c>
      <c r="D12" s="11" t="s">
        <v>150</v>
      </c>
      <c r="E12" s="13">
        <v>3549</v>
      </c>
      <c r="F12" s="13">
        <v>5452</v>
      </c>
      <c r="G12" s="13">
        <v>5594</v>
      </c>
      <c r="H12" s="14"/>
      <c r="J12" s="14">
        <v>1.3434999999999999</v>
      </c>
      <c r="M12" s="13"/>
    </row>
    <row r="13" spans="1:13">
      <c r="A13" s="12">
        <v>45352</v>
      </c>
      <c r="B13" s="11">
        <f t="shared" si="0"/>
        <v>2024</v>
      </c>
      <c r="C13" s="13">
        <f t="shared" si="1"/>
        <v>3</v>
      </c>
      <c r="D13" s="11" t="s">
        <v>151</v>
      </c>
      <c r="E13" s="13">
        <v>5684</v>
      </c>
      <c r="F13" s="13">
        <v>859</v>
      </c>
      <c r="G13" s="13">
        <v>2383</v>
      </c>
      <c r="H13" s="14"/>
      <c r="J13" s="14">
        <v>-0.7097</v>
      </c>
      <c r="M13" s="13"/>
    </row>
    <row r="14" spans="1:13">
      <c r="A14" s="12">
        <v>45352</v>
      </c>
      <c r="B14" s="11">
        <f t="shared" si="0"/>
        <v>2024</v>
      </c>
      <c r="C14" s="13">
        <f t="shared" si="1"/>
        <v>3</v>
      </c>
      <c r="D14" s="11" t="s">
        <v>152</v>
      </c>
      <c r="E14" s="11" t="s">
        <v>107</v>
      </c>
      <c r="F14" s="11">
        <v>140</v>
      </c>
      <c r="G14" s="11">
        <v>0</v>
      </c>
      <c r="H14" s="14"/>
      <c r="J14" s="14">
        <v>0</v>
      </c>
    </row>
    <row r="15" spans="1:13">
      <c r="A15" s="12">
        <v>45352</v>
      </c>
      <c r="B15" s="11">
        <f t="shared" si="0"/>
        <v>2024</v>
      </c>
      <c r="C15" s="13">
        <f t="shared" si="1"/>
        <v>3</v>
      </c>
      <c r="D15" s="11" t="s">
        <v>117</v>
      </c>
      <c r="E15" s="13">
        <v>9318</v>
      </c>
      <c r="F15" s="11" t="s">
        <v>107</v>
      </c>
      <c r="G15" s="11">
        <v>399</v>
      </c>
      <c r="H15" s="14"/>
      <c r="J15" s="14">
        <v>-1</v>
      </c>
    </row>
    <row r="16" spans="1:13">
      <c r="A16" s="12">
        <v>45352</v>
      </c>
      <c r="B16" s="11">
        <f t="shared" si="0"/>
        <v>2024</v>
      </c>
      <c r="C16" s="13">
        <f t="shared" si="1"/>
        <v>3</v>
      </c>
      <c r="D16" s="11" t="s">
        <v>153</v>
      </c>
      <c r="E16" s="11" t="s">
        <v>107</v>
      </c>
      <c r="F16" s="11" t="s">
        <v>107</v>
      </c>
      <c r="G16" s="11">
        <v>0</v>
      </c>
      <c r="H16" s="14"/>
      <c r="J16" s="14">
        <v>0</v>
      </c>
    </row>
    <row r="17" spans="1:12">
      <c r="A17" s="12">
        <v>45383</v>
      </c>
      <c r="B17" s="11">
        <f t="shared" si="0"/>
        <v>2024</v>
      </c>
      <c r="C17" s="13">
        <f t="shared" si="1"/>
        <v>4</v>
      </c>
      <c r="D17" s="11" t="s">
        <v>150</v>
      </c>
      <c r="E17" s="13">
        <v>8966</v>
      </c>
      <c r="F17" s="13">
        <v>4115</v>
      </c>
      <c r="G17" s="13">
        <v>2879</v>
      </c>
      <c r="H17" s="14"/>
      <c r="J17" s="14">
        <v>5.3900000000000003E-2</v>
      </c>
    </row>
    <row r="18" spans="1:12">
      <c r="A18" s="12">
        <v>45383</v>
      </c>
      <c r="B18" s="11">
        <f t="shared" si="0"/>
        <v>2024</v>
      </c>
      <c r="C18" s="13">
        <f t="shared" si="1"/>
        <v>4</v>
      </c>
      <c r="D18" s="11" t="s">
        <v>151</v>
      </c>
      <c r="E18" s="13">
        <v>7940</v>
      </c>
      <c r="F18" s="13">
        <v>0</v>
      </c>
      <c r="G18" s="13">
        <v>636</v>
      </c>
      <c r="H18" s="14"/>
      <c r="J18" s="14">
        <v>-0.79220000000000002</v>
      </c>
    </row>
    <row r="19" spans="1:12">
      <c r="A19" s="12">
        <v>45383</v>
      </c>
      <c r="B19" s="11">
        <f t="shared" si="0"/>
        <v>2024</v>
      </c>
      <c r="C19" s="13">
        <f t="shared" si="1"/>
        <v>4</v>
      </c>
      <c r="D19" s="11" t="s">
        <v>152</v>
      </c>
      <c r="E19" s="11">
        <v>63</v>
      </c>
      <c r="F19" s="11">
        <v>33</v>
      </c>
      <c r="G19" s="11">
        <v>294</v>
      </c>
      <c r="H19" s="14"/>
      <c r="J19" s="14">
        <v>10.3492</v>
      </c>
    </row>
    <row r="20" spans="1:12">
      <c r="A20" s="12">
        <v>45383</v>
      </c>
      <c r="B20" s="11">
        <f t="shared" si="0"/>
        <v>2024</v>
      </c>
      <c r="C20" s="13">
        <f t="shared" si="1"/>
        <v>4</v>
      </c>
      <c r="D20" s="11" t="s">
        <v>117</v>
      </c>
      <c r="E20" s="13">
        <v>11611</v>
      </c>
      <c r="F20" s="11">
        <v>0</v>
      </c>
      <c r="G20" s="11">
        <v>198</v>
      </c>
      <c r="H20" s="14"/>
      <c r="J20" s="14">
        <v>-1</v>
      </c>
    </row>
    <row r="21" spans="1:12">
      <c r="A21" s="12">
        <v>45383</v>
      </c>
      <c r="B21" s="11">
        <f t="shared" si="0"/>
        <v>2024</v>
      </c>
      <c r="C21" s="13">
        <f t="shared" si="1"/>
        <v>4</v>
      </c>
      <c r="D21" s="11" t="s">
        <v>153</v>
      </c>
      <c r="E21" s="11" t="s">
        <v>107</v>
      </c>
      <c r="F21" s="11">
        <v>220</v>
      </c>
      <c r="G21" s="11">
        <v>0</v>
      </c>
      <c r="H21" s="14"/>
      <c r="J21" s="14">
        <v>0</v>
      </c>
    </row>
    <row r="22" spans="1:12">
      <c r="A22" s="12">
        <v>45413</v>
      </c>
      <c r="B22" s="11">
        <f t="shared" si="0"/>
        <v>2024</v>
      </c>
      <c r="C22" s="13">
        <f t="shared" si="1"/>
        <v>5</v>
      </c>
      <c r="D22" s="11" t="s">
        <v>150</v>
      </c>
      <c r="E22" s="13">
        <v>12171</v>
      </c>
      <c r="F22" s="13">
        <v>2915</v>
      </c>
      <c r="G22" s="13">
        <v>1622</v>
      </c>
      <c r="H22" s="14"/>
      <c r="J22" s="14">
        <v>0.74229999999999996</v>
      </c>
      <c r="L22" s="13"/>
    </row>
    <row r="23" spans="1:12">
      <c r="A23" s="12">
        <v>45413</v>
      </c>
      <c r="B23" s="11">
        <f t="shared" si="0"/>
        <v>2024</v>
      </c>
      <c r="C23" s="13">
        <f t="shared" si="1"/>
        <v>5</v>
      </c>
      <c r="D23" s="11" t="s">
        <v>151</v>
      </c>
      <c r="E23" s="13">
        <v>8871</v>
      </c>
      <c r="F23" s="13">
        <v>0</v>
      </c>
      <c r="G23" s="13">
        <v>1861</v>
      </c>
      <c r="H23" s="14"/>
      <c r="J23" s="14">
        <v>-0.81399999999999995</v>
      </c>
      <c r="L23" s="13"/>
    </row>
    <row r="24" spans="1:12">
      <c r="A24" s="12">
        <v>45413</v>
      </c>
      <c r="B24" s="11">
        <f t="shared" si="0"/>
        <v>2024</v>
      </c>
      <c r="C24" s="13">
        <f t="shared" si="1"/>
        <v>5</v>
      </c>
      <c r="D24" s="11" t="s">
        <v>152</v>
      </c>
      <c r="E24" s="11">
        <v>63</v>
      </c>
      <c r="F24" s="11">
        <v>15</v>
      </c>
      <c r="G24" s="11">
        <v>299</v>
      </c>
      <c r="H24" s="14"/>
      <c r="J24" s="14">
        <v>10.587300000000001</v>
      </c>
    </row>
    <row r="25" spans="1:12">
      <c r="A25" s="12">
        <v>45413</v>
      </c>
      <c r="B25" s="11">
        <f t="shared" si="0"/>
        <v>2024</v>
      </c>
      <c r="C25" s="13">
        <f t="shared" si="1"/>
        <v>5</v>
      </c>
      <c r="D25" s="11" t="s">
        <v>117</v>
      </c>
      <c r="E25" s="13">
        <v>13949</v>
      </c>
      <c r="F25" s="11">
        <v>0</v>
      </c>
      <c r="G25" s="11">
        <v>0</v>
      </c>
      <c r="H25" s="14"/>
      <c r="J25" s="14">
        <v>-1</v>
      </c>
    </row>
    <row r="26" spans="1:12">
      <c r="A26" s="12">
        <v>45413</v>
      </c>
      <c r="B26" s="11">
        <f t="shared" si="0"/>
        <v>2024</v>
      </c>
      <c r="C26" s="13">
        <f t="shared" si="1"/>
        <v>5</v>
      </c>
      <c r="D26" s="11" t="s">
        <v>153</v>
      </c>
      <c r="E26" s="11" t="s">
        <v>107</v>
      </c>
      <c r="F26" s="11">
        <v>510</v>
      </c>
      <c r="G26" s="11">
        <v>0</v>
      </c>
      <c r="H26" s="14"/>
      <c r="J26" s="14">
        <v>0</v>
      </c>
    </row>
    <row r="27" spans="1:12">
      <c r="A27" s="12">
        <v>45444</v>
      </c>
      <c r="B27" s="11">
        <f t="shared" si="0"/>
        <v>2024</v>
      </c>
      <c r="C27" s="13">
        <f t="shared" si="1"/>
        <v>6</v>
      </c>
      <c r="D27" s="11" t="s">
        <v>150</v>
      </c>
      <c r="E27" s="13">
        <v>15610</v>
      </c>
      <c r="F27" s="13">
        <v>2823</v>
      </c>
      <c r="G27" s="13">
        <v>3982</v>
      </c>
      <c r="H27" s="14"/>
      <c r="J27" s="14">
        <v>0.5393</v>
      </c>
    </row>
    <row r="28" spans="1:12">
      <c r="A28" s="12">
        <v>45444</v>
      </c>
      <c r="B28" s="11">
        <f t="shared" si="0"/>
        <v>2024</v>
      </c>
      <c r="C28" s="13">
        <f t="shared" si="1"/>
        <v>6</v>
      </c>
      <c r="D28" s="11" t="s">
        <v>151</v>
      </c>
      <c r="E28" s="13">
        <v>10417</v>
      </c>
      <c r="F28" s="13">
        <v>2128</v>
      </c>
      <c r="G28" s="13">
        <v>2582</v>
      </c>
      <c r="H28" s="14"/>
      <c r="J28" s="14">
        <v>-0.63729999999999998</v>
      </c>
    </row>
    <row r="29" spans="1:12">
      <c r="A29" s="12">
        <v>45444</v>
      </c>
      <c r="B29" s="11">
        <f t="shared" si="0"/>
        <v>2024</v>
      </c>
      <c r="C29" s="13">
        <f t="shared" si="1"/>
        <v>6</v>
      </c>
      <c r="D29" s="11" t="s">
        <v>152</v>
      </c>
      <c r="E29" s="11">
        <v>63</v>
      </c>
      <c r="F29" s="11">
        <v>128</v>
      </c>
      <c r="G29" s="11">
        <v>136</v>
      </c>
      <c r="H29" s="14"/>
      <c r="J29" s="14">
        <v>12.619</v>
      </c>
    </row>
    <row r="30" spans="1:12">
      <c r="A30" s="12">
        <v>45444</v>
      </c>
      <c r="B30" s="11">
        <f t="shared" si="0"/>
        <v>2024</v>
      </c>
      <c r="C30" s="13">
        <f t="shared" si="1"/>
        <v>6</v>
      </c>
      <c r="D30" s="11" t="s">
        <v>117</v>
      </c>
      <c r="E30" s="13">
        <v>16437</v>
      </c>
      <c r="F30" s="11">
        <v>0</v>
      </c>
      <c r="G30" s="11">
        <v>0</v>
      </c>
      <c r="H30" s="14"/>
      <c r="J30" s="14">
        <v>-1</v>
      </c>
    </row>
    <row r="31" spans="1:12">
      <c r="A31" s="12">
        <v>45444</v>
      </c>
      <c r="B31" s="11">
        <f t="shared" si="0"/>
        <v>2024</v>
      </c>
      <c r="C31" s="13">
        <f t="shared" si="1"/>
        <v>6</v>
      </c>
      <c r="D31" s="11" t="s">
        <v>153</v>
      </c>
      <c r="E31" s="11" t="s">
        <v>107</v>
      </c>
      <c r="F31" s="11">
        <v>127</v>
      </c>
      <c r="G31" s="11">
        <v>0</v>
      </c>
      <c r="H31" s="14"/>
      <c r="J31" s="14">
        <v>0</v>
      </c>
    </row>
    <row r="32" spans="1:12">
      <c r="A32" s="12">
        <v>45474</v>
      </c>
      <c r="B32" s="11">
        <f t="shared" si="0"/>
        <v>2024</v>
      </c>
      <c r="C32" s="13">
        <f t="shared" si="1"/>
        <v>7</v>
      </c>
      <c r="D32" s="11" t="s">
        <v>150</v>
      </c>
      <c r="E32" s="13">
        <v>17213</v>
      </c>
      <c r="F32" s="13">
        <v>677</v>
      </c>
      <c r="G32" s="11">
        <v>3226</v>
      </c>
      <c r="H32" s="14"/>
      <c r="J32" s="14">
        <v>0.43530000000000002</v>
      </c>
    </row>
    <row r="33" spans="1:10">
      <c r="A33" s="12">
        <v>45474</v>
      </c>
      <c r="B33" s="11">
        <f t="shared" si="0"/>
        <v>2024</v>
      </c>
      <c r="C33" s="13">
        <f t="shared" si="1"/>
        <v>7</v>
      </c>
      <c r="D33" s="11" t="s">
        <v>151</v>
      </c>
      <c r="E33" s="13">
        <v>11331</v>
      </c>
      <c r="F33" s="13">
        <v>1097</v>
      </c>
      <c r="G33" s="11">
        <v>1403</v>
      </c>
      <c r="H33" s="14"/>
      <c r="J33" s="14">
        <v>-0.56979999999999997</v>
      </c>
    </row>
    <row r="34" spans="1:10">
      <c r="A34" s="12">
        <v>45474</v>
      </c>
      <c r="B34" s="11">
        <f t="shared" si="0"/>
        <v>2024</v>
      </c>
      <c r="C34" s="13">
        <f t="shared" si="1"/>
        <v>7</v>
      </c>
      <c r="D34" s="11" t="s">
        <v>152</v>
      </c>
      <c r="E34" s="11">
        <v>67</v>
      </c>
      <c r="F34" s="13">
        <v>628</v>
      </c>
      <c r="G34" s="11">
        <v>494</v>
      </c>
      <c r="H34" s="14"/>
      <c r="J34" s="14">
        <v>21.179099999999998</v>
      </c>
    </row>
    <row r="35" spans="1:10">
      <c r="A35" s="12">
        <v>45474</v>
      </c>
      <c r="B35" s="11">
        <f t="shared" si="0"/>
        <v>2024</v>
      </c>
      <c r="C35" s="13">
        <f t="shared" si="1"/>
        <v>7</v>
      </c>
      <c r="D35" s="11" t="s">
        <v>153</v>
      </c>
      <c r="E35" s="11" t="s">
        <v>107</v>
      </c>
      <c r="F35" s="11">
        <v>53</v>
      </c>
      <c r="G35" s="11">
        <v>241</v>
      </c>
      <c r="H35" s="14"/>
      <c r="J35" s="14">
        <v>0</v>
      </c>
    </row>
    <row r="36" spans="1:10">
      <c r="A36" s="12">
        <v>45474</v>
      </c>
      <c r="B36" s="11">
        <f t="shared" si="0"/>
        <v>2024</v>
      </c>
      <c r="C36" s="13">
        <f t="shared" si="1"/>
        <v>7</v>
      </c>
      <c r="D36" s="11" t="s">
        <v>117</v>
      </c>
      <c r="E36" s="13">
        <v>18934</v>
      </c>
      <c r="F36" s="11">
        <v>0</v>
      </c>
      <c r="G36" s="11">
        <v>0</v>
      </c>
      <c r="H36" s="14"/>
      <c r="J36" s="14">
        <v>-0.99129999999999996</v>
      </c>
    </row>
    <row r="37" spans="1:10">
      <c r="A37" s="12">
        <v>45505</v>
      </c>
      <c r="B37" s="11">
        <f t="shared" si="0"/>
        <v>2024</v>
      </c>
      <c r="C37" s="13">
        <f t="shared" si="1"/>
        <v>8</v>
      </c>
      <c r="D37" s="11" t="s">
        <v>150</v>
      </c>
      <c r="E37" s="13">
        <v>20568</v>
      </c>
      <c r="F37" s="13">
        <v>3474</v>
      </c>
      <c r="G37" s="11">
        <v>4555</v>
      </c>
      <c r="H37" s="14"/>
      <c r="J37" s="14">
        <v>0.37</v>
      </c>
    </row>
    <row r="38" spans="1:10">
      <c r="A38" s="12">
        <v>45505</v>
      </c>
      <c r="B38" s="11">
        <f t="shared" si="0"/>
        <v>2024</v>
      </c>
      <c r="C38" s="13">
        <f t="shared" si="1"/>
        <v>8</v>
      </c>
      <c r="D38" s="11" t="s">
        <v>151</v>
      </c>
      <c r="E38" s="13">
        <v>11331</v>
      </c>
      <c r="F38" s="13">
        <v>2640</v>
      </c>
      <c r="G38" s="11">
        <v>803</v>
      </c>
      <c r="H38" s="14"/>
      <c r="J38" s="14">
        <v>-0.33679999999999999</v>
      </c>
    </row>
    <row r="39" spans="1:10">
      <c r="A39" s="12">
        <v>45505</v>
      </c>
      <c r="B39" s="11">
        <f t="shared" si="0"/>
        <v>2024</v>
      </c>
      <c r="C39" s="13">
        <f t="shared" si="1"/>
        <v>8</v>
      </c>
      <c r="D39" s="11" t="s">
        <v>152</v>
      </c>
      <c r="E39" s="11">
        <v>69</v>
      </c>
      <c r="F39" s="13">
        <v>527</v>
      </c>
      <c r="G39" s="13">
        <v>0</v>
      </c>
      <c r="H39" s="14"/>
      <c r="J39" s="14">
        <v>28.1739</v>
      </c>
    </row>
    <row r="40" spans="1:10">
      <c r="A40" s="12">
        <v>45505</v>
      </c>
      <c r="B40" s="11">
        <f t="shared" si="0"/>
        <v>2024</v>
      </c>
      <c r="C40" s="13">
        <f t="shared" si="1"/>
        <v>8</v>
      </c>
      <c r="D40" s="11" t="s">
        <v>153</v>
      </c>
      <c r="E40" s="11" t="s">
        <v>107</v>
      </c>
      <c r="F40" s="13">
        <v>121</v>
      </c>
      <c r="G40" s="13">
        <v>0</v>
      </c>
      <c r="H40" s="14"/>
      <c r="J40" s="14">
        <v>0</v>
      </c>
    </row>
    <row r="41" spans="1:10">
      <c r="A41" s="12">
        <v>45505</v>
      </c>
      <c r="B41" s="11">
        <f t="shared" si="0"/>
        <v>2024</v>
      </c>
      <c r="C41" s="13">
        <f t="shared" si="1"/>
        <v>8</v>
      </c>
      <c r="D41" s="11" t="s">
        <v>117</v>
      </c>
      <c r="E41" s="13">
        <v>22059</v>
      </c>
      <c r="F41" s="13">
        <v>0</v>
      </c>
      <c r="G41" s="13">
        <v>0</v>
      </c>
      <c r="H41" s="14"/>
      <c r="J41" s="14">
        <v>-0.95350000000000001</v>
      </c>
    </row>
    <row r="42" spans="1:10">
      <c r="A42" s="12">
        <v>45505</v>
      </c>
      <c r="B42" s="11">
        <f t="shared" si="0"/>
        <v>2024</v>
      </c>
      <c r="C42" s="13">
        <f t="shared" si="1"/>
        <v>8</v>
      </c>
      <c r="D42" s="11" t="s">
        <v>154</v>
      </c>
      <c r="E42" s="13">
        <v>0</v>
      </c>
      <c r="F42" s="13">
        <v>0</v>
      </c>
      <c r="G42" s="13">
        <v>2</v>
      </c>
      <c r="H42" s="14"/>
      <c r="J42" s="14">
        <f>AVERAGE(E42:G42)</f>
        <v>0.66666666666666663</v>
      </c>
    </row>
    <row r="43" spans="1:10">
      <c r="A43" s="12">
        <v>45536</v>
      </c>
      <c r="B43" s="11">
        <f t="shared" si="0"/>
        <v>2024</v>
      </c>
      <c r="C43" s="13">
        <f t="shared" si="1"/>
        <v>9</v>
      </c>
      <c r="D43" s="11" t="s">
        <v>150</v>
      </c>
      <c r="E43" s="13">
        <v>23194</v>
      </c>
      <c r="F43" s="13">
        <v>2846</v>
      </c>
      <c r="G43" s="13">
        <v>4555</v>
      </c>
      <c r="H43" s="14"/>
      <c r="J43" s="14">
        <v>0.33760000000000001</v>
      </c>
    </row>
    <row r="44" spans="1:10">
      <c r="A44" s="12">
        <v>45536</v>
      </c>
      <c r="B44" s="11">
        <f t="shared" si="0"/>
        <v>2024</v>
      </c>
      <c r="C44" s="13">
        <f t="shared" si="1"/>
        <v>9</v>
      </c>
      <c r="D44" s="11" t="s">
        <v>111</v>
      </c>
      <c r="E44" s="13">
        <v>11331</v>
      </c>
      <c r="F44" s="13">
        <v>3848</v>
      </c>
      <c r="G44" s="13">
        <v>803</v>
      </c>
      <c r="H44" s="14"/>
      <c r="J44" s="14">
        <v>2.8E-3</v>
      </c>
    </row>
    <row r="45" spans="1:10">
      <c r="A45" s="12">
        <v>45536</v>
      </c>
      <c r="B45" s="11">
        <f t="shared" si="0"/>
        <v>2024</v>
      </c>
      <c r="C45" s="13">
        <f t="shared" si="1"/>
        <v>9</v>
      </c>
      <c r="D45" s="11" t="s">
        <v>117</v>
      </c>
      <c r="E45" s="13">
        <v>25421</v>
      </c>
      <c r="F45" s="13">
        <v>0</v>
      </c>
      <c r="G45" s="13">
        <v>0</v>
      </c>
      <c r="H45" s="14"/>
      <c r="J45" s="14">
        <v>-0.91710000000000003</v>
      </c>
    </row>
    <row r="46" spans="1:10">
      <c r="A46" s="12">
        <v>45536</v>
      </c>
      <c r="B46" s="11">
        <f t="shared" si="0"/>
        <v>2024</v>
      </c>
      <c r="C46" s="13">
        <f t="shared" si="1"/>
        <v>9</v>
      </c>
      <c r="D46" s="11" t="s">
        <v>152</v>
      </c>
      <c r="E46" s="11">
        <v>73</v>
      </c>
      <c r="F46" s="13">
        <v>7</v>
      </c>
      <c r="G46" s="13">
        <v>0</v>
      </c>
      <c r="H46" s="14"/>
      <c r="J46" s="14">
        <v>26.671199999999999</v>
      </c>
    </row>
    <row r="47" spans="1:10">
      <c r="A47" s="12">
        <v>45536</v>
      </c>
      <c r="B47" s="11">
        <f t="shared" si="0"/>
        <v>2024</v>
      </c>
      <c r="C47" s="13">
        <f t="shared" si="1"/>
        <v>9</v>
      </c>
      <c r="D47" s="11" t="s">
        <v>153</v>
      </c>
      <c r="E47" s="11" t="s">
        <v>107</v>
      </c>
      <c r="F47" s="13">
        <v>0</v>
      </c>
      <c r="G47" s="13">
        <v>0</v>
      </c>
      <c r="H47" s="14"/>
      <c r="J47" s="14">
        <v>0</v>
      </c>
    </row>
    <row r="48" spans="1:10">
      <c r="A48" s="12">
        <v>45536</v>
      </c>
      <c r="B48" s="11">
        <f t="shared" si="0"/>
        <v>2024</v>
      </c>
      <c r="C48" s="13">
        <f t="shared" si="1"/>
        <v>9</v>
      </c>
      <c r="D48" s="11" t="s">
        <v>154</v>
      </c>
      <c r="E48" s="11">
        <v>0</v>
      </c>
      <c r="F48" s="13">
        <v>0</v>
      </c>
      <c r="G48" s="13">
        <v>2</v>
      </c>
      <c r="H48" s="14"/>
      <c r="J48" s="14">
        <v>0</v>
      </c>
    </row>
    <row r="49" spans="1:10">
      <c r="A49" s="15">
        <v>45566</v>
      </c>
      <c r="B49" s="11">
        <f t="shared" si="0"/>
        <v>2024</v>
      </c>
      <c r="C49" s="13">
        <f t="shared" si="1"/>
        <v>10</v>
      </c>
      <c r="D49" s="11" t="s">
        <v>150</v>
      </c>
      <c r="E49" s="13">
        <v>25077</v>
      </c>
      <c r="F49" s="13">
        <v>2020</v>
      </c>
      <c r="G49" s="11">
        <v>4755</v>
      </c>
      <c r="H49" s="11"/>
      <c r="J49" s="14">
        <v>0.31769999999999998</v>
      </c>
    </row>
    <row r="50" spans="1:10">
      <c r="A50" s="15">
        <v>45566</v>
      </c>
      <c r="B50" s="11">
        <f t="shared" si="0"/>
        <v>2024</v>
      </c>
      <c r="C50" s="13">
        <f t="shared" si="1"/>
        <v>10</v>
      </c>
      <c r="D50" s="11" t="s">
        <v>111</v>
      </c>
      <c r="E50" s="13">
        <v>11331</v>
      </c>
      <c r="F50" s="13">
        <v>4782</v>
      </c>
      <c r="G50" s="11">
        <v>1063</v>
      </c>
      <c r="H50" s="11"/>
      <c r="J50" s="14">
        <v>0.4249</v>
      </c>
    </row>
    <row r="51" spans="1:10">
      <c r="A51" s="15">
        <v>45566</v>
      </c>
      <c r="B51" s="11">
        <f t="shared" si="0"/>
        <v>2024</v>
      </c>
      <c r="C51" s="13">
        <f t="shared" si="1"/>
        <v>10</v>
      </c>
      <c r="D51" s="11" t="s">
        <v>152</v>
      </c>
      <c r="E51" s="11">
        <v>303</v>
      </c>
      <c r="F51" s="13">
        <v>109</v>
      </c>
      <c r="G51" s="11">
        <v>525</v>
      </c>
      <c r="H51" s="11"/>
      <c r="J51" s="14">
        <v>6.0263999999999998</v>
      </c>
    </row>
    <row r="52" spans="1:10">
      <c r="A52" s="15">
        <v>45566</v>
      </c>
      <c r="B52" s="11">
        <f t="shared" si="0"/>
        <v>2024</v>
      </c>
      <c r="C52" s="13">
        <f t="shared" si="1"/>
        <v>10</v>
      </c>
      <c r="D52" s="11" t="s">
        <v>117</v>
      </c>
      <c r="E52" s="13">
        <v>25429</v>
      </c>
      <c r="F52" s="13">
        <v>0</v>
      </c>
      <c r="G52" s="11">
        <v>152</v>
      </c>
      <c r="H52" s="11"/>
      <c r="J52" s="14">
        <v>-0.91710000000000003</v>
      </c>
    </row>
    <row r="53" spans="1:10">
      <c r="A53" s="15">
        <v>45566</v>
      </c>
      <c r="B53" s="11">
        <f t="shared" si="0"/>
        <v>2024</v>
      </c>
      <c r="C53" s="13">
        <f t="shared" si="1"/>
        <v>10</v>
      </c>
      <c r="D53" s="11" t="s">
        <v>153</v>
      </c>
      <c r="E53" s="11" t="s">
        <v>107</v>
      </c>
      <c r="F53" s="13">
        <v>294</v>
      </c>
      <c r="G53" s="11">
        <v>0</v>
      </c>
      <c r="H53" s="11"/>
      <c r="J53" s="14">
        <v>0</v>
      </c>
    </row>
    <row r="54" spans="1:10">
      <c r="A54" s="15">
        <v>45597</v>
      </c>
      <c r="B54" s="11">
        <f t="shared" si="0"/>
        <v>2024</v>
      </c>
      <c r="C54" s="13">
        <f t="shared" si="1"/>
        <v>11</v>
      </c>
      <c r="D54" s="11" t="s">
        <v>150</v>
      </c>
      <c r="E54" s="13">
        <v>27779</v>
      </c>
      <c r="F54" s="13">
        <v>3149</v>
      </c>
      <c r="G54" s="13">
        <v>2558</v>
      </c>
      <c r="H54" s="14"/>
      <c r="J54" s="14">
        <v>0.3029</v>
      </c>
    </row>
    <row r="55" spans="1:10">
      <c r="A55" s="15">
        <v>45597</v>
      </c>
      <c r="B55" s="11">
        <f t="shared" si="0"/>
        <v>2024</v>
      </c>
      <c r="C55" s="13">
        <f t="shared" si="1"/>
        <v>11</v>
      </c>
      <c r="D55" s="11" t="s">
        <v>111</v>
      </c>
      <c r="E55" s="13">
        <v>13281</v>
      </c>
      <c r="F55" s="13">
        <v>4864</v>
      </c>
      <c r="G55" s="13">
        <v>728</v>
      </c>
      <c r="H55" s="14"/>
      <c r="J55" s="14">
        <v>0.58189999999999997</v>
      </c>
    </row>
    <row r="56" spans="1:10">
      <c r="A56" s="15">
        <v>45597</v>
      </c>
      <c r="B56" s="11">
        <f t="shared" si="0"/>
        <v>2024</v>
      </c>
      <c r="C56" s="13">
        <f t="shared" si="1"/>
        <v>11</v>
      </c>
      <c r="D56" s="11" t="s">
        <v>152</v>
      </c>
      <c r="E56" s="11">
        <v>716</v>
      </c>
      <c r="F56" s="13">
        <v>1033</v>
      </c>
      <c r="G56" s="13">
        <v>118</v>
      </c>
      <c r="H56" s="14"/>
      <c r="J56" s="14">
        <v>3.4161999999999999</v>
      </c>
    </row>
    <row r="57" spans="1:10">
      <c r="A57" s="15">
        <v>45597</v>
      </c>
      <c r="B57" s="11">
        <f t="shared" si="0"/>
        <v>2024</v>
      </c>
      <c r="C57" s="13">
        <f t="shared" si="1"/>
        <v>11</v>
      </c>
      <c r="D57" s="11" t="s">
        <v>153</v>
      </c>
      <c r="E57" s="11" t="s">
        <v>107</v>
      </c>
      <c r="F57" s="13">
        <v>1118</v>
      </c>
      <c r="G57" s="13">
        <v>0</v>
      </c>
      <c r="H57" s="14"/>
      <c r="J57" s="14">
        <v>0</v>
      </c>
    </row>
    <row r="58" spans="1:10">
      <c r="A58" s="15">
        <v>45597</v>
      </c>
      <c r="B58" s="11">
        <f t="shared" si="0"/>
        <v>2024</v>
      </c>
      <c r="C58" s="13">
        <f t="shared" si="1"/>
        <v>11</v>
      </c>
      <c r="D58" s="11" t="s">
        <v>117</v>
      </c>
      <c r="E58" s="13">
        <v>25430</v>
      </c>
      <c r="F58" s="13">
        <v>0</v>
      </c>
      <c r="G58" s="13">
        <v>0</v>
      </c>
      <c r="H58" s="14"/>
      <c r="J58" s="14">
        <v>-0.91710000000000003</v>
      </c>
    </row>
    <row r="59" spans="1:10">
      <c r="A59" s="15">
        <v>45597</v>
      </c>
      <c r="B59" s="11">
        <f t="shared" si="0"/>
        <v>2024</v>
      </c>
      <c r="C59" s="13">
        <f t="shared" si="1"/>
        <v>11</v>
      </c>
      <c r="D59" s="11" t="s">
        <v>22</v>
      </c>
      <c r="E59" s="13">
        <v>0</v>
      </c>
      <c r="F59" s="13">
        <v>0</v>
      </c>
      <c r="G59" s="11">
        <v>1177</v>
      </c>
      <c r="H59" s="14"/>
      <c r="J59" s="14">
        <v>0</v>
      </c>
    </row>
    <row r="60" spans="1:10">
      <c r="A60" s="15">
        <v>45627</v>
      </c>
      <c r="B60" s="11">
        <f t="shared" si="0"/>
        <v>2024</v>
      </c>
      <c r="C60" s="13">
        <f t="shared" si="1"/>
        <v>12</v>
      </c>
      <c r="D60" s="11" t="s">
        <v>150</v>
      </c>
      <c r="E60" s="13">
        <v>30767</v>
      </c>
      <c r="F60" s="13">
        <v>3053</v>
      </c>
      <c r="G60" s="13">
        <v>4316</v>
      </c>
      <c r="H60" s="14"/>
      <c r="J60" s="14">
        <v>0.27560000000000001</v>
      </c>
    </row>
    <row r="61" spans="1:10">
      <c r="A61" s="15">
        <v>45627</v>
      </c>
      <c r="B61" s="11">
        <f t="shared" si="0"/>
        <v>2024</v>
      </c>
      <c r="C61" s="13">
        <f t="shared" si="1"/>
        <v>12</v>
      </c>
      <c r="D61" s="11" t="s">
        <v>111</v>
      </c>
      <c r="E61" s="13">
        <v>14327</v>
      </c>
      <c r="F61" s="13">
        <v>5383</v>
      </c>
      <c r="G61" s="13">
        <v>1080</v>
      </c>
      <c r="H61" s="14"/>
      <c r="J61" s="14">
        <v>0.84209999999999996</v>
      </c>
    </row>
    <row r="62" spans="1:10">
      <c r="A62" s="15">
        <v>45627</v>
      </c>
      <c r="B62" s="11">
        <f t="shared" si="0"/>
        <v>2024</v>
      </c>
      <c r="C62" s="13">
        <f t="shared" si="1"/>
        <v>12</v>
      </c>
      <c r="D62" s="11" t="s">
        <v>152</v>
      </c>
      <c r="E62" s="13">
        <v>1186</v>
      </c>
      <c r="F62" s="13">
        <v>1095</v>
      </c>
      <c r="G62" s="13">
        <v>1193</v>
      </c>
      <c r="H62" s="14"/>
      <c r="J62" s="14">
        <v>2.5893999999999999</v>
      </c>
    </row>
    <row r="63" spans="1:10">
      <c r="A63" s="15">
        <v>45627</v>
      </c>
      <c r="B63" s="11">
        <f t="shared" si="0"/>
        <v>2024</v>
      </c>
      <c r="C63" s="13">
        <f t="shared" si="1"/>
        <v>12</v>
      </c>
      <c r="D63" s="11" t="s">
        <v>153</v>
      </c>
      <c r="E63" s="11" t="s">
        <v>107</v>
      </c>
      <c r="F63" s="13">
        <v>1597</v>
      </c>
      <c r="G63" s="13">
        <v>0</v>
      </c>
      <c r="H63" s="14"/>
      <c r="J63" s="14">
        <v>0</v>
      </c>
    </row>
    <row r="64" spans="1:10">
      <c r="A64" s="15">
        <v>45627</v>
      </c>
      <c r="B64" s="11">
        <f t="shared" si="0"/>
        <v>2024</v>
      </c>
      <c r="C64" s="13">
        <f t="shared" si="1"/>
        <v>12</v>
      </c>
      <c r="D64" s="11" t="s">
        <v>117</v>
      </c>
      <c r="E64" s="13">
        <v>25431</v>
      </c>
      <c r="F64" s="13">
        <v>0</v>
      </c>
      <c r="G64" s="13">
        <v>0</v>
      </c>
      <c r="H64" s="14"/>
      <c r="J64" s="14">
        <v>-0.90149999999999997</v>
      </c>
    </row>
    <row r="65" spans="1:10">
      <c r="A65" s="12">
        <v>45658</v>
      </c>
      <c r="B65" s="11">
        <f t="shared" si="0"/>
        <v>2025</v>
      </c>
      <c r="C65" s="13">
        <f t="shared" si="1"/>
        <v>1</v>
      </c>
      <c r="D65" s="11" t="s">
        <v>150</v>
      </c>
      <c r="E65" s="13"/>
      <c r="F65" s="13"/>
      <c r="G65" s="13"/>
      <c r="H65" s="13">
        <v>4397</v>
      </c>
      <c r="J65" s="14"/>
    </row>
    <row r="66" spans="1:10">
      <c r="A66" s="12">
        <v>45658</v>
      </c>
      <c r="B66" s="11">
        <f t="shared" si="0"/>
        <v>2025</v>
      </c>
      <c r="C66" s="13">
        <f t="shared" si="1"/>
        <v>1</v>
      </c>
      <c r="D66" s="11" t="s">
        <v>151</v>
      </c>
      <c r="E66" s="13"/>
      <c r="G66" s="13"/>
      <c r="H66" s="13">
        <v>921</v>
      </c>
      <c r="J66" s="14"/>
    </row>
    <row r="67" spans="1:10">
      <c r="A67" s="12">
        <v>45658</v>
      </c>
      <c r="B67" s="11">
        <f t="shared" si="0"/>
        <v>2025</v>
      </c>
      <c r="C67" s="13">
        <f t="shared" si="1"/>
        <v>1</v>
      </c>
      <c r="D67" s="11" t="s">
        <v>152</v>
      </c>
      <c r="H67" s="13">
        <v>244</v>
      </c>
      <c r="J67" s="14"/>
    </row>
    <row r="68" spans="1:10">
      <c r="A68" s="12">
        <v>45658</v>
      </c>
      <c r="B68" s="11">
        <f t="shared" si="0"/>
        <v>2025</v>
      </c>
      <c r="C68" s="13">
        <f t="shared" si="1"/>
        <v>1</v>
      </c>
      <c r="D68" s="11" t="s">
        <v>153</v>
      </c>
      <c r="H68" s="13">
        <v>0</v>
      </c>
      <c r="J68" s="14"/>
    </row>
    <row r="69" spans="1:10">
      <c r="A69" s="12">
        <v>45658</v>
      </c>
      <c r="B69" s="11">
        <f t="shared" si="0"/>
        <v>2025</v>
      </c>
      <c r="C69" s="13">
        <f t="shared" si="1"/>
        <v>1</v>
      </c>
      <c r="D69" s="11" t="s">
        <v>117</v>
      </c>
      <c r="E69" s="13"/>
      <c r="H69" s="13">
        <v>377</v>
      </c>
      <c r="J69" s="14"/>
    </row>
    <row r="70" spans="1:10">
      <c r="A70" s="12">
        <v>45689</v>
      </c>
      <c r="B70" s="11">
        <f t="shared" si="0"/>
        <v>2025</v>
      </c>
      <c r="C70" s="13">
        <f t="shared" si="1"/>
        <v>2</v>
      </c>
      <c r="D70" s="11" t="s">
        <v>150</v>
      </c>
      <c r="F70" s="13"/>
      <c r="G70" s="14"/>
      <c r="H70" s="13">
        <v>9153</v>
      </c>
      <c r="J70" s="14"/>
    </row>
    <row r="71" spans="1:10">
      <c r="A71" s="12">
        <v>45689</v>
      </c>
      <c r="B71" s="11">
        <f t="shared" si="0"/>
        <v>2025</v>
      </c>
      <c r="C71" s="13">
        <f t="shared" si="1"/>
        <v>2</v>
      </c>
      <c r="D71" s="11" t="s">
        <v>151</v>
      </c>
      <c r="E71" s="13"/>
      <c r="F71" s="13"/>
      <c r="G71" s="14"/>
      <c r="H71" s="13">
        <v>2590</v>
      </c>
      <c r="J71" s="14"/>
    </row>
    <row r="72" spans="1:10">
      <c r="A72" s="12">
        <v>45689</v>
      </c>
      <c r="B72" s="11">
        <f t="shared" si="0"/>
        <v>2025</v>
      </c>
      <c r="C72" s="13">
        <f t="shared" si="1"/>
        <v>2</v>
      </c>
      <c r="D72" s="11" t="s">
        <v>152</v>
      </c>
      <c r="G72" s="14"/>
      <c r="H72" s="13">
        <v>817</v>
      </c>
      <c r="J72" s="14"/>
    </row>
    <row r="73" spans="1:10">
      <c r="A73" s="12">
        <v>45689</v>
      </c>
      <c r="B73" s="11">
        <f t="shared" si="0"/>
        <v>2025</v>
      </c>
      <c r="C73" s="13">
        <f t="shared" si="1"/>
        <v>2</v>
      </c>
      <c r="D73" s="11" t="s">
        <v>153</v>
      </c>
      <c r="G73" s="14"/>
      <c r="H73" s="11">
        <v>0</v>
      </c>
      <c r="J73" s="14"/>
    </row>
    <row r="74" spans="1:10">
      <c r="A74" s="12">
        <v>45689</v>
      </c>
      <c r="B74" s="11">
        <f t="shared" si="0"/>
        <v>2025</v>
      </c>
      <c r="C74" s="13">
        <f t="shared" si="1"/>
        <v>2</v>
      </c>
      <c r="D74" s="11" t="s">
        <v>117</v>
      </c>
      <c r="G74" s="14"/>
      <c r="H74" s="13">
        <v>1096</v>
      </c>
      <c r="J74" s="14"/>
    </row>
    <row r="75" spans="1:10">
      <c r="A75" s="12">
        <v>45717</v>
      </c>
      <c r="B75" s="11">
        <f t="shared" si="0"/>
        <v>2025</v>
      </c>
      <c r="C75" s="13">
        <f t="shared" si="1"/>
        <v>3</v>
      </c>
      <c r="D75" s="11" t="s">
        <v>150</v>
      </c>
      <c r="H75" s="13">
        <v>13621</v>
      </c>
    </row>
    <row r="76" spans="1:10">
      <c r="A76" s="12">
        <v>45717</v>
      </c>
      <c r="B76" s="11">
        <f t="shared" si="0"/>
        <v>2025</v>
      </c>
      <c r="C76" s="13">
        <f t="shared" si="1"/>
        <v>3</v>
      </c>
      <c r="D76" s="11" t="s">
        <v>151</v>
      </c>
      <c r="H76" s="13">
        <v>3112</v>
      </c>
    </row>
    <row r="77" spans="1:10">
      <c r="A77" s="12">
        <v>45717</v>
      </c>
      <c r="B77" s="11">
        <f t="shared" si="0"/>
        <v>2025</v>
      </c>
      <c r="C77" s="13">
        <f t="shared" si="1"/>
        <v>3</v>
      </c>
      <c r="D77" s="11" t="s">
        <v>155</v>
      </c>
      <c r="H77" s="13">
        <v>1333</v>
      </c>
    </row>
    <row r="78" spans="1:10">
      <c r="A78" s="12">
        <v>45717</v>
      </c>
      <c r="B78" s="11">
        <f t="shared" si="0"/>
        <v>2025</v>
      </c>
      <c r="C78" s="13">
        <f t="shared" si="1"/>
        <v>3</v>
      </c>
      <c r="D78" s="11" t="s">
        <v>152</v>
      </c>
      <c r="H78" s="13">
        <v>1202</v>
      </c>
    </row>
    <row r="79" spans="1:10">
      <c r="A79" s="12">
        <v>45718</v>
      </c>
      <c r="B79" s="11">
        <f t="shared" si="0"/>
        <v>2025</v>
      </c>
      <c r="C79" s="13">
        <f t="shared" si="1"/>
        <v>3</v>
      </c>
      <c r="D79" s="11" t="s">
        <v>154</v>
      </c>
      <c r="H79" s="11">
        <v>178</v>
      </c>
    </row>
    <row r="80" spans="1:10">
      <c r="A80" s="12">
        <v>45719</v>
      </c>
      <c r="B80" s="11">
        <f t="shared" si="0"/>
        <v>2025</v>
      </c>
      <c r="C80" s="13">
        <f t="shared" si="1"/>
        <v>3</v>
      </c>
      <c r="D80" s="11" t="s">
        <v>103</v>
      </c>
      <c r="H80" s="11">
        <v>0</v>
      </c>
    </row>
    <row r="81" spans="1:10">
      <c r="A81" s="12">
        <v>45720</v>
      </c>
      <c r="B81" s="11">
        <f t="shared" si="0"/>
        <v>2025</v>
      </c>
      <c r="C81" s="13">
        <f t="shared" si="1"/>
        <v>3</v>
      </c>
      <c r="D81" s="11" t="s">
        <v>115</v>
      </c>
      <c r="H81" s="11">
        <v>0</v>
      </c>
    </row>
    <row r="82" spans="1:10">
      <c r="A82" s="12">
        <v>45721</v>
      </c>
      <c r="B82" s="11">
        <f t="shared" si="0"/>
        <v>2025</v>
      </c>
      <c r="C82" s="13">
        <f t="shared" si="1"/>
        <v>3</v>
      </c>
      <c r="D82" s="11" t="s">
        <v>120</v>
      </c>
      <c r="H82" s="11">
        <v>0</v>
      </c>
    </row>
    <row r="83" spans="1:10">
      <c r="A83" s="12">
        <v>45748</v>
      </c>
      <c r="B83" s="11">
        <f t="shared" si="0"/>
        <v>2025</v>
      </c>
      <c r="C83" s="13">
        <f t="shared" si="1"/>
        <v>4</v>
      </c>
      <c r="D83" s="11" t="s">
        <v>113</v>
      </c>
      <c r="H83" s="13">
        <v>16903</v>
      </c>
    </row>
    <row r="84" spans="1:10">
      <c r="A84" s="12">
        <v>45749</v>
      </c>
      <c r="B84" s="11">
        <f t="shared" si="0"/>
        <v>2025</v>
      </c>
      <c r="C84" s="13">
        <f t="shared" si="1"/>
        <v>4</v>
      </c>
      <c r="D84" s="11" t="s">
        <v>111</v>
      </c>
      <c r="H84" s="13">
        <v>3112</v>
      </c>
    </row>
    <row r="85" spans="1:10">
      <c r="A85" s="12">
        <v>45750</v>
      </c>
      <c r="B85" s="11">
        <f t="shared" si="0"/>
        <v>2025</v>
      </c>
      <c r="C85" s="13">
        <f t="shared" si="1"/>
        <v>4</v>
      </c>
      <c r="D85" s="11" t="s">
        <v>119</v>
      </c>
      <c r="H85" s="13">
        <v>1333</v>
      </c>
    </row>
    <row r="86" spans="1:10">
      <c r="A86" s="12">
        <v>45751</v>
      </c>
      <c r="B86" s="11">
        <f t="shared" si="0"/>
        <v>2025</v>
      </c>
      <c r="C86" s="13">
        <f t="shared" si="1"/>
        <v>4</v>
      </c>
      <c r="D86" s="11" t="s">
        <v>116</v>
      </c>
      <c r="H86" s="13">
        <v>2094</v>
      </c>
    </row>
    <row r="87" spans="1:10">
      <c r="A87" s="12">
        <v>45752</v>
      </c>
      <c r="B87" s="11">
        <f t="shared" si="0"/>
        <v>2025</v>
      </c>
      <c r="C87" s="13">
        <f t="shared" si="1"/>
        <v>4</v>
      </c>
      <c r="D87" s="11" t="s">
        <v>118</v>
      </c>
      <c r="H87" s="11">
        <v>178</v>
      </c>
    </row>
    <row r="88" spans="1:10">
      <c r="A88" s="12">
        <v>45753</v>
      </c>
      <c r="B88" s="11">
        <f t="shared" si="0"/>
        <v>2025</v>
      </c>
      <c r="C88" s="13">
        <f t="shared" si="1"/>
        <v>4</v>
      </c>
      <c r="D88" s="11" t="s">
        <v>103</v>
      </c>
      <c r="H88" s="11">
        <v>0</v>
      </c>
    </row>
    <row r="89" spans="1:10">
      <c r="A89" s="12">
        <v>45754</v>
      </c>
      <c r="B89" s="11">
        <f t="shared" si="0"/>
        <v>2025</v>
      </c>
      <c r="C89" s="13">
        <f t="shared" si="1"/>
        <v>4</v>
      </c>
      <c r="D89" s="11" t="s">
        <v>115</v>
      </c>
      <c r="H89" s="11">
        <v>0</v>
      </c>
    </row>
    <row r="90" spans="1:10">
      <c r="A90" s="12">
        <v>45755</v>
      </c>
      <c r="B90" s="11">
        <f t="shared" si="0"/>
        <v>2025</v>
      </c>
      <c r="C90" s="13">
        <f t="shared" si="1"/>
        <v>4</v>
      </c>
      <c r="D90" s="11" t="s">
        <v>120</v>
      </c>
      <c r="H90" s="11">
        <v>0</v>
      </c>
    </row>
    <row r="91" spans="1:10">
      <c r="A91" s="12">
        <v>45778</v>
      </c>
      <c r="B91" s="11">
        <f t="shared" si="0"/>
        <v>2025</v>
      </c>
      <c r="C91" s="13">
        <f t="shared" si="1"/>
        <v>5</v>
      </c>
      <c r="D91" s="11" t="s">
        <v>150</v>
      </c>
      <c r="H91" s="13">
        <v>22186</v>
      </c>
      <c r="J91" s="14"/>
    </row>
    <row r="92" spans="1:10">
      <c r="A92" s="12">
        <v>45779</v>
      </c>
      <c r="B92" s="11">
        <f t="shared" si="0"/>
        <v>2025</v>
      </c>
      <c r="C92" s="13">
        <f t="shared" si="1"/>
        <v>5</v>
      </c>
      <c r="D92" s="11" t="s">
        <v>151</v>
      </c>
      <c r="H92" s="13">
        <v>2431</v>
      </c>
      <c r="J92" s="14"/>
    </row>
    <row r="93" spans="1:10">
      <c r="A93" s="12">
        <v>45780</v>
      </c>
      <c r="B93" s="11">
        <f t="shared" si="0"/>
        <v>2025</v>
      </c>
      <c r="C93" s="13">
        <f t="shared" si="1"/>
        <v>5</v>
      </c>
      <c r="D93" s="11" t="s">
        <v>152</v>
      </c>
      <c r="H93" s="13">
        <v>2281</v>
      </c>
      <c r="J93" s="14"/>
    </row>
    <row r="94" spans="1:10">
      <c r="A94" s="12">
        <v>45781</v>
      </c>
      <c r="B94" s="11">
        <f t="shared" si="0"/>
        <v>2025</v>
      </c>
      <c r="C94" s="13">
        <f t="shared" si="1"/>
        <v>5</v>
      </c>
      <c r="D94" s="11" t="s">
        <v>155</v>
      </c>
      <c r="H94" s="13">
        <v>1333</v>
      </c>
      <c r="J94" s="14"/>
    </row>
    <row r="95" spans="1:10">
      <c r="A95" s="12">
        <v>45782</v>
      </c>
      <c r="B95" s="11">
        <f t="shared" si="0"/>
        <v>2025</v>
      </c>
      <c r="C95" s="13">
        <f t="shared" si="1"/>
        <v>5</v>
      </c>
      <c r="D95" s="11" t="s">
        <v>154</v>
      </c>
      <c r="H95" s="11">
        <v>178</v>
      </c>
      <c r="J95" s="14"/>
    </row>
    <row r="96" spans="1:10">
      <c r="A96" s="12">
        <v>45783</v>
      </c>
      <c r="B96" s="11">
        <f t="shared" si="0"/>
        <v>2025</v>
      </c>
      <c r="C96" s="13">
        <f t="shared" si="1"/>
        <v>5</v>
      </c>
      <c r="D96" s="11" t="s">
        <v>153</v>
      </c>
      <c r="H96" s="11">
        <v>0</v>
      </c>
      <c r="J96" s="14"/>
    </row>
    <row r="97" spans="1:8">
      <c r="A97" s="12">
        <v>45815</v>
      </c>
      <c r="B97" s="11">
        <f t="shared" si="0"/>
        <v>2025</v>
      </c>
      <c r="C97" s="13">
        <f t="shared" si="1"/>
        <v>6</v>
      </c>
      <c r="D97" s="11" t="s">
        <v>150</v>
      </c>
      <c r="H97" s="13">
        <v>27674</v>
      </c>
    </row>
    <row r="98" spans="1:8">
      <c r="A98" s="12">
        <v>45816</v>
      </c>
      <c r="B98" s="11">
        <f t="shared" si="0"/>
        <v>2025</v>
      </c>
      <c r="C98" s="13">
        <f t="shared" si="1"/>
        <v>6</v>
      </c>
      <c r="D98" s="11" t="s">
        <v>151</v>
      </c>
      <c r="H98" s="13">
        <v>2468</v>
      </c>
    </row>
    <row r="99" spans="1:8">
      <c r="A99" s="12">
        <v>45817</v>
      </c>
      <c r="B99" s="11">
        <f t="shared" si="0"/>
        <v>2025</v>
      </c>
      <c r="C99" s="13">
        <f t="shared" si="1"/>
        <v>6</v>
      </c>
      <c r="D99" s="11" t="s">
        <v>152</v>
      </c>
      <c r="H99" s="13">
        <v>2345</v>
      </c>
    </row>
    <row r="100" spans="1:8">
      <c r="A100" s="12">
        <v>45818</v>
      </c>
      <c r="B100" s="11">
        <f t="shared" si="0"/>
        <v>2025</v>
      </c>
      <c r="C100" s="13">
        <f t="shared" si="1"/>
        <v>6</v>
      </c>
      <c r="D100" s="11" t="s">
        <v>155</v>
      </c>
      <c r="H100" s="13">
        <v>1333</v>
      </c>
    </row>
    <row r="101" spans="1:8">
      <c r="A101" s="12">
        <v>45819</v>
      </c>
      <c r="B101" s="11">
        <f t="shared" si="0"/>
        <v>2025</v>
      </c>
      <c r="C101" s="13">
        <f t="shared" si="1"/>
        <v>6</v>
      </c>
      <c r="D101" s="11" t="s">
        <v>154</v>
      </c>
      <c r="H101" s="11">
        <v>178</v>
      </c>
    </row>
    <row r="102" spans="1:8">
      <c r="A102" s="12">
        <v>45820</v>
      </c>
      <c r="B102" s="11">
        <f t="shared" si="0"/>
        <v>2025</v>
      </c>
      <c r="C102" s="13">
        <f t="shared" si="1"/>
        <v>6</v>
      </c>
      <c r="D102" s="11" t="s">
        <v>153</v>
      </c>
      <c r="H102" s="11">
        <v>0</v>
      </c>
    </row>
    <row r="103" spans="1:8">
      <c r="A103" s="12">
        <v>45839</v>
      </c>
      <c r="B103" s="11">
        <f t="shared" si="0"/>
        <v>2025</v>
      </c>
      <c r="C103" s="13">
        <f t="shared" si="1"/>
        <v>7</v>
      </c>
      <c r="D103" s="11" t="s">
        <v>117</v>
      </c>
      <c r="H103" s="101">
        <v>1333</v>
      </c>
    </row>
    <row r="104" spans="1:8">
      <c r="A104" s="12">
        <v>45840</v>
      </c>
      <c r="B104" s="11">
        <f t="shared" si="0"/>
        <v>2025</v>
      </c>
      <c r="C104" s="13">
        <f t="shared" si="1"/>
        <v>7</v>
      </c>
      <c r="D104" s="11" t="s">
        <v>150</v>
      </c>
      <c r="H104" s="101">
        <v>33129</v>
      </c>
    </row>
    <row r="105" spans="1:8">
      <c r="A105" s="12">
        <v>45841</v>
      </c>
      <c r="B105" s="11">
        <f t="shared" si="0"/>
        <v>2025</v>
      </c>
      <c r="C105" s="13">
        <f t="shared" si="1"/>
        <v>7</v>
      </c>
      <c r="D105" s="11" t="s">
        <v>151</v>
      </c>
      <c r="H105" s="101">
        <v>3650</v>
      </c>
    </row>
    <row r="106" spans="1:8">
      <c r="A106" s="12">
        <v>45842</v>
      </c>
      <c r="B106" s="11">
        <f t="shared" si="0"/>
        <v>2025</v>
      </c>
      <c r="C106" s="13">
        <f t="shared" si="1"/>
        <v>7</v>
      </c>
      <c r="D106" s="11" t="s">
        <v>152</v>
      </c>
      <c r="H106" s="11">
        <v>3405</v>
      </c>
    </row>
    <row r="107" spans="1:8">
      <c r="A107" s="12">
        <v>45843</v>
      </c>
      <c r="B107" s="11">
        <f t="shared" si="0"/>
        <v>2025</v>
      </c>
      <c r="C107" s="13">
        <f t="shared" si="1"/>
        <v>7</v>
      </c>
      <c r="D107" s="11" t="s">
        <v>153</v>
      </c>
      <c r="H107" s="11">
        <v>0</v>
      </c>
    </row>
    <row r="108" spans="1:8">
      <c r="A108" s="12">
        <v>45844</v>
      </c>
      <c r="B108" s="11">
        <f t="shared" si="0"/>
        <v>2025</v>
      </c>
      <c r="C108" s="13">
        <f t="shared" si="1"/>
        <v>7</v>
      </c>
      <c r="D108" s="11" t="s">
        <v>154</v>
      </c>
      <c r="H108" s="11">
        <v>178</v>
      </c>
    </row>
    <row r="109" spans="1:8">
      <c r="A109" s="12">
        <v>45870</v>
      </c>
      <c r="B109" s="11">
        <f t="shared" si="0"/>
        <v>2025</v>
      </c>
      <c r="C109" s="13">
        <f t="shared" si="1"/>
        <v>8</v>
      </c>
      <c r="D109" s="11" t="s">
        <v>117</v>
      </c>
      <c r="H109" s="104">
        <v>1333</v>
      </c>
    </row>
    <row r="110" spans="1:8">
      <c r="A110" s="12">
        <v>45870</v>
      </c>
      <c r="B110" s="11">
        <f t="shared" si="0"/>
        <v>2025</v>
      </c>
      <c r="C110" s="13">
        <f t="shared" si="1"/>
        <v>8</v>
      </c>
      <c r="D110" s="11" t="s">
        <v>150</v>
      </c>
      <c r="H110" s="101">
        <v>36676</v>
      </c>
    </row>
    <row r="111" spans="1:8">
      <c r="A111" s="12">
        <v>45870</v>
      </c>
      <c r="B111" s="11">
        <f t="shared" si="0"/>
        <v>2025</v>
      </c>
      <c r="C111" s="13">
        <f t="shared" si="1"/>
        <v>8</v>
      </c>
      <c r="D111" s="11" t="s">
        <v>151</v>
      </c>
      <c r="H111" s="101">
        <v>3650</v>
      </c>
    </row>
    <row r="112" spans="1:8">
      <c r="A112" s="12">
        <v>45870</v>
      </c>
      <c r="B112" s="11">
        <f t="shared" si="0"/>
        <v>2025</v>
      </c>
      <c r="C112" s="13">
        <f t="shared" si="1"/>
        <v>8</v>
      </c>
      <c r="D112" s="11" t="s">
        <v>152</v>
      </c>
      <c r="H112" s="101">
        <v>3654</v>
      </c>
    </row>
    <row r="113" spans="1:8">
      <c r="A113" s="12">
        <v>45870</v>
      </c>
      <c r="B113" s="11">
        <f t="shared" si="0"/>
        <v>2025</v>
      </c>
      <c r="C113" s="13">
        <f t="shared" si="1"/>
        <v>8</v>
      </c>
      <c r="D113" s="11" t="s">
        <v>153</v>
      </c>
      <c r="H113" s="101">
        <v>0</v>
      </c>
    </row>
    <row r="114" spans="1:8">
      <c r="A114" s="12">
        <v>45870</v>
      </c>
      <c r="B114" s="11">
        <f t="shared" si="0"/>
        <v>2025</v>
      </c>
      <c r="C114" s="13">
        <f t="shared" si="1"/>
        <v>8</v>
      </c>
      <c r="D114" s="11" t="s">
        <v>154</v>
      </c>
      <c r="H114" s="104">
        <v>236</v>
      </c>
    </row>
    <row r="115" spans="1:8">
      <c r="A115" s="12">
        <v>45901</v>
      </c>
      <c r="B115" s="11">
        <f t="shared" si="0"/>
        <v>2025</v>
      </c>
      <c r="C115" s="13">
        <f t="shared" si="1"/>
        <v>9</v>
      </c>
      <c r="D115" s="11" t="s">
        <v>150</v>
      </c>
      <c r="H115" s="13">
        <v>39923</v>
      </c>
    </row>
    <row r="116" spans="1:8">
      <c r="A116" s="12">
        <v>45901</v>
      </c>
      <c r="B116" s="11">
        <f t="shared" si="0"/>
        <v>2025</v>
      </c>
      <c r="C116" s="13">
        <f t="shared" si="1"/>
        <v>9</v>
      </c>
      <c r="D116" s="11" t="s">
        <v>111</v>
      </c>
      <c r="H116" s="13">
        <v>3872</v>
      </c>
    </row>
    <row r="117" spans="1:8">
      <c r="A117" s="12">
        <v>45901</v>
      </c>
      <c r="B117" s="11">
        <f t="shared" si="0"/>
        <v>2025</v>
      </c>
      <c r="C117" s="13">
        <f t="shared" si="1"/>
        <v>9</v>
      </c>
      <c r="D117" s="11" t="s">
        <v>117</v>
      </c>
      <c r="H117" s="13">
        <v>1333</v>
      </c>
    </row>
    <row r="118" spans="1:8">
      <c r="A118" s="12">
        <v>45901</v>
      </c>
      <c r="B118" s="11">
        <f t="shared" si="0"/>
        <v>2025</v>
      </c>
      <c r="C118" s="13">
        <f t="shared" si="1"/>
        <v>9</v>
      </c>
      <c r="D118" s="11" t="s">
        <v>152</v>
      </c>
      <c r="H118" s="13">
        <v>4570</v>
      </c>
    </row>
    <row r="119" spans="1:8">
      <c r="A119" s="12">
        <v>45901</v>
      </c>
      <c r="B119" s="11">
        <f t="shared" si="0"/>
        <v>2025</v>
      </c>
      <c r="C119" s="13">
        <f t="shared" si="1"/>
        <v>9</v>
      </c>
      <c r="D119" s="11" t="s">
        <v>153</v>
      </c>
      <c r="H119" s="11">
        <v>0</v>
      </c>
    </row>
    <row r="120" spans="1:8">
      <c r="A120" s="12">
        <v>45901</v>
      </c>
      <c r="B120" s="11">
        <f t="shared" si="0"/>
        <v>2025</v>
      </c>
      <c r="C120" s="13">
        <f t="shared" si="1"/>
        <v>9</v>
      </c>
      <c r="D120" s="11" t="s">
        <v>154</v>
      </c>
      <c r="H120" s="11">
        <v>236</v>
      </c>
    </row>
    <row r="121" spans="1:8">
      <c r="A121" s="15">
        <v>45931</v>
      </c>
      <c r="B121" s="11">
        <f t="shared" si="0"/>
        <v>2025</v>
      </c>
      <c r="C121" s="13">
        <f t="shared" si="1"/>
        <v>10</v>
      </c>
      <c r="D121" s="11" t="s">
        <v>150</v>
      </c>
      <c r="H121" s="11">
        <v>44681</v>
      </c>
    </row>
    <row r="122" spans="1:8">
      <c r="A122" s="15">
        <v>45931</v>
      </c>
      <c r="B122" s="11">
        <f t="shared" si="0"/>
        <v>2025</v>
      </c>
      <c r="C122" s="13">
        <f t="shared" si="1"/>
        <v>10</v>
      </c>
      <c r="D122" s="11" t="s">
        <v>111</v>
      </c>
      <c r="H122" s="11">
        <v>2664</v>
      </c>
    </row>
    <row r="123" spans="1:8">
      <c r="A123" s="15">
        <v>45931</v>
      </c>
      <c r="B123" s="11">
        <f t="shared" si="0"/>
        <v>2025</v>
      </c>
      <c r="C123" s="13">
        <f t="shared" si="1"/>
        <v>10</v>
      </c>
      <c r="D123" s="11" t="s">
        <v>152</v>
      </c>
      <c r="H123" s="11">
        <v>4933</v>
      </c>
    </row>
    <row r="124" spans="1:8">
      <c r="A124" s="15">
        <v>45931</v>
      </c>
      <c r="B124" s="11">
        <f t="shared" si="0"/>
        <v>2025</v>
      </c>
      <c r="C124" s="13">
        <f t="shared" si="1"/>
        <v>10</v>
      </c>
      <c r="D124" s="11" t="s">
        <v>117</v>
      </c>
      <c r="H124" s="11">
        <v>1333</v>
      </c>
    </row>
    <row r="125" spans="1:8">
      <c r="A125" s="15">
        <v>45931</v>
      </c>
      <c r="B125" s="11">
        <f t="shared" si="0"/>
        <v>2025</v>
      </c>
      <c r="C125" s="13">
        <f t="shared" si="1"/>
        <v>10</v>
      </c>
      <c r="D125" s="11" t="s">
        <v>153</v>
      </c>
      <c r="H125" s="11">
        <v>0</v>
      </c>
    </row>
    <row r="126" spans="1:8">
      <c r="A126" s="15">
        <v>45931</v>
      </c>
      <c r="B126" s="11">
        <f t="shared" si="0"/>
        <v>2025</v>
      </c>
      <c r="C126" s="13">
        <f t="shared" si="1"/>
        <v>10</v>
      </c>
      <c r="D126" s="11" t="s">
        <v>154</v>
      </c>
      <c r="H126" s="11">
        <v>181</v>
      </c>
    </row>
    <row r="127" spans="1:8">
      <c r="A127" s="15">
        <v>45962</v>
      </c>
      <c r="B127" s="11">
        <f t="shared" si="0"/>
        <v>2025</v>
      </c>
      <c r="C127" s="13">
        <f t="shared" si="1"/>
        <v>11</v>
      </c>
      <c r="D127" s="11" t="s">
        <v>150</v>
      </c>
      <c r="H127" s="13">
        <v>47062</v>
      </c>
    </row>
    <row r="128" spans="1:8">
      <c r="A128" s="15">
        <v>45962</v>
      </c>
      <c r="B128" s="11">
        <f t="shared" si="0"/>
        <v>2025</v>
      </c>
      <c r="C128" s="13">
        <f t="shared" si="1"/>
        <v>11</v>
      </c>
      <c r="D128" s="11" t="s">
        <v>111</v>
      </c>
      <c r="H128" s="11">
        <v>3768</v>
      </c>
    </row>
    <row r="129" spans="1:10">
      <c r="A129" s="15">
        <v>45962</v>
      </c>
      <c r="B129" s="11">
        <f t="shared" si="0"/>
        <v>2025</v>
      </c>
      <c r="C129" s="13">
        <f t="shared" si="1"/>
        <v>11</v>
      </c>
      <c r="D129" s="11" t="s">
        <v>152</v>
      </c>
      <c r="H129" s="11">
        <v>5389</v>
      </c>
    </row>
    <row r="130" spans="1:10">
      <c r="A130" s="15">
        <v>45962</v>
      </c>
      <c r="B130" s="11">
        <f t="shared" si="0"/>
        <v>2025</v>
      </c>
      <c r="C130" s="13">
        <f t="shared" si="1"/>
        <v>11</v>
      </c>
      <c r="D130" s="11" t="s">
        <v>153</v>
      </c>
      <c r="H130" s="11">
        <v>0</v>
      </c>
    </row>
    <row r="131" spans="1:10">
      <c r="A131" s="15">
        <v>45962</v>
      </c>
      <c r="B131" s="11">
        <f t="shared" si="0"/>
        <v>2025</v>
      </c>
      <c r="C131" s="13">
        <f t="shared" si="1"/>
        <v>11</v>
      </c>
      <c r="D131" s="11" t="s">
        <v>117</v>
      </c>
      <c r="H131" s="11">
        <v>1535</v>
      </c>
    </row>
    <row r="132" spans="1:10">
      <c r="A132" s="15">
        <v>45962</v>
      </c>
      <c r="B132" s="11">
        <f t="shared" si="0"/>
        <v>2025</v>
      </c>
      <c r="C132" s="13">
        <f t="shared" si="1"/>
        <v>11</v>
      </c>
      <c r="D132" s="11" t="s">
        <v>154</v>
      </c>
      <c r="H132" s="11">
        <v>181</v>
      </c>
    </row>
    <row r="133" spans="1:10">
      <c r="A133" s="15">
        <v>45992</v>
      </c>
      <c r="B133" s="11">
        <f t="shared" si="0"/>
        <v>2025</v>
      </c>
      <c r="C133" s="13">
        <f t="shared" si="1"/>
        <v>12</v>
      </c>
      <c r="D133" s="11" t="s">
        <v>150</v>
      </c>
      <c r="H133" s="13">
        <v>1262</v>
      </c>
    </row>
    <row r="134" spans="1:10">
      <c r="A134" s="15">
        <v>45992</v>
      </c>
      <c r="B134" s="11">
        <f t="shared" si="0"/>
        <v>2025</v>
      </c>
      <c r="C134" s="13">
        <f t="shared" si="1"/>
        <v>12</v>
      </c>
      <c r="D134" s="11" t="s">
        <v>152</v>
      </c>
      <c r="H134" s="11">
        <v>731</v>
      </c>
    </row>
    <row r="135" spans="1:10">
      <c r="A135" s="15">
        <v>45992</v>
      </c>
      <c r="B135" s="11">
        <f t="shared" si="0"/>
        <v>2025</v>
      </c>
      <c r="C135" s="13">
        <f t="shared" si="1"/>
        <v>12</v>
      </c>
      <c r="D135" s="11" t="s">
        <v>111</v>
      </c>
      <c r="H135" s="13">
        <v>1143</v>
      </c>
    </row>
    <row r="136" spans="1:10">
      <c r="A136" s="15">
        <v>45992</v>
      </c>
      <c r="B136" s="11">
        <f t="shared" si="0"/>
        <v>2025</v>
      </c>
      <c r="C136" s="13">
        <f t="shared" si="1"/>
        <v>12</v>
      </c>
      <c r="D136" s="11" t="s">
        <v>117</v>
      </c>
      <c r="H136" s="11">
        <v>0</v>
      </c>
    </row>
    <row r="137" spans="1:10">
      <c r="A137" s="15">
        <v>45992</v>
      </c>
      <c r="B137" s="11">
        <f t="shared" si="0"/>
        <v>2025</v>
      </c>
      <c r="C137" s="13">
        <f t="shared" si="1"/>
        <v>12</v>
      </c>
      <c r="D137" s="11" t="s">
        <v>154</v>
      </c>
      <c r="H137" s="11">
        <v>0</v>
      </c>
    </row>
    <row r="138" spans="1:10">
      <c r="A138" s="15">
        <v>45992</v>
      </c>
      <c r="B138" s="11">
        <f t="shared" si="0"/>
        <v>2025</v>
      </c>
      <c r="C138" s="13">
        <f t="shared" si="1"/>
        <v>12</v>
      </c>
      <c r="D138" s="11" t="s">
        <v>153</v>
      </c>
      <c r="H138" s="11">
        <v>0</v>
      </c>
    </row>
    <row r="139" spans="1:10">
      <c r="A139" s="12">
        <v>46038</v>
      </c>
      <c r="B139" s="11">
        <v>2026</v>
      </c>
      <c r="C139" s="13">
        <f t="shared" si="1"/>
        <v>1</v>
      </c>
      <c r="D139" s="105" t="s">
        <v>150</v>
      </c>
      <c r="I139" s="13">
        <v>2928</v>
      </c>
      <c r="J139" s="14">
        <v>-0.33410000000000001</v>
      </c>
    </row>
    <row r="140" spans="1:10">
      <c r="A140" s="12">
        <v>46039</v>
      </c>
      <c r="B140" s="11">
        <v>2026</v>
      </c>
      <c r="C140" s="13">
        <f t="shared" si="1"/>
        <v>1</v>
      </c>
      <c r="D140" s="105" t="s">
        <v>111</v>
      </c>
      <c r="I140" s="13">
        <v>2660</v>
      </c>
      <c r="J140" s="14">
        <v>3.0672999999999999</v>
      </c>
    </row>
    <row r="141" spans="1:10">
      <c r="A141" s="12">
        <v>46040</v>
      </c>
      <c r="B141" s="11">
        <v>2026</v>
      </c>
      <c r="C141" s="13">
        <f t="shared" si="1"/>
        <v>1</v>
      </c>
      <c r="D141" s="105" t="s">
        <v>152</v>
      </c>
      <c r="I141" s="13">
        <v>1346</v>
      </c>
      <c r="J141" s="14">
        <v>4.5620000000000003</v>
      </c>
    </row>
    <row r="142" spans="1:10">
      <c r="A142" s="12">
        <v>46041</v>
      </c>
      <c r="B142" s="11">
        <v>2026</v>
      </c>
      <c r="C142" s="13">
        <f t="shared" si="1"/>
        <v>1</v>
      </c>
      <c r="D142" s="105" t="s">
        <v>153</v>
      </c>
      <c r="I142" s="13">
        <v>0</v>
      </c>
      <c r="J142" s="14">
        <v>0</v>
      </c>
    </row>
    <row r="143" spans="1:10">
      <c r="A143" s="12">
        <v>46043</v>
      </c>
      <c r="B143" s="11">
        <v>2026</v>
      </c>
      <c r="C143" s="13">
        <f t="shared" si="1"/>
        <v>1</v>
      </c>
      <c r="D143" s="11" t="s">
        <v>154</v>
      </c>
      <c r="I143" s="13">
        <v>0</v>
      </c>
      <c r="J143" s="14">
        <v>0</v>
      </c>
    </row>
    <row r="144" spans="1:10">
      <c r="A144" s="12">
        <v>46044</v>
      </c>
      <c r="B144" s="11">
        <v>2026</v>
      </c>
      <c r="C144" s="13">
        <f t="shared" si="1"/>
        <v>1</v>
      </c>
      <c r="D144" s="11" t="s">
        <v>117</v>
      </c>
      <c r="I144" s="13">
        <v>0</v>
      </c>
      <c r="J144" s="14">
        <v>0</v>
      </c>
    </row>
    <row r="145" spans="1:10">
      <c r="A145" s="12"/>
      <c r="J145" s="14"/>
    </row>
    <row r="146" spans="1:10">
      <c r="A146" s="12"/>
    </row>
    <row r="147" spans="1:10">
      <c r="A147" s="12"/>
    </row>
    <row r="148" spans="1:10">
      <c r="A148" s="12"/>
    </row>
    <row r="149" spans="1:10"/>
    <row r="150" spans="1:10"/>
    <row r="151" spans="1:10"/>
    <row r="152" spans="1:10"/>
    <row r="153" spans="1:10"/>
    <row r="154" spans="1:10"/>
    <row r="155" spans="1:10"/>
    <row r="156" spans="1:10"/>
    <row r="157" spans="1:10"/>
    <row r="158" spans="1:10"/>
    <row r="159" spans="1:10"/>
    <row r="160" spans="1:1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209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5703125" style="132"/>
    <col min="2" max="2" width="12.5703125" style="126"/>
    <col min="3" max="3" width="12.5703125" style="119"/>
    <col min="4" max="6" width="12.5703125" style="132"/>
    <col min="7" max="7" width="106.7109375" customWidth="1"/>
    <col min="11" max="15" width="12.5703125" style="123"/>
    <col min="19" max="19" width="12.5703125" style="120"/>
  </cols>
  <sheetData>
    <row r="1" spans="1:19">
      <c r="A1" s="106" t="s">
        <v>156</v>
      </c>
      <c r="B1" s="107" t="s">
        <v>57</v>
      </c>
      <c r="C1" s="107" t="s">
        <v>1</v>
      </c>
      <c r="D1" s="107" t="s">
        <v>2</v>
      </c>
      <c r="E1" s="108" t="s">
        <v>157</v>
      </c>
      <c r="F1" s="108" t="s">
        <v>158</v>
      </c>
      <c r="G1" s="108" t="s">
        <v>159</v>
      </c>
      <c r="H1" s="108" t="s">
        <v>160</v>
      </c>
      <c r="I1" s="108" t="s">
        <v>161</v>
      </c>
      <c r="J1" s="109" t="s">
        <v>162</v>
      </c>
      <c r="K1" s="107" t="s">
        <v>163</v>
      </c>
      <c r="L1" s="107" t="s">
        <v>164</v>
      </c>
      <c r="M1" s="107" t="s">
        <v>165</v>
      </c>
      <c r="N1" s="107" t="s">
        <v>166</v>
      </c>
      <c r="O1" s="107" t="s">
        <v>53</v>
      </c>
      <c r="P1" s="110" t="s">
        <v>167</v>
      </c>
      <c r="Q1" s="107" t="s">
        <v>168</v>
      </c>
      <c r="R1" s="107" t="s">
        <v>4</v>
      </c>
      <c r="S1" s="107" t="s">
        <v>169</v>
      </c>
    </row>
    <row r="2" spans="1:19">
      <c r="A2" s="111">
        <v>1</v>
      </c>
      <c r="B2" s="112">
        <v>44562</v>
      </c>
      <c r="C2" s="113">
        <f t="shared" ref="C2:C1383" si="0">YEAR(B2)</f>
        <v>2022</v>
      </c>
      <c r="D2" s="114">
        <f t="shared" ref="D2:D1383" si="1">MONTH(B2)</f>
        <v>1</v>
      </c>
      <c r="E2" s="114" t="s">
        <v>79</v>
      </c>
      <c r="F2" s="114" t="s">
        <v>170</v>
      </c>
      <c r="G2" s="115" t="s">
        <v>171</v>
      </c>
      <c r="H2" s="114" t="s">
        <v>172</v>
      </c>
      <c r="I2" s="114" t="s">
        <v>173</v>
      </c>
      <c r="J2" s="116">
        <v>4</v>
      </c>
      <c r="K2" s="117">
        <v>37.542499999999997</v>
      </c>
      <c r="L2" s="117">
        <v>23.34</v>
      </c>
      <c r="M2" s="117">
        <v>1.68</v>
      </c>
      <c r="N2" s="117">
        <v>499.75</v>
      </c>
      <c r="O2" s="117">
        <v>670.75</v>
      </c>
      <c r="P2" s="118">
        <v>0.5</v>
      </c>
      <c r="Q2" s="119">
        <v>1999</v>
      </c>
      <c r="R2" s="119">
        <v>2683</v>
      </c>
      <c r="S2" s="184" t="s">
        <v>59</v>
      </c>
    </row>
    <row r="3" spans="1:19">
      <c r="A3" s="111">
        <v>2</v>
      </c>
      <c r="B3" s="112">
        <v>44563</v>
      </c>
      <c r="C3" s="113">
        <f t="shared" si="0"/>
        <v>2022</v>
      </c>
      <c r="D3" s="114">
        <f t="shared" si="1"/>
        <v>1</v>
      </c>
      <c r="E3" s="114" t="s">
        <v>79</v>
      </c>
      <c r="F3" s="114" t="s">
        <v>174</v>
      </c>
      <c r="G3" s="115" t="s">
        <v>175</v>
      </c>
      <c r="H3" s="114" t="s">
        <v>176</v>
      </c>
      <c r="I3" s="114" t="s">
        <v>173</v>
      </c>
      <c r="J3" s="119">
        <v>1</v>
      </c>
      <c r="K3" s="117">
        <v>69.53</v>
      </c>
      <c r="L3" s="117">
        <v>34.450000000000003</v>
      </c>
      <c r="M3" s="117">
        <v>2.09</v>
      </c>
      <c r="N3" s="117">
        <v>2041</v>
      </c>
      <c r="O3" s="117">
        <v>3018</v>
      </c>
      <c r="P3" s="118">
        <v>1</v>
      </c>
      <c r="Q3" s="119">
        <v>2041</v>
      </c>
      <c r="R3" s="119">
        <v>3018</v>
      </c>
      <c r="S3" s="184" t="s">
        <v>59</v>
      </c>
    </row>
    <row r="4" spans="1:19">
      <c r="A4" s="111">
        <v>3</v>
      </c>
      <c r="B4" s="112">
        <v>44564</v>
      </c>
      <c r="C4" s="113">
        <f t="shared" si="0"/>
        <v>2022</v>
      </c>
      <c r="D4" s="114">
        <f t="shared" si="1"/>
        <v>1</v>
      </c>
      <c r="E4" s="114" t="s">
        <v>79</v>
      </c>
      <c r="F4" s="114" t="s">
        <v>177</v>
      </c>
      <c r="G4" s="115" t="s">
        <v>175</v>
      </c>
      <c r="H4" s="114" t="s">
        <v>176</v>
      </c>
      <c r="I4" s="114" t="s">
        <v>173</v>
      </c>
      <c r="J4" s="119">
        <v>1</v>
      </c>
      <c r="K4" s="117">
        <v>88.67</v>
      </c>
      <c r="L4" s="117">
        <v>36.549999999999997</v>
      </c>
      <c r="M4" s="117">
        <v>2.63</v>
      </c>
      <c r="N4" s="117">
        <v>1891</v>
      </c>
      <c r="O4" s="117">
        <v>2919</v>
      </c>
      <c r="P4" s="118">
        <v>1</v>
      </c>
      <c r="Q4" s="119">
        <v>1891</v>
      </c>
      <c r="R4" s="119">
        <v>2919</v>
      </c>
      <c r="S4" s="184" t="s">
        <v>59</v>
      </c>
    </row>
    <row r="5" spans="1:19">
      <c r="A5" s="111">
        <v>4</v>
      </c>
      <c r="B5" s="112">
        <v>44565</v>
      </c>
      <c r="C5" s="113">
        <f t="shared" si="0"/>
        <v>2022</v>
      </c>
      <c r="D5" s="114">
        <f t="shared" si="1"/>
        <v>1</v>
      </c>
      <c r="E5" s="114" t="s">
        <v>20</v>
      </c>
      <c r="F5" s="114" t="s">
        <v>178</v>
      </c>
      <c r="G5" s="115" t="s">
        <v>179</v>
      </c>
      <c r="H5" s="114" t="s">
        <v>180</v>
      </c>
      <c r="I5" s="114" t="s">
        <v>173</v>
      </c>
      <c r="J5" s="119">
        <v>1</v>
      </c>
      <c r="K5" s="117">
        <v>47.24</v>
      </c>
      <c r="L5" s="117">
        <v>24.88</v>
      </c>
      <c r="M5" s="117">
        <v>2.08</v>
      </c>
      <c r="N5" s="117">
        <v>812</v>
      </c>
      <c r="O5" s="117">
        <v>1184</v>
      </c>
      <c r="P5" s="118">
        <v>1</v>
      </c>
      <c r="Q5" s="119">
        <v>812</v>
      </c>
      <c r="R5" s="119">
        <v>1184</v>
      </c>
      <c r="S5" s="184" t="s">
        <v>59</v>
      </c>
    </row>
    <row r="6" spans="1:19">
      <c r="A6" s="111">
        <v>5</v>
      </c>
      <c r="B6" s="112">
        <v>44566</v>
      </c>
      <c r="C6" s="113">
        <f t="shared" si="0"/>
        <v>2022</v>
      </c>
      <c r="D6" s="114">
        <f t="shared" si="1"/>
        <v>1</v>
      </c>
      <c r="E6" s="114" t="s">
        <v>8</v>
      </c>
      <c r="F6" s="114" t="s">
        <v>181</v>
      </c>
      <c r="G6" s="115" t="s">
        <v>182</v>
      </c>
      <c r="H6" s="114" t="s">
        <v>183</v>
      </c>
      <c r="I6" s="114" t="s">
        <v>184</v>
      </c>
      <c r="J6" s="119">
        <v>3</v>
      </c>
      <c r="K6" s="117">
        <v>54.736669999999997</v>
      </c>
      <c r="L6" s="117">
        <v>32.47</v>
      </c>
      <c r="M6" s="117">
        <v>1.69</v>
      </c>
      <c r="N6" s="117">
        <v>388.33330000000001</v>
      </c>
      <c r="O6" s="117">
        <v>625.66669999999999</v>
      </c>
      <c r="P6" s="118">
        <v>0.33333299999999999</v>
      </c>
      <c r="Q6" s="119">
        <v>1165</v>
      </c>
      <c r="R6" s="119">
        <v>1877</v>
      </c>
      <c r="S6" s="184" t="s">
        <v>59</v>
      </c>
    </row>
    <row r="7" spans="1:19">
      <c r="A7" s="111">
        <v>6</v>
      </c>
      <c r="B7" s="112">
        <v>44567</v>
      </c>
      <c r="C7" s="113">
        <f t="shared" si="0"/>
        <v>2022</v>
      </c>
      <c r="D7" s="114">
        <f t="shared" si="1"/>
        <v>1</v>
      </c>
      <c r="E7" s="114" t="s">
        <v>8</v>
      </c>
      <c r="F7" s="114" t="s">
        <v>185</v>
      </c>
      <c r="G7" s="115" t="s">
        <v>186</v>
      </c>
      <c r="H7" s="114" t="s">
        <v>187</v>
      </c>
      <c r="I7" s="114" t="s">
        <v>184</v>
      </c>
      <c r="J7" s="119">
        <v>4</v>
      </c>
      <c r="K7" s="117">
        <v>53.41</v>
      </c>
      <c r="L7" s="117">
        <v>27.532499999999999</v>
      </c>
      <c r="M7" s="117">
        <v>2.0550000000000002</v>
      </c>
      <c r="N7" s="117">
        <v>757.5</v>
      </c>
      <c r="O7" s="117">
        <v>1179.5</v>
      </c>
      <c r="P7" s="118">
        <v>1</v>
      </c>
      <c r="Q7" s="119">
        <v>3030</v>
      </c>
      <c r="R7" s="119">
        <v>4718</v>
      </c>
      <c r="S7" s="184" t="s">
        <v>59</v>
      </c>
    </row>
    <row r="8" spans="1:19">
      <c r="A8" s="111">
        <v>7</v>
      </c>
      <c r="B8" s="112">
        <v>44568</v>
      </c>
      <c r="C8" s="113">
        <f t="shared" si="0"/>
        <v>2022</v>
      </c>
      <c r="D8" s="114">
        <f t="shared" si="1"/>
        <v>1</v>
      </c>
      <c r="E8" s="114" t="s">
        <v>8</v>
      </c>
      <c r="F8" s="114" t="s">
        <v>188</v>
      </c>
      <c r="G8" s="115" t="s">
        <v>189</v>
      </c>
      <c r="H8" s="114" t="s">
        <v>190</v>
      </c>
      <c r="I8" s="114" t="s">
        <v>184</v>
      </c>
      <c r="J8" s="119">
        <v>3</v>
      </c>
      <c r="K8" s="117">
        <v>33.729999999999997</v>
      </c>
      <c r="L8" s="117">
        <v>20.14667</v>
      </c>
      <c r="M8" s="117">
        <v>1.6433329999999999</v>
      </c>
      <c r="N8" s="117">
        <v>691</v>
      </c>
      <c r="O8" s="117">
        <v>1076.3330000000001</v>
      </c>
      <c r="P8" s="118">
        <v>0</v>
      </c>
      <c r="Q8" s="119">
        <v>2073</v>
      </c>
      <c r="R8" s="119">
        <v>3229</v>
      </c>
      <c r="S8" s="184" t="s">
        <v>59</v>
      </c>
    </row>
    <row r="9" spans="1:19">
      <c r="A9" s="111">
        <v>8</v>
      </c>
      <c r="B9" s="112">
        <v>44569</v>
      </c>
      <c r="C9" s="113">
        <f t="shared" si="0"/>
        <v>2022</v>
      </c>
      <c r="D9" s="114">
        <f t="shared" si="1"/>
        <v>1</v>
      </c>
      <c r="E9" s="114" t="s">
        <v>8</v>
      </c>
      <c r="F9" s="114" t="s">
        <v>191</v>
      </c>
      <c r="G9" s="115" t="s">
        <v>192</v>
      </c>
      <c r="H9" s="114" t="s">
        <v>193</v>
      </c>
      <c r="I9" s="114" t="s">
        <v>173</v>
      </c>
      <c r="J9" s="119">
        <v>3</v>
      </c>
      <c r="K9" s="117">
        <v>42.77</v>
      </c>
      <c r="L9" s="117">
        <v>23.80667</v>
      </c>
      <c r="M9" s="117">
        <v>1.92</v>
      </c>
      <c r="N9" s="117">
        <v>521</v>
      </c>
      <c r="O9" s="117">
        <v>799</v>
      </c>
      <c r="P9" s="118">
        <v>0</v>
      </c>
      <c r="Q9" s="119">
        <v>1563</v>
      </c>
      <c r="R9" s="119">
        <v>2397</v>
      </c>
      <c r="S9" s="184" t="s">
        <v>59</v>
      </c>
    </row>
    <row r="10" spans="1:19">
      <c r="A10" s="111">
        <v>9</v>
      </c>
      <c r="B10" s="112">
        <v>44570</v>
      </c>
      <c r="C10" s="113">
        <f t="shared" si="0"/>
        <v>2022</v>
      </c>
      <c r="D10" s="114">
        <f t="shared" si="1"/>
        <v>1</v>
      </c>
      <c r="E10" s="114" t="s">
        <v>8</v>
      </c>
      <c r="F10" s="114" t="s">
        <v>194</v>
      </c>
      <c r="G10" s="115" t="s">
        <v>107</v>
      </c>
      <c r="H10" s="185" t="s">
        <v>107</v>
      </c>
      <c r="I10" s="185"/>
      <c r="J10" s="119">
        <v>0</v>
      </c>
      <c r="K10" s="117">
        <v>0</v>
      </c>
      <c r="L10" s="117">
        <v>0</v>
      </c>
      <c r="M10" s="117">
        <v>0</v>
      </c>
      <c r="N10" s="117">
        <v>0</v>
      </c>
      <c r="O10" s="117">
        <v>0</v>
      </c>
      <c r="P10" s="118">
        <v>0</v>
      </c>
      <c r="Q10" s="119">
        <v>0</v>
      </c>
      <c r="R10" s="119">
        <v>0</v>
      </c>
      <c r="S10" s="184" t="s">
        <v>59</v>
      </c>
    </row>
    <row r="11" spans="1:19">
      <c r="A11" s="111">
        <v>10</v>
      </c>
      <c r="B11" s="112">
        <v>44571</v>
      </c>
      <c r="C11" s="113">
        <f t="shared" si="0"/>
        <v>2022</v>
      </c>
      <c r="D11" s="114">
        <f t="shared" si="1"/>
        <v>1</v>
      </c>
      <c r="E11" s="114" t="s">
        <v>88</v>
      </c>
      <c r="F11" s="114" t="s">
        <v>195</v>
      </c>
      <c r="G11" s="115" t="s">
        <v>196</v>
      </c>
      <c r="H11" s="114" t="s">
        <v>197</v>
      </c>
      <c r="I11" s="114" t="s">
        <v>184</v>
      </c>
      <c r="J11" s="119">
        <v>4</v>
      </c>
      <c r="K11" s="117">
        <v>45.57</v>
      </c>
      <c r="L11" s="117">
        <v>24.795000000000002</v>
      </c>
      <c r="M11" s="117">
        <v>2.0175000000000001</v>
      </c>
      <c r="N11" s="117">
        <v>692.25</v>
      </c>
      <c r="O11" s="117">
        <v>1017.5</v>
      </c>
      <c r="P11" s="118">
        <v>0</v>
      </c>
      <c r="Q11" s="119">
        <v>2769</v>
      </c>
      <c r="R11" s="119">
        <v>4070</v>
      </c>
      <c r="S11" s="184" t="s">
        <v>59</v>
      </c>
    </row>
    <row r="12" spans="1:19">
      <c r="A12" s="111">
        <v>11</v>
      </c>
      <c r="B12" s="112">
        <v>44572</v>
      </c>
      <c r="C12" s="113">
        <f t="shared" si="0"/>
        <v>2022</v>
      </c>
      <c r="D12" s="114">
        <f t="shared" si="1"/>
        <v>1</v>
      </c>
      <c r="E12" s="114" t="s">
        <v>104</v>
      </c>
      <c r="F12" s="114" t="s">
        <v>198</v>
      </c>
      <c r="G12" s="115" t="s">
        <v>199</v>
      </c>
      <c r="H12" s="114" t="s">
        <v>199</v>
      </c>
      <c r="I12" s="114" t="s">
        <v>200</v>
      </c>
      <c r="J12" s="119">
        <v>1</v>
      </c>
      <c r="K12" s="117">
        <v>22.17</v>
      </c>
      <c r="L12" s="117">
        <v>22.04</v>
      </c>
      <c r="M12" s="117">
        <v>1.1200000000000001</v>
      </c>
      <c r="N12" s="117">
        <v>458</v>
      </c>
      <c r="O12" s="117">
        <v>458</v>
      </c>
      <c r="P12" s="118">
        <v>1</v>
      </c>
      <c r="Q12" s="119">
        <v>458</v>
      </c>
      <c r="R12" s="119">
        <v>458</v>
      </c>
      <c r="S12" s="184" t="s">
        <v>59</v>
      </c>
    </row>
    <row r="13" spans="1:19">
      <c r="A13" s="111">
        <v>12</v>
      </c>
      <c r="B13" s="112">
        <v>44573</v>
      </c>
      <c r="C13" s="113">
        <f t="shared" si="0"/>
        <v>2022</v>
      </c>
      <c r="D13" s="114">
        <f t="shared" si="1"/>
        <v>1</v>
      </c>
      <c r="E13" s="114" t="s">
        <v>201</v>
      </c>
      <c r="F13" s="114" t="s">
        <v>202</v>
      </c>
      <c r="G13" s="115" t="s">
        <v>203</v>
      </c>
      <c r="H13" s="114" t="s">
        <v>204</v>
      </c>
      <c r="I13" s="114" t="s">
        <v>173</v>
      </c>
      <c r="J13" s="119">
        <v>0</v>
      </c>
      <c r="K13" s="117">
        <v>0</v>
      </c>
      <c r="L13" s="117">
        <v>0</v>
      </c>
      <c r="M13" s="117">
        <v>0</v>
      </c>
      <c r="N13" s="117">
        <v>0</v>
      </c>
      <c r="O13" s="117">
        <v>0</v>
      </c>
      <c r="P13" s="118">
        <v>0</v>
      </c>
      <c r="Q13" s="119">
        <v>0</v>
      </c>
      <c r="R13" s="119">
        <v>0</v>
      </c>
      <c r="S13" s="184" t="s">
        <v>59</v>
      </c>
    </row>
    <row r="14" spans="1:19">
      <c r="A14" s="111">
        <v>13</v>
      </c>
      <c r="B14" s="112">
        <v>44574</v>
      </c>
      <c r="C14" s="113">
        <f t="shared" si="0"/>
        <v>2022</v>
      </c>
      <c r="D14" s="114">
        <f t="shared" si="1"/>
        <v>1</v>
      </c>
      <c r="E14" s="114" t="s">
        <v>30</v>
      </c>
      <c r="F14" s="114" t="s">
        <v>205</v>
      </c>
      <c r="G14" s="115" t="s">
        <v>206</v>
      </c>
      <c r="H14" s="114" t="s">
        <v>207</v>
      </c>
      <c r="I14" s="114" t="s">
        <v>184</v>
      </c>
      <c r="J14" s="119">
        <v>0</v>
      </c>
      <c r="K14" s="117">
        <v>0</v>
      </c>
      <c r="L14" s="117">
        <v>0</v>
      </c>
      <c r="M14" s="117">
        <v>0</v>
      </c>
      <c r="N14" s="117">
        <v>0</v>
      </c>
      <c r="O14" s="117">
        <v>0</v>
      </c>
      <c r="P14" s="118">
        <v>0</v>
      </c>
      <c r="Q14" s="119">
        <v>0</v>
      </c>
      <c r="R14" s="119">
        <v>0</v>
      </c>
      <c r="S14" s="184" t="s">
        <v>59</v>
      </c>
    </row>
    <row r="15" spans="1:19">
      <c r="A15" s="111">
        <v>14</v>
      </c>
      <c r="B15" s="112">
        <v>44575</v>
      </c>
      <c r="C15" s="113">
        <f t="shared" si="0"/>
        <v>2022</v>
      </c>
      <c r="D15" s="114">
        <f t="shared" si="1"/>
        <v>1</v>
      </c>
      <c r="E15" s="114" t="s">
        <v>10</v>
      </c>
      <c r="F15" s="114" t="s">
        <v>208</v>
      </c>
      <c r="G15" s="115" t="s">
        <v>209</v>
      </c>
      <c r="H15" s="114" t="s">
        <v>210</v>
      </c>
      <c r="I15" s="114" t="s">
        <v>173</v>
      </c>
      <c r="J15" s="119">
        <v>3</v>
      </c>
      <c r="K15" s="117">
        <v>67</v>
      </c>
      <c r="L15" s="117">
        <v>28</v>
      </c>
      <c r="M15" s="117">
        <v>2.4</v>
      </c>
      <c r="N15" s="117">
        <v>2283</v>
      </c>
      <c r="O15" s="117">
        <v>3653</v>
      </c>
      <c r="P15" s="118">
        <v>0.67</v>
      </c>
      <c r="Q15" s="119">
        <v>6849</v>
      </c>
      <c r="R15" s="119">
        <v>10960</v>
      </c>
      <c r="S15" s="184" t="s">
        <v>59</v>
      </c>
    </row>
    <row r="16" spans="1:19">
      <c r="A16" s="111">
        <v>15</v>
      </c>
      <c r="B16" s="112">
        <v>44576</v>
      </c>
      <c r="C16" s="113">
        <f t="shared" si="0"/>
        <v>2022</v>
      </c>
      <c r="D16" s="114">
        <f t="shared" si="1"/>
        <v>1</v>
      </c>
      <c r="E16" s="114" t="s">
        <v>10</v>
      </c>
      <c r="F16" s="114" t="s">
        <v>211</v>
      </c>
      <c r="G16" s="115" t="s">
        <v>212</v>
      </c>
      <c r="H16" s="114" t="s">
        <v>213</v>
      </c>
      <c r="I16" s="114" t="s">
        <v>173</v>
      </c>
      <c r="J16" s="119">
        <v>1</v>
      </c>
      <c r="K16" s="117">
        <v>16</v>
      </c>
      <c r="L16" s="117">
        <v>22</v>
      </c>
      <c r="M16" s="117">
        <v>1.5</v>
      </c>
      <c r="N16" s="117">
        <v>286</v>
      </c>
      <c r="O16" s="117">
        <v>498</v>
      </c>
      <c r="P16" s="118">
        <v>0</v>
      </c>
      <c r="Q16" s="119">
        <v>286</v>
      </c>
      <c r="R16" s="119">
        <v>498</v>
      </c>
      <c r="S16" s="184" t="s">
        <v>59</v>
      </c>
    </row>
    <row r="17" spans="1:19">
      <c r="A17" s="111">
        <v>16</v>
      </c>
      <c r="B17" s="112">
        <v>44577</v>
      </c>
      <c r="C17" s="113">
        <f t="shared" si="0"/>
        <v>2022</v>
      </c>
      <c r="D17" s="114">
        <f t="shared" si="1"/>
        <v>1</v>
      </c>
      <c r="E17" s="114" t="s">
        <v>10</v>
      </c>
      <c r="F17" s="114" t="s">
        <v>214</v>
      </c>
      <c r="G17" s="115" t="s">
        <v>215</v>
      </c>
      <c r="H17" s="114" t="s">
        <v>216</v>
      </c>
      <c r="I17" s="114" t="s">
        <v>184</v>
      </c>
      <c r="J17" s="119">
        <v>0</v>
      </c>
      <c r="K17" s="117">
        <v>0</v>
      </c>
      <c r="L17" s="117">
        <v>0</v>
      </c>
      <c r="M17" s="117">
        <v>0</v>
      </c>
      <c r="N17" s="117">
        <v>0</v>
      </c>
      <c r="O17" s="117">
        <v>0</v>
      </c>
      <c r="P17" s="118">
        <v>0</v>
      </c>
      <c r="Q17" s="119">
        <v>0</v>
      </c>
      <c r="R17" s="119">
        <v>0</v>
      </c>
      <c r="S17" s="184" t="s">
        <v>59</v>
      </c>
    </row>
    <row r="18" spans="1:19">
      <c r="A18" s="111">
        <v>17</v>
      </c>
      <c r="B18" s="112">
        <v>44578</v>
      </c>
      <c r="C18" s="113">
        <f t="shared" si="0"/>
        <v>2022</v>
      </c>
      <c r="D18" s="114">
        <f t="shared" si="1"/>
        <v>1</v>
      </c>
      <c r="E18" s="114" t="s">
        <v>9</v>
      </c>
      <c r="F18" s="114" t="s">
        <v>217</v>
      </c>
      <c r="G18" s="115" t="s">
        <v>218</v>
      </c>
      <c r="H18" s="114" t="s">
        <v>219</v>
      </c>
      <c r="I18" s="114" t="s">
        <v>184</v>
      </c>
      <c r="J18" s="119">
        <v>4</v>
      </c>
      <c r="K18" s="117">
        <v>74</v>
      </c>
      <c r="L18" s="117">
        <v>27</v>
      </c>
      <c r="M18" s="117">
        <v>2.8</v>
      </c>
      <c r="N18" s="117">
        <v>2444</v>
      </c>
      <c r="O18" s="117">
        <v>3929</v>
      </c>
      <c r="P18" s="118">
        <v>0.5</v>
      </c>
      <c r="Q18" s="119">
        <v>9776</v>
      </c>
      <c r="R18" s="119">
        <v>15717</v>
      </c>
      <c r="S18" s="184" t="s">
        <v>59</v>
      </c>
    </row>
    <row r="19" spans="1:19">
      <c r="A19" s="111">
        <v>18</v>
      </c>
      <c r="B19" s="112">
        <v>44579</v>
      </c>
      <c r="C19" s="113">
        <f t="shared" si="0"/>
        <v>2022</v>
      </c>
      <c r="D19" s="114">
        <f t="shared" si="1"/>
        <v>1</v>
      </c>
      <c r="E19" s="114" t="s">
        <v>11</v>
      </c>
      <c r="F19" s="114" t="s">
        <v>220</v>
      </c>
      <c r="G19" s="115" t="s">
        <v>221</v>
      </c>
      <c r="H19" s="114" t="s">
        <v>222</v>
      </c>
      <c r="I19" s="114" t="s">
        <v>184</v>
      </c>
      <c r="J19" s="119">
        <v>1</v>
      </c>
      <c r="K19" s="117">
        <v>33</v>
      </c>
      <c r="L19" s="117">
        <v>21</v>
      </c>
      <c r="M19" s="117">
        <v>1.7</v>
      </c>
      <c r="N19" s="117">
        <v>614</v>
      </c>
      <c r="O19" s="117">
        <v>948</v>
      </c>
      <c r="P19" s="118">
        <v>0</v>
      </c>
      <c r="Q19" s="119">
        <v>614</v>
      </c>
      <c r="R19" s="119">
        <v>948</v>
      </c>
      <c r="S19" s="184" t="s">
        <v>59</v>
      </c>
    </row>
    <row r="20" spans="1:19">
      <c r="A20" s="111">
        <v>19</v>
      </c>
      <c r="B20" s="112">
        <v>44580</v>
      </c>
      <c r="C20" s="113">
        <f t="shared" si="0"/>
        <v>2022</v>
      </c>
      <c r="D20" s="114">
        <f t="shared" si="1"/>
        <v>1</v>
      </c>
      <c r="E20" s="114" t="s">
        <v>91</v>
      </c>
      <c r="F20" s="114" t="s">
        <v>178</v>
      </c>
      <c r="G20" s="115" t="s">
        <v>179</v>
      </c>
      <c r="H20" s="114" t="s">
        <v>180</v>
      </c>
      <c r="I20" s="114" t="s">
        <v>173</v>
      </c>
      <c r="J20" s="116">
        <v>2</v>
      </c>
      <c r="K20" s="117">
        <v>45</v>
      </c>
      <c r="L20" s="117">
        <v>28</v>
      </c>
      <c r="M20" s="117">
        <v>1.8</v>
      </c>
      <c r="N20" s="117">
        <v>710</v>
      </c>
      <c r="O20" s="117">
        <v>1087</v>
      </c>
      <c r="P20" s="118">
        <v>0</v>
      </c>
      <c r="Q20" s="119">
        <v>1420</v>
      </c>
      <c r="R20" s="119">
        <v>3260</v>
      </c>
      <c r="S20" s="184" t="s">
        <v>59</v>
      </c>
    </row>
    <row r="21" spans="1:19">
      <c r="A21" s="111">
        <v>20</v>
      </c>
      <c r="B21" s="112">
        <v>44581</v>
      </c>
      <c r="C21" s="113">
        <f t="shared" si="0"/>
        <v>2022</v>
      </c>
      <c r="D21" s="114">
        <f t="shared" si="1"/>
        <v>1</v>
      </c>
      <c r="E21" s="114" t="s">
        <v>23</v>
      </c>
      <c r="F21" s="114" t="s">
        <v>223</v>
      </c>
      <c r="G21" s="115" t="s">
        <v>175</v>
      </c>
      <c r="H21" s="114" t="s">
        <v>176</v>
      </c>
      <c r="I21" s="114" t="s">
        <v>173</v>
      </c>
      <c r="J21" s="119">
        <v>0</v>
      </c>
      <c r="K21" s="117">
        <v>0</v>
      </c>
      <c r="L21" s="117">
        <v>0</v>
      </c>
      <c r="M21" s="117">
        <v>0</v>
      </c>
      <c r="N21" s="117">
        <v>0</v>
      </c>
      <c r="O21" s="117">
        <v>0</v>
      </c>
      <c r="P21" s="118">
        <v>0</v>
      </c>
      <c r="Q21" s="119">
        <v>0</v>
      </c>
      <c r="R21" s="119">
        <v>0</v>
      </c>
      <c r="S21" s="184" t="s">
        <v>59</v>
      </c>
    </row>
    <row r="22" spans="1:19">
      <c r="A22" s="111">
        <v>21</v>
      </c>
      <c r="B22" s="112">
        <v>44582</v>
      </c>
      <c r="C22" s="113">
        <f t="shared" si="0"/>
        <v>2022</v>
      </c>
      <c r="D22" s="114">
        <f t="shared" si="1"/>
        <v>1</v>
      </c>
      <c r="E22" s="114" t="s">
        <v>23</v>
      </c>
      <c r="F22" s="114" t="s">
        <v>224</v>
      </c>
      <c r="G22" s="115" t="s">
        <v>107</v>
      </c>
      <c r="H22" s="114" t="s">
        <v>107</v>
      </c>
      <c r="I22" s="114" t="s">
        <v>107</v>
      </c>
      <c r="J22" s="119">
        <v>0</v>
      </c>
      <c r="K22" s="117">
        <v>0</v>
      </c>
      <c r="L22" s="117">
        <v>0</v>
      </c>
      <c r="M22" s="117">
        <v>0</v>
      </c>
      <c r="N22" s="117">
        <v>0</v>
      </c>
      <c r="O22" s="117">
        <v>0</v>
      </c>
      <c r="P22" s="118">
        <v>0</v>
      </c>
      <c r="Q22" s="119">
        <v>0</v>
      </c>
      <c r="R22" s="119">
        <v>0</v>
      </c>
      <c r="S22" s="184" t="s">
        <v>59</v>
      </c>
    </row>
    <row r="23" spans="1:19">
      <c r="A23" s="111">
        <v>22</v>
      </c>
      <c r="B23" s="112">
        <v>44583</v>
      </c>
      <c r="C23" s="113">
        <f t="shared" si="0"/>
        <v>2022</v>
      </c>
      <c r="D23" s="114">
        <f t="shared" si="1"/>
        <v>1</v>
      </c>
      <c r="E23" s="114" t="s">
        <v>15</v>
      </c>
      <c r="F23" s="114" t="s">
        <v>225</v>
      </c>
      <c r="G23" s="115" t="s">
        <v>226</v>
      </c>
      <c r="H23" s="114" t="s">
        <v>227</v>
      </c>
      <c r="I23" s="114" t="s">
        <v>173</v>
      </c>
      <c r="J23" s="119">
        <v>0</v>
      </c>
      <c r="K23" s="117">
        <v>0</v>
      </c>
      <c r="L23" s="117">
        <v>0</v>
      </c>
      <c r="M23" s="117">
        <v>0</v>
      </c>
      <c r="N23" s="117">
        <v>0</v>
      </c>
      <c r="O23" s="117">
        <v>0</v>
      </c>
      <c r="P23" s="118">
        <v>0</v>
      </c>
      <c r="Q23" s="119">
        <v>0</v>
      </c>
      <c r="R23" s="119">
        <v>0</v>
      </c>
      <c r="S23" s="184" t="s">
        <v>59</v>
      </c>
    </row>
    <row r="24" spans="1:19">
      <c r="A24" s="111">
        <v>23</v>
      </c>
      <c r="B24" s="112">
        <v>44584</v>
      </c>
      <c r="C24" s="113">
        <f t="shared" si="0"/>
        <v>2022</v>
      </c>
      <c r="D24" s="114">
        <f t="shared" si="1"/>
        <v>1</v>
      </c>
      <c r="E24" s="114" t="s">
        <v>84</v>
      </c>
      <c r="F24" s="114" t="s">
        <v>228</v>
      </c>
      <c r="G24" s="115" t="s">
        <v>229</v>
      </c>
      <c r="H24" s="114" t="s">
        <v>230</v>
      </c>
      <c r="I24" s="114" t="s">
        <v>184</v>
      </c>
      <c r="J24" s="119">
        <v>5</v>
      </c>
      <c r="K24" s="117">
        <v>34</v>
      </c>
      <c r="L24" s="117">
        <v>23</v>
      </c>
      <c r="M24" s="117">
        <v>1.6</v>
      </c>
      <c r="N24" s="117">
        <v>436</v>
      </c>
      <c r="O24" s="117">
        <v>697</v>
      </c>
      <c r="P24" s="118">
        <v>0.6</v>
      </c>
      <c r="Q24" s="119">
        <v>2178</v>
      </c>
      <c r="R24" s="119">
        <v>3485</v>
      </c>
      <c r="S24" s="184" t="s">
        <v>59</v>
      </c>
    </row>
    <row r="25" spans="1:19">
      <c r="A25" s="111">
        <v>24</v>
      </c>
      <c r="B25" s="112">
        <v>44585</v>
      </c>
      <c r="C25" s="113">
        <f t="shared" si="0"/>
        <v>2022</v>
      </c>
      <c r="D25" s="114">
        <f t="shared" si="1"/>
        <v>1</v>
      </c>
      <c r="E25" s="114" t="s">
        <v>84</v>
      </c>
      <c r="F25" s="114" t="s">
        <v>231</v>
      </c>
      <c r="G25" s="115" t="s">
        <v>232</v>
      </c>
      <c r="H25" s="114" t="s">
        <v>233</v>
      </c>
      <c r="I25" s="114" t="s">
        <v>184</v>
      </c>
      <c r="J25" s="119">
        <v>0</v>
      </c>
      <c r="K25" s="117">
        <v>0</v>
      </c>
      <c r="L25" s="117">
        <v>0</v>
      </c>
      <c r="M25" s="117">
        <v>0</v>
      </c>
      <c r="N25" s="117">
        <v>0</v>
      </c>
      <c r="O25" s="117">
        <v>0</v>
      </c>
      <c r="P25" s="118">
        <v>0</v>
      </c>
      <c r="Q25" s="119">
        <v>0</v>
      </c>
      <c r="R25" s="119">
        <v>0</v>
      </c>
      <c r="S25" s="184" t="s">
        <v>59</v>
      </c>
    </row>
    <row r="26" spans="1:19">
      <c r="A26" s="111">
        <v>25</v>
      </c>
      <c r="B26" s="112">
        <v>44586</v>
      </c>
      <c r="C26" s="113">
        <f t="shared" si="0"/>
        <v>2022</v>
      </c>
      <c r="D26" s="114">
        <f t="shared" si="1"/>
        <v>1</v>
      </c>
      <c r="E26" s="114" t="s">
        <v>22</v>
      </c>
      <c r="F26" s="114" t="s">
        <v>174</v>
      </c>
      <c r="G26" s="115" t="s">
        <v>175</v>
      </c>
      <c r="H26" s="114" t="s">
        <v>176</v>
      </c>
      <c r="I26" s="114" t="s">
        <v>173</v>
      </c>
      <c r="J26" s="119">
        <v>3</v>
      </c>
      <c r="K26" s="117">
        <v>87</v>
      </c>
      <c r="L26" s="117">
        <v>37</v>
      </c>
      <c r="M26" s="117">
        <v>2.4</v>
      </c>
      <c r="N26" s="117">
        <v>2475</v>
      </c>
      <c r="O26" s="117">
        <v>3563</v>
      </c>
      <c r="P26" s="118">
        <v>1</v>
      </c>
      <c r="Q26" s="119">
        <v>7426</v>
      </c>
      <c r="R26" s="119">
        <v>10688</v>
      </c>
      <c r="S26" s="184" t="s">
        <v>59</v>
      </c>
    </row>
    <row r="27" spans="1:19">
      <c r="A27" s="111">
        <v>26</v>
      </c>
      <c r="B27" s="112">
        <v>44587</v>
      </c>
      <c r="C27" s="113">
        <f t="shared" si="0"/>
        <v>2022</v>
      </c>
      <c r="D27" s="114">
        <f t="shared" si="1"/>
        <v>1</v>
      </c>
      <c r="E27" s="114" t="s">
        <v>22</v>
      </c>
      <c r="F27" s="114" t="s">
        <v>177</v>
      </c>
      <c r="G27" s="115" t="s">
        <v>175</v>
      </c>
      <c r="H27" s="114" t="s">
        <v>176</v>
      </c>
      <c r="I27" s="114" t="s">
        <v>173</v>
      </c>
      <c r="J27" s="119">
        <v>2</v>
      </c>
      <c r="K27" s="117">
        <v>81</v>
      </c>
      <c r="L27" s="117">
        <v>32</v>
      </c>
      <c r="M27" s="117">
        <v>2.2000000000000002</v>
      </c>
      <c r="N27" s="117">
        <v>2767</v>
      </c>
      <c r="O27" s="117">
        <v>4072</v>
      </c>
      <c r="P27" s="118">
        <v>1</v>
      </c>
      <c r="Q27" s="119">
        <v>5533</v>
      </c>
      <c r="R27" s="119">
        <v>8144</v>
      </c>
      <c r="S27" s="184" t="s">
        <v>59</v>
      </c>
    </row>
    <row r="28" spans="1:19">
      <c r="A28" s="111">
        <v>27</v>
      </c>
      <c r="B28" s="112">
        <v>44588</v>
      </c>
      <c r="C28" s="113">
        <f t="shared" si="0"/>
        <v>2022</v>
      </c>
      <c r="D28" s="114">
        <f t="shared" si="1"/>
        <v>1</v>
      </c>
      <c r="E28" s="114" t="s">
        <v>22</v>
      </c>
      <c r="F28" s="114" t="s">
        <v>223</v>
      </c>
      <c r="G28" s="115" t="s">
        <v>175</v>
      </c>
      <c r="H28" s="114" t="s">
        <v>176</v>
      </c>
      <c r="I28" s="114" t="s">
        <v>173</v>
      </c>
      <c r="J28" s="119">
        <v>0</v>
      </c>
      <c r="K28" s="117">
        <v>0</v>
      </c>
      <c r="L28" s="117">
        <v>0</v>
      </c>
      <c r="M28" s="117">
        <v>0</v>
      </c>
      <c r="N28" s="117">
        <v>0</v>
      </c>
      <c r="O28" s="117">
        <v>0</v>
      </c>
      <c r="P28" s="118">
        <v>0</v>
      </c>
      <c r="Q28" s="119">
        <v>0</v>
      </c>
      <c r="R28" s="119">
        <v>0</v>
      </c>
      <c r="S28" s="184" t="s">
        <v>59</v>
      </c>
    </row>
    <row r="29" spans="1:19">
      <c r="A29" s="111">
        <v>28</v>
      </c>
      <c r="B29" s="112">
        <v>44589</v>
      </c>
      <c r="C29" s="113">
        <f t="shared" si="0"/>
        <v>2022</v>
      </c>
      <c r="D29" s="114">
        <f t="shared" si="1"/>
        <v>1</v>
      </c>
      <c r="E29" s="114" t="s">
        <v>12</v>
      </c>
      <c r="F29" s="114" t="s">
        <v>220</v>
      </c>
      <c r="G29" s="115" t="s">
        <v>221</v>
      </c>
      <c r="H29" s="114" t="s">
        <v>222</v>
      </c>
      <c r="I29" s="114" t="s">
        <v>184</v>
      </c>
      <c r="J29" s="119">
        <v>1</v>
      </c>
      <c r="K29" s="117">
        <v>33</v>
      </c>
      <c r="L29" s="117">
        <v>20</v>
      </c>
      <c r="M29" s="117">
        <v>1.8</v>
      </c>
      <c r="N29" s="117">
        <v>507</v>
      </c>
      <c r="O29" s="117">
        <v>718</v>
      </c>
      <c r="P29" s="118">
        <v>1</v>
      </c>
      <c r="Q29" s="119">
        <v>507</v>
      </c>
      <c r="R29" s="119">
        <v>718</v>
      </c>
      <c r="S29" s="184" t="s">
        <v>59</v>
      </c>
    </row>
    <row r="30" spans="1:19">
      <c r="A30" s="111">
        <v>29</v>
      </c>
      <c r="B30" s="112">
        <v>44590</v>
      </c>
      <c r="C30" s="113">
        <f t="shared" si="0"/>
        <v>2022</v>
      </c>
      <c r="D30" s="114">
        <f t="shared" si="1"/>
        <v>1</v>
      </c>
      <c r="E30" s="114" t="s">
        <v>12</v>
      </c>
      <c r="F30" s="114" t="s">
        <v>234</v>
      </c>
      <c r="G30" s="115" t="s">
        <v>235</v>
      </c>
      <c r="H30" s="114" t="s">
        <v>236</v>
      </c>
      <c r="I30" s="114" t="s">
        <v>184</v>
      </c>
      <c r="J30" s="119">
        <v>3</v>
      </c>
      <c r="K30" s="117">
        <v>32</v>
      </c>
      <c r="L30" s="117">
        <v>20</v>
      </c>
      <c r="M30" s="117">
        <v>1.7</v>
      </c>
      <c r="N30" s="117">
        <v>671</v>
      </c>
      <c r="O30" s="117">
        <v>990</v>
      </c>
      <c r="P30" s="118">
        <v>0</v>
      </c>
      <c r="Q30" s="119">
        <v>2013</v>
      </c>
      <c r="R30" s="119">
        <v>2969</v>
      </c>
      <c r="S30" s="184" t="s">
        <v>59</v>
      </c>
    </row>
    <row r="31" spans="1:19">
      <c r="A31" s="111">
        <v>30</v>
      </c>
      <c r="B31" s="112">
        <v>44591</v>
      </c>
      <c r="C31" s="113">
        <f t="shared" si="0"/>
        <v>2022</v>
      </c>
      <c r="D31" s="114">
        <f t="shared" si="1"/>
        <v>1</v>
      </c>
      <c r="E31" s="114" t="s">
        <v>12</v>
      </c>
      <c r="F31" s="114" t="s">
        <v>237</v>
      </c>
      <c r="G31" s="115" t="s">
        <v>199</v>
      </c>
      <c r="H31" s="114" t="s">
        <v>199</v>
      </c>
      <c r="I31" s="114" t="s">
        <v>200</v>
      </c>
      <c r="J31" s="119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8">
        <v>0</v>
      </c>
      <c r="Q31" s="119">
        <v>0</v>
      </c>
      <c r="R31" s="119">
        <v>0</v>
      </c>
      <c r="S31" s="184" t="s">
        <v>59</v>
      </c>
    </row>
    <row r="32" spans="1:19">
      <c r="A32" s="111">
        <v>31</v>
      </c>
      <c r="B32" s="112">
        <v>44592</v>
      </c>
      <c r="C32" s="113">
        <f t="shared" si="0"/>
        <v>2022</v>
      </c>
      <c r="D32" s="114">
        <f t="shared" si="1"/>
        <v>1</v>
      </c>
      <c r="E32" s="114" t="s">
        <v>26</v>
      </c>
      <c r="F32" s="114" t="s">
        <v>238</v>
      </c>
      <c r="G32" s="115" t="s">
        <v>175</v>
      </c>
      <c r="H32" s="114" t="s">
        <v>176</v>
      </c>
      <c r="I32" s="114" t="s">
        <v>173</v>
      </c>
      <c r="J32" s="119">
        <v>3</v>
      </c>
      <c r="K32" s="117">
        <v>36</v>
      </c>
      <c r="L32" s="117">
        <v>19</v>
      </c>
      <c r="M32" s="117">
        <v>1.9</v>
      </c>
      <c r="N32" s="117">
        <v>891</v>
      </c>
      <c r="O32" s="117">
        <v>1311</v>
      </c>
      <c r="P32" s="118">
        <v>0.33</v>
      </c>
      <c r="Q32" s="119">
        <v>3565</v>
      </c>
      <c r="R32" s="119">
        <v>5243</v>
      </c>
      <c r="S32" s="184" t="s">
        <v>59</v>
      </c>
    </row>
    <row r="33" spans="1:19">
      <c r="A33" s="111">
        <v>32</v>
      </c>
      <c r="B33" s="112">
        <v>44562</v>
      </c>
      <c r="C33" s="113">
        <f t="shared" si="0"/>
        <v>2022</v>
      </c>
      <c r="D33" s="114">
        <f t="shared" si="1"/>
        <v>1</v>
      </c>
      <c r="E33" s="114" t="s">
        <v>19</v>
      </c>
      <c r="F33" s="114" t="s">
        <v>178</v>
      </c>
      <c r="G33" s="115" t="s">
        <v>179</v>
      </c>
      <c r="H33" s="114" t="s">
        <v>180</v>
      </c>
      <c r="I33" s="114" t="s">
        <v>173</v>
      </c>
      <c r="J33" s="119">
        <v>1</v>
      </c>
      <c r="K33" s="117">
        <v>57</v>
      </c>
      <c r="L33" s="117">
        <v>36</v>
      </c>
      <c r="M33" s="117">
        <v>1.7</v>
      </c>
      <c r="N33" s="117">
        <v>785</v>
      </c>
      <c r="O33" s="117">
        <v>1160</v>
      </c>
      <c r="P33" s="118">
        <v>1</v>
      </c>
      <c r="Q33" s="119">
        <v>785</v>
      </c>
      <c r="R33" s="119">
        <v>1160</v>
      </c>
      <c r="S33" s="184" t="s">
        <v>59</v>
      </c>
    </row>
    <row r="34" spans="1:19">
      <c r="A34" s="111">
        <v>33</v>
      </c>
      <c r="B34" s="112">
        <v>44563</v>
      </c>
      <c r="C34" s="113">
        <f t="shared" si="0"/>
        <v>2022</v>
      </c>
      <c r="D34" s="114">
        <f t="shared" si="1"/>
        <v>1</v>
      </c>
      <c r="E34" s="114" t="s">
        <v>7</v>
      </c>
      <c r="F34" s="114" t="s">
        <v>239</v>
      </c>
      <c r="G34" s="115" t="s">
        <v>240</v>
      </c>
      <c r="H34" s="114" t="s">
        <v>241</v>
      </c>
      <c r="I34" s="114" t="s">
        <v>184</v>
      </c>
      <c r="J34" s="116">
        <v>5</v>
      </c>
      <c r="K34" s="117">
        <v>44.19</v>
      </c>
      <c r="L34" s="117">
        <v>24.68</v>
      </c>
      <c r="M34" s="117">
        <v>1.954</v>
      </c>
      <c r="N34" s="117">
        <v>705</v>
      </c>
      <c r="O34" s="117">
        <v>1083</v>
      </c>
      <c r="P34" s="118">
        <v>0.2</v>
      </c>
      <c r="Q34" s="119">
        <v>3525</v>
      </c>
      <c r="R34" s="119">
        <v>5415</v>
      </c>
      <c r="S34" s="184" t="s">
        <v>59</v>
      </c>
    </row>
    <row r="35" spans="1:19">
      <c r="A35" s="111">
        <v>34</v>
      </c>
      <c r="B35" s="112">
        <v>44564</v>
      </c>
      <c r="C35" s="113">
        <f t="shared" si="0"/>
        <v>2022</v>
      </c>
      <c r="D35" s="114">
        <f t="shared" si="1"/>
        <v>1</v>
      </c>
      <c r="E35" s="114" t="s">
        <v>7</v>
      </c>
      <c r="F35" s="114" t="s">
        <v>220</v>
      </c>
      <c r="G35" s="115" t="s">
        <v>221</v>
      </c>
      <c r="H35" s="114" t="s">
        <v>222</v>
      </c>
      <c r="I35" s="114" t="s">
        <v>184</v>
      </c>
      <c r="J35" s="119">
        <v>2</v>
      </c>
      <c r="K35" s="117">
        <v>42.314999999999998</v>
      </c>
      <c r="L35" s="117">
        <v>32.945</v>
      </c>
      <c r="M35" s="117">
        <v>1.395</v>
      </c>
      <c r="N35" s="117">
        <v>475.5</v>
      </c>
      <c r="O35" s="117">
        <v>658.5</v>
      </c>
      <c r="P35" s="118">
        <v>0</v>
      </c>
      <c r="Q35" s="119">
        <v>951</v>
      </c>
      <c r="R35" s="119">
        <v>1317</v>
      </c>
      <c r="S35" s="184" t="s">
        <v>59</v>
      </c>
    </row>
    <row r="36" spans="1:19">
      <c r="A36" s="111">
        <v>35</v>
      </c>
      <c r="B36" s="112">
        <v>44565</v>
      </c>
      <c r="C36" s="113">
        <f t="shared" si="0"/>
        <v>2022</v>
      </c>
      <c r="D36" s="114">
        <f t="shared" si="1"/>
        <v>1</v>
      </c>
      <c r="E36" s="114" t="s">
        <v>7</v>
      </c>
      <c r="F36" s="114" t="s">
        <v>242</v>
      </c>
      <c r="G36" s="115" t="s">
        <v>243</v>
      </c>
      <c r="H36" s="114" t="s">
        <v>244</v>
      </c>
      <c r="I36" s="114" t="s">
        <v>184</v>
      </c>
      <c r="J36" s="119">
        <v>0</v>
      </c>
      <c r="K36" s="117">
        <v>0</v>
      </c>
      <c r="L36" s="117">
        <v>0</v>
      </c>
      <c r="M36" s="117">
        <v>0</v>
      </c>
      <c r="N36" s="117">
        <v>0</v>
      </c>
      <c r="O36" s="117">
        <v>0</v>
      </c>
      <c r="P36" s="118">
        <v>0</v>
      </c>
      <c r="Q36" s="119">
        <v>0</v>
      </c>
      <c r="R36" s="119">
        <v>0</v>
      </c>
      <c r="S36" s="184" t="s">
        <v>59</v>
      </c>
    </row>
    <row r="37" spans="1:19">
      <c r="A37" s="111">
        <v>36</v>
      </c>
      <c r="B37" s="121">
        <v>44593</v>
      </c>
      <c r="C37" s="113">
        <f t="shared" si="0"/>
        <v>2022</v>
      </c>
      <c r="D37" s="114">
        <f t="shared" si="1"/>
        <v>2</v>
      </c>
      <c r="E37" s="114" t="s">
        <v>79</v>
      </c>
      <c r="F37" s="114" t="s">
        <v>170</v>
      </c>
      <c r="G37" s="115" t="s">
        <v>171</v>
      </c>
      <c r="H37" s="114" t="s">
        <v>172</v>
      </c>
      <c r="I37" s="114" t="s">
        <v>173</v>
      </c>
      <c r="J37" s="119">
        <v>5</v>
      </c>
      <c r="K37" s="117">
        <v>60</v>
      </c>
      <c r="L37" s="117">
        <v>30</v>
      </c>
      <c r="M37" s="117">
        <v>2</v>
      </c>
      <c r="N37" s="117">
        <v>888</v>
      </c>
      <c r="O37" s="117">
        <v>1382</v>
      </c>
      <c r="P37" s="118">
        <v>0.6</v>
      </c>
      <c r="Q37" s="119">
        <v>4438</v>
      </c>
      <c r="R37" s="119">
        <v>6912</v>
      </c>
      <c r="S37" s="184" t="s">
        <v>59</v>
      </c>
    </row>
    <row r="38" spans="1:19">
      <c r="A38" s="111">
        <v>37</v>
      </c>
      <c r="B38" s="121">
        <v>44594</v>
      </c>
      <c r="C38" s="113">
        <f t="shared" si="0"/>
        <v>2022</v>
      </c>
      <c r="D38" s="114">
        <f t="shared" si="1"/>
        <v>2</v>
      </c>
      <c r="E38" s="114" t="s">
        <v>79</v>
      </c>
      <c r="F38" s="114" t="s">
        <v>174</v>
      </c>
      <c r="G38" s="115" t="s">
        <v>175</v>
      </c>
      <c r="H38" s="114" t="s">
        <v>176</v>
      </c>
      <c r="I38" s="114" t="s">
        <v>173</v>
      </c>
      <c r="J38" s="119">
        <v>4</v>
      </c>
      <c r="K38" s="117">
        <v>57</v>
      </c>
      <c r="L38" s="117">
        <v>26</v>
      </c>
      <c r="M38" s="117">
        <v>2.1</v>
      </c>
      <c r="N38" s="117">
        <v>1480</v>
      </c>
      <c r="O38" s="117">
        <v>2294</v>
      </c>
      <c r="P38" s="118">
        <v>1</v>
      </c>
      <c r="Q38" s="119">
        <v>5918</v>
      </c>
      <c r="R38" s="119">
        <v>9177</v>
      </c>
      <c r="S38" s="184" t="s">
        <v>59</v>
      </c>
    </row>
    <row r="39" spans="1:19">
      <c r="A39" s="111">
        <v>38</v>
      </c>
      <c r="B39" s="121">
        <v>44595</v>
      </c>
      <c r="C39" s="113">
        <f t="shared" si="0"/>
        <v>2022</v>
      </c>
      <c r="D39" s="114">
        <f t="shared" si="1"/>
        <v>2</v>
      </c>
      <c r="E39" s="114" t="s">
        <v>79</v>
      </c>
      <c r="F39" s="114" t="s">
        <v>177</v>
      </c>
      <c r="G39" s="115" t="s">
        <v>175</v>
      </c>
      <c r="H39" s="114" t="s">
        <v>176</v>
      </c>
      <c r="I39" s="114" t="s">
        <v>173</v>
      </c>
      <c r="J39" s="119">
        <v>2</v>
      </c>
      <c r="K39" s="117">
        <v>86</v>
      </c>
      <c r="L39" s="117">
        <v>34</v>
      </c>
      <c r="M39" s="117">
        <v>2.6</v>
      </c>
      <c r="N39" s="117">
        <v>2176</v>
      </c>
      <c r="O39" s="117">
        <v>3384</v>
      </c>
      <c r="P39" s="118">
        <v>1</v>
      </c>
      <c r="Q39" s="119">
        <v>4351</v>
      </c>
      <c r="R39" s="119">
        <v>6767</v>
      </c>
      <c r="S39" s="184" t="s">
        <v>59</v>
      </c>
    </row>
    <row r="40" spans="1:19">
      <c r="A40" s="111">
        <v>39</v>
      </c>
      <c r="B40" s="121">
        <v>44596</v>
      </c>
      <c r="C40" s="113">
        <f t="shared" si="0"/>
        <v>2022</v>
      </c>
      <c r="D40" s="114">
        <f t="shared" si="1"/>
        <v>2</v>
      </c>
      <c r="E40" s="114" t="s">
        <v>20</v>
      </c>
      <c r="F40" s="114" t="s">
        <v>178</v>
      </c>
      <c r="G40" s="115" t="s">
        <v>179</v>
      </c>
      <c r="H40" s="114" t="s">
        <v>180</v>
      </c>
      <c r="I40" s="114" t="s">
        <v>173</v>
      </c>
      <c r="J40" s="119">
        <v>1</v>
      </c>
      <c r="K40" s="117">
        <v>35</v>
      </c>
      <c r="L40" s="117">
        <v>19</v>
      </c>
      <c r="M40" s="117">
        <v>1.7</v>
      </c>
      <c r="N40" s="117">
        <v>922</v>
      </c>
      <c r="O40" s="117">
        <v>1374</v>
      </c>
      <c r="P40" s="118">
        <v>0</v>
      </c>
      <c r="Q40" s="119">
        <v>922</v>
      </c>
      <c r="R40" s="119">
        <v>1374</v>
      </c>
      <c r="S40" s="184" t="s">
        <v>59</v>
      </c>
    </row>
    <row r="41" spans="1:19">
      <c r="A41" s="111">
        <v>40</v>
      </c>
      <c r="B41" s="121">
        <v>44597</v>
      </c>
      <c r="C41" s="113">
        <f t="shared" si="0"/>
        <v>2022</v>
      </c>
      <c r="D41" s="114">
        <f t="shared" si="1"/>
        <v>2</v>
      </c>
      <c r="E41" s="114" t="s">
        <v>8</v>
      </c>
      <c r="F41" s="114" t="s">
        <v>181</v>
      </c>
      <c r="G41" s="115" t="s">
        <v>182</v>
      </c>
      <c r="H41" s="114" t="s">
        <v>183</v>
      </c>
      <c r="I41" s="114" t="s">
        <v>184</v>
      </c>
      <c r="J41" s="119">
        <v>5</v>
      </c>
      <c r="K41" s="117">
        <v>33</v>
      </c>
      <c r="L41" s="117">
        <v>20</v>
      </c>
      <c r="M41" s="117">
        <v>1.9</v>
      </c>
      <c r="N41" s="117">
        <v>355</v>
      </c>
      <c r="O41" s="117">
        <v>553</v>
      </c>
      <c r="P41" s="118">
        <v>0.2</v>
      </c>
      <c r="Q41" s="119">
        <v>1773</v>
      </c>
      <c r="R41" s="119">
        <v>2766</v>
      </c>
      <c r="S41" s="184" t="s">
        <v>59</v>
      </c>
    </row>
    <row r="42" spans="1:19">
      <c r="A42" s="111">
        <v>41</v>
      </c>
      <c r="B42" s="121">
        <v>44598</v>
      </c>
      <c r="C42" s="113">
        <f t="shared" si="0"/>
        <v>2022</v>
      </c>
      <c r="D42" s="114">
        <f t="shared" si="1"/>
        <v>2</v>
      </c>
      <c r="E42" s="114" t="s">
        <v>8</v>
      </c>
      <c r="F42" s="114" t="s">
        <v>185</v>
      </c>
      <c r="G42" s="115" t="s">
        <v>186</v>
      </c>
      <c r="H42" s="114" t="s">
        <v>187</v>
      </c>
      <c r="I42" s="114" t="s">
        <v>184</v>
      </c>
      <c r="J42" s="119">
        <v>3</v>
      </c>
      <c r="K42" s="117">
        <v>41</v>
      </c>
      <c r="L42" s="117">
        <v>22</v>
      </c>
      <c r="M42" s="117">
        <v>1.9</v>
      </c>
      <c r="N42" s="117">
        <v>825</v>
      </c>
      <c r="O42" s="117">
        <v>1256</v>
      </c>
      <c r="P42" s="118">
        <v>0.33</v>
      </c>
      <c r="Q42" s="119">
        <v>2474</v>
      </c>
      <c r="R42" s="119">
        <v>3767</v>
      </c>
      <c r="S42" s="184" t="s">
        <v>59</v>
      </c>
    </row>
    <row r="43" spans="1:19">
      <c r="A43" s="111">
        <v>42</v>
      </c>
      <c r="B43" s="121">
        <v>44599</v>
      </c>
      <c r="C43" s="113">
        <f t="shared" si="0"/>
        <v>2022</v>
      </c>
      <c r="D43" s="114">
        <f t="shared" si="1"/>
        <v>2</v>
      </c>
      <c r="E43" s="114" t="s">
        <v>8</v>
      </c>
      <c r="F43" s="114" t="s">
        <v>188</v>
      </c>
      <c r="G43" s="115" t="s">
        <v>189</v>
      </c>
      <c r="H43" s="114" t="s">
        <v>190</v>
      </c>
      <c r="I43" s="114" t="s">
        <v>184</v>
      </c>
      <c r="J43" s="119">
        <v>4</v>
      </c>
      <c r="K43" s="117">
        <v>45</v>
      </c>
      <c r="L43" s="117">
        <v>23</v>
      </c>
      <c r="M43" s="117">
        <v>2.1</v>
      </c>
      <c r="N43" s="117">
        <v>735</v>
      </c>
      <c r="O43" s="117">
        <v>1151</v>
      </c>
      <c r="P43" s="118">
        <v>0.75</v>
      </c>
      <c r="Q43" s="119">
        <v>2940</v>
      </c>
      <c r="R43" s="119">
        <v>4604</v>
      </c>
      <c r="S43" s="184" t="s">
        <v>59</v>
      </c>
    </row>
    <row r="44" spans="1:19">
      <c r="A44" s="111">
        <v>43</v>
      </c>
      <c r="B44" s="121">
        <v>44600</v>
      </c>
      <c r="C44" s="113">
        <f t="shared" si="0"/>
        <v>2022</v>
      </c>
      <c r="D44" s="114">
        <f t="shared" si="1"/>
        <v>2</v>
      </c>
      <c r="E44" s="114" t="s">
        <v>8</v>
      </c>
      <c r="F44" s="114" t="s">
        <v>191</v>
      </c>
      <c r="G44" s="115" t="s">
        <v>192</v>
      </c>
      <c r="H44" s="114" t="s">
        <v>193</v>
      </c>
      <c r="I44" s="114" t="s">
        <v>173</v>
      </c>
      <c r="J44" s="119">
        <v>4</v>
      </c>
      <c r="K44" s="117">
        <v>39</v>
      </c>
      <c r="L44" s="117">
        <v>21</v>
      </c>
      <c r="M44" s="117">
        <v>2</v>
      </c>
      <c r="N44" s="117">
        <v>473</v>
      </c>
      <c r="O44" s="117">
        <v>751</v>
      </c>
      <c r="P44" s="118">
        <v>0.5</v>
      </c>
      <c r="Q44" s="119">
        <v>1892</v>
      </c>
      <c r="R44" s="119">
        <v>3003</v>
      </c>
      <c r="S44" s="184" t="s">
        <v>59</v>
      </c>
    </row>
    <row r="45" spans="1:19">
      <c r="A45" s="111">
        <v>44</v>
      </c>
      <c r="B45" s="121">
        <v>44601</v>
      </c>
      <c r="C45" s="113">
        <f t="shared" si="0"/>
        <v>2022</v>
      </c>
      <c r="D45" s="114">
        <f t="shared" si="1"/>
        <v>2</v>
      </c>
      <c r="E45" s="114" t="s">
        <v>8</v>
      </c>
      <c r="F45" s="114" t="s">
        <v>194</v>
      </c>
      <c r="G45" s="115" t="s">
        <v>107</v>
      </c>
      <c r="H45" s="185" t="s">
        <v>107</v>
      </c>
      <c r="I45" s="185"/>
      <c r="J45" s="119">
        <v>0</v>
      </c>
      <c r="K45" s="117">
        <v>0</v>
      </c>
      <c r="L45" s="117">
        <v>0</v>
      </c>
      <c r="M45" s="117">
        <v>0</v>
      </c>
      <c r="N45" s="117">
        <v>0</v>
      </c>
      <c r="O45" s="117">
        <v>0</v>
      </c>
      <c r="P45" s="118">
        <v>0</v>
      </c>
      <c r="Q45" s="119">
        <v>0</v>
      </c>
      <c r="R45" s="119">
        <v>0</v>
      </c>
      <c r="S45" s="184" t="s">
        <v>59</v>
      </c>
    </row>
    <row r="46" spans="1:19">
      <c r="A46" s="111">
        <v>45</v>
      </c>
      <c r="B46" s="121">
        <v>44602</v>
      </c>
      <c r="C46" s="113">
        <f t="shared" si="0"/>
        <v>2022</v>
      </c>
      <c r="D46" s="114">
        <f t="shared" si="1"/>
        <v>2</v>
      </c>
      <c r="E46" s="114" t="s">
        <v>88</v>
      </c>
      <c r="F46" s="114" t="s">
        <v>195</v>
      </c>
      <c r="G46" s="115" t="s">
        <v>196</v>
      </c>
      <c r="H46" s="114" t="s">
        <v>197</v>
      </c>
      <c r="I46" s="114" t="s">
        <v>184</v>
      </c>
      <c r="J46" s="119">
        <v>3</v>
      </c>
      <c r="K46" s="117">
        <v>35</v>
      </c>
      <c r="L46" s="117">
        <v>19</v>
      </c>
      <c r="M46" s="117">
        <v>1.8</v>
      </c>
      <c r="N46" s="117">
        <v>654</v>
      </c>
      <c r="O46" s="117">
        <v>944</v>
      </c>
      <c r="P46" s="118">
        <v>0.67</v>
      </c>
      <c r="Q46" s="119">
        <v>1961</v>
      </c>
      <c r="R46" s="119">
        <v>2831</v>
      </c>
      <c r="S46" s="184" t="s">
        <v>59</v>
      </c>
    </row>
    <row r="47" spans="1:19">
      <c r="A47" s="111">
        <v>46</v>
      </c>
      <c r="B47" s="121">
        <v>44603</v>
      </c>
      <c r="C47" s="113">
        <f t="shared" si="0"/>
        <v>2022</v>
      </c>
      <c r="D47" s="114">
        <f t="shared" si="1"/>
        <v>2</v>
      </c>
      <c r="E47" s="114" t="s">
        <v>104</v>
      </c>
      <c r="F47" s="114" t="s">
        <v>198</v>
      </c>
      <c r="G47" s="115" t="s">
        <v>199</v>
      </c>
      <c r="H47" s="114" t="s">
        <v>199</v>
      </c>
      <c r="I47" s="114" t="s">
        <v>200</v>
      </c>
      <c r="J47" s="119">
        <v>0</v>
      </c>
      <c r="K47" s="117">
        <v>0</v>
      </c>
      <c r="L47" s="117">
        <v>0</v>
      </c>
      <c r="M47" s="117">
        <v>0</v>
      </c>
      <c r="N47" s="117">
        <v>0</v>
      </c>
      <c r="O47" s="117">
        <v>0</v>
      </c>
      <c r="P47" s="118">
        <v>0</v>
      </c>
      <c r="Q47" s="119">
        <v>0</v>
      </c>
      <c r="R47" s="119">
        <v>0</v>
      </c>
      <c r="S47" s="184" t="s">
        <v>59</v>
      </c>
    </row>
    <row r="48" spans="1:19">
      <c r="A48" s="111">
        <v>47</v>
      </c>
      <c r="B48" s="121">
        <v>44604</v>
      </c>
      <c r="C48" s="113">
        <f t="shared" si="0"/>
        <v>2022</v>
      </c>
      <c r="D48" s="114">
        <f t="shared" si="1"/>
        <v>2</v>
      </c>
      <c r="E48" s="114" t="s">
        <v>201</v>
      </c>
      <c r="F48" s="114" t="s">
        <v>202</v>
      </c>
      <c r="G48" s="115" t="s">
        <v>203</v>
      </c>
      <c r="H48" s="114" t="s">
        <v>204</v>
      </c>
      <c r="I48" s="114" t="s">
        <v>173</v>
      </c>
      <c r="J48" s="119">
        <v>0</v>
      </c>
      <c r="K48" s="117">
        <v>0</v>
      </c>
      <c r="L48" s="117">
        <v>0</v>
      </c>
      <c r="M48" s="117">
        <v>0</v>
      </c>
      <c r="N48" s="117">
        <v>0</v>
      </c>
      <c r="O48" s="117">
        <v>0</v>
      </c>
      <c r="P48" s="118">
        <v>0</v>
      </c>
      <c r="Q48" s="119">
        <v>0</v>
      </c>
      <c r="R48" s="119">
        <v>0</v>
      </c>
      <c r="S48" s="184" t="s">
        <v>59</v>
      </c>
    </row>
    <row r="49" spans="1:19">
      <c r="A49" s="111">
        <v>48</v>
      </c>
      <c r="B49" s="121">
        <v>44605</v>
      </c>
      <c r="C49" s="113">
        <f t="shared" si="0"/>
        <v>2022</v>
      </c>
      <c r="D49" s="114">
        <f t="shared" si="1"/>
        <v>2</v>
      </c>
      <c r="E49" s="114" t="s">
        <v>30</v>
      </c>
      <c r="F49" s="114" t="s">
        <v>205</v>
      </c>
      <c r="G49" s="115" t="s">
        <v>206</v>
      </c>
      <c r="H49" s="114" t="s">
        <v>207</v>
      </c>
      <c r="I49" s="114" t="s">
        <v>184</v>
      </c>
      <c r="J49" s="119">
        <v>0</v>
      </c>
      <c r="K49" s="117">
        <v>0</v>
      </c>
      <c r="L49" s="117">
        <v>0</v>
      </c>
      <c r="M49" s="117">
        <v>0</v>
      </c>
      <c r="N49" s="117">
        <v>0</v>
      </c>
      <c r="O49" s="117">
        <v>0</v>
      </c>
      <c r="P49" s="118">
        <v>0</v>
      </c>
      <c r="Q49" s="119">
        <v>0</v>
      </c>
      <c r="R49" s="119">
        <v>0</v>
      </c>
      <c r="S49" s="184" t="s">
        <v>59</v>
      </c>
    </row>
    <row r="50" spans="1:19">
      <c r="A50" s="111">
        <v>49</v>
      </c>
      <c r="B50" s="121">
        <v>44606</v>
      </c>
      <c r="C50" s="113">
        <f t="shared" si="0"/>
        <v>2022</v>
      </c>
      <c r="D50" s="114">
        <f t="shared" si="1"/>
        <v>2</v>
      </c>
      <c r="E50" s="114" t="s">
        <v>10</v>
      </c>
      <c r="F50" s="114" t="s">
        <v>208</v>
      </c>
      <c r="G50" s="115" t="s">
        <v>209</v>
      </c>
      <c r="H50" s="114" t="s">
        <v>210</v>
      </c>
      <c r="I50" s="114" t="s">
        <v>173</v>
      </c>
      <c r="J50" s="119">
        <v>3</v>
      </c>
      <c r="K50" s="117">
        <v>59</v>
      </c>
      <c r="L50" s="117">
        <v>26</v>
      </c>
      <c r="M50" s="117">
        <v>2.4</v>
      </c>
      <c r="N50" s="117">
        <v>1766</v>
      </c>
      <c r="O50" s="117">
        <v>2741</v>
      </c>
      <c r="P50" s="118">
        <v>0.33</v>
      </c>
      <c r="Q50" s="119">
        <v>5297</v>
      </c>
      <c r="R50" s="119">
        <v>8222</v>
      </c>
      <c r="S50" s="184" t="s">
        <v>59</v>
      </c>
    </row>
    <row r="51" spans="1:19">
      <c r="A51" s="111">
        <v>50</v>
      </c>
      <c r="B51" s="121">
        <v>44607</v>
      </c>
      <c r="C51" s="113">
        <f t="shared" si="0"/>
        <v>2022</v>
      </c>
      <c r="D51" s="114">
        <f t="shared" si="1"/>
        <v>2</v>
      </c>
      <c r="E51" s="114" t="s">
        <v>10</v>
      </c>
      <c r="F51" s="114" t="s">
        <v>211</v>
      </c>
      <c r="G51" s="115" t="s">
        <v>212</v>
      </c>
      <c r="H51" s="114" t="s">
        <v>213</v>
      </c>
      <c r="I51" s="114" t="s">
        <v>173</v>
      </c>
      <c r="J51" s="119">
        <v>1</v>
      </c>
      <c r="K51" s="117">
        <v>51</v>
      </c>
      <c r="L51" s="117">
        <v>24</v>
      </c>
      <c r="M51" s="117">
        <v>2.2999999999999998</v>
      </c>
      <c r="N51" s="117">
        <v>1454</v>
      </c>
      <c r="O51" s="117">
        <v>2262</v>
      </c>
      <c r="P51" s="118">
        <v>0</v>
      </c>
      <c r="Q51" s="119">
        <v>1454</v>
      </c>
      <c r="R51" s="119">
        <v>2262</v>
      </c>
      <c r="S51" s="184" t="s">
        <v>59</v>
      </c>
    </row>
    <row r="52" spans="1:19">
      <c r="A52" s="111">
        <v>51</v>
      </c>
      <c r="B52" s="121">
        <v>44608</v>
      </c>
      <c r="C52" s="113">
        <f t="shared" si="0"/>
        <v>2022</v>
      </c>
      <c r="D52" s="114">
        <f t="shared" si="1"/>
        <v>2</v>
      </c>
      <c r="E52" s="114" t="s">
        <v>10</v>
      </c>
      <c r="F52" s="114" t="s">
        <v>214</v>
      </c>
      <c r="G52" s="115" t="s">
        <v>215</v>
      </c>
      <c r="H52" s="114" t="s">
        <v>216</v>
      </c>
      <c r="I52" s="114" t="s">
        <v>184</v>
      </c>
      <c r="J52" s="119">
        <v>0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8">
        <v>0</v>
      </c>
      <c r="Q52" s="119">
        <v>0</v>
      </c>
      <c r="R52" s="119">
        <v>0</v>
      </c>
      <c r="S52" s="184" t="s">
        <v>59</v>
      </c>
    </row>
    <row r="53" spans="1:19">
      <c r="A53" s="111">
        <v>52</v>
      </c>
      <c r="B53" s="121">
        <v>44609</v>
      </c>
      <c r="C53" s="113">
        <f t="shared" si="0"/>
        <v>2022</v>
      </c>
      <c r="D53" s="114">
        <f t="shared" si="1"/>
        <v>2</v>
      </c>
      <c r="E53" s="114" t="s">
        <v>9</v>
      </c>
      <c r="F53" s="114" t="s">
        <v>217</v>
      </c>
      <c r="G53" s="115" t="s">
        <v>218</v>
      </c>
      <c r="H53" s="114" t="s">
        <v>219</v>
      </c>
      <c r="I53" s="114" t="s">
        <v>184</v>
      </c>
      <c r="J53" s="119">
        <v>4</v>
      </c>
      <c r="K53" s="117">
        <v>61</v>
      </c>
      <c r="L53" s="117">
        <v>25</v>
      </c>
      <c r="M53" s="117">
        <v>2.4</v>
      </c>
      <c r="N53" s="117">
        <v>2430</v>
      </c>
      <c r="O53" s="117">
        <v>3780</v>
      </c>
      <c r="P53" s="118">
        <v>0.25</v>
      </c>
      <c r="Q53" s="119">
        <v>9719</v>
      </c>
      <c r="R53" s="119">
        <v>15119</v>
      </c>
      <c r="S53" s="184" t="s">
        <v>59</v>
      </c>
    </row>
    <row r="54" spans="1:19">
      <c r="A54" s="111">
        <v>53</v>
      </c>
      <c r="B54" s="121">
        <v>44610</v>
      </c>
      <c r="C54" s="113">
        <f t="shared" si="0"/>
        <v>2022</v>
      </c>
      <c r="D54" s="114">
        <f t="shared" si="1"/>
        <v>2</v>
      </c>
      <c r="E54" s="114" t="s">
        <v>11</v>
      </c>
      <c r="F54" s="114" t="s">
        <v>220</v>
      </c>
      <c r="G54" s="115" t="s">
        <v>221</v>
      </c>
      <c r="H54" s="114" t="s">
        <v>222</v>
      </c>
      <c r="I54" s="114" t="s">
        <v>184</v>
      </c>
      <c r="J54" s="119">
        <v>2</v>
      </c>
      <c r="K54" s="117">
        <v>32</v>
      </c>
      <c r="L54" s="117">
        <v>24</v>
      </c>
      <c r="M54" s="117">
        <v>1.6</v>
      </c>
      <c r="N54" s="117">
        <v>651</v>
      </c>
      <c r="O54" s="117">
        <v>1022</v>
      </c>
      <c r="P54" s="118">
        <v>0</v>
      </c>
      <c r="Q54" s="119">
        <v>1302</v>
      </c>
      <c r="R54" s="119">
        <v>2044</v>
      </c>
      <c r="S54" s="184" t="s">
        <v>59</v>
      </c>
    </row>
    <row r="55" spans="1:19">
      <c r="A55" s="111">
        <v>54</v>
      </c>
      <c r="B55" s="121">
        <v>44611</v>
      </c>
      <c r="C55" s="113">
        <f t="shared" si="0"/>
        <v>2022</v>
      </c>
      <c r="D55" s="114">
        <f t="shared" si="1"/>
        <v>2</v>
      </c>
      <c r="E55" s="114" t="s">
        <v>91</v>
      </c>
      <c r="F55" s="114" t="s">
        <v>178</v>
      </c>
      <c r="G55" s="115" t="s">
        <v>179</v>
      </c>
      <c r="H55" s="114" t="s">
        <v>180</v>
      </c>
      <c r="I55" s="114" t="s">
        <v>173</v>
      </c>
      <c r="J55" s="119">
        <v>1</v>
      </c>
      <c r="K55" s="117">
        <v>33</v>
      </c>
      <c r="L55" s="117">
        <v>15</v>
      </c>
      <c r="M55" s="117">
        <v>2</v>
      </c>
      <c r="N55" s="117">
        <v>710</v>
      </c>
      <c r="O55" s="117">
        <v>1120</v>
      </c>
      <c r="P55" s="118">
        <v>0</v>
      </c>
      <c r="Q55" s="119">
        <v>710</v>
      </c>
      <c r="R55" s="119">
        <v>2240</v>
      </c>
      <c r="S55" s="184" t="s">
        <v>59</v>
      </c>
    </row>
    <row r="56" spans="1:19">
      <c r="A56" s="111">
        <v>55</v>
      </c>
      <c r="B56" s="121">
        <v>44612</v>
      </c>
      <c r="C56" s="113">
        <f t="shared" si="0"/>
        <v>2022</v>
      </c>
      <c r="D56" s="114">
        <f t="shared" si="1"/>
        <v>2</v>
      </c>
      <c r="E56" s="114" t="s">
        <v>23</v>
      </c>
      <c r="F56" s="114" t="s">
        <v>223</v>
      </c>
      <c r="G56" s="115" t="s">
        <v>175</v>
      </c>
      <c r="H56" s="114" t="s">
        <v>176</v>
      </c>
      <c r="I56" s="114" t="s">
        <v>173</v>
      </c>
      <c r="J56" s="119">
        <v>0</v>
      </c>
      <c r="K56" s="117">
        <v>0</v>
      </c>
      <c r="L56" s="117">
        <v>0</v>
      </c>
      <c r="M56" s="117">
        <v>0</v>
      </c>
      <c r="N56" s="117">
        <v>0</v>
      </c>
      <c r="O56" s="117">
        <v>0</v>
      </c>
      <c r="P56" s="118">
        <v>0</v>
      </c>
      <c r="Q56" s="119">
        <v>0</v>
      </c>
      <c r="R56" s="119">
        <v>0</v>
      </c>
      <c r="S56" s="184" t="s">
        <v>59</v>
      </c>
    </row>
    <row r="57" spans="1:19">
      <c r="A57" s="111">
        <v>56</v>
      </c>
      <c r="B57" s="121">
        <v>44613</v>
      </c>
      <c r="C57" s="113">
        <f t="shared" si="0"/>
        <v>2022</v>
      </c>
      <c r="D57" s="114">
        <f t="shared" si="1"/>
        <v>2</v>
      </c>
      <c r="E57" s="114" t="s">
        <v>23</v>
      </c>
      <c r="F57" s="114" t="s">
        <v>224</v>
      </c>
      <c r="G57" s="115" t="s">
        <v>107</v>
      </c>
      <c r="H57" s="114" t="s">
        <v>107</v>
      </c>
      <c r="I57" s="114" t="s">
        <v>107</v>
      </c>
      <c r="J57" s="119">
        <v>0</v>
      </c>
      <c r="K57" s="117">
        <v>0</v>
      </c>
      <c r="L57" s="117">
        <v>0</v>
      </c>
      <c r="M57" s="117">
        <v>0</v>
      </c>
      <c r="N57" s="117">
        <v>0</v>
      </c>
      <c r="O57" s="117">
        <v>0</v>
      </c>
      <c r="P57" s="118">
        <v>0</v>
      </c>
      <c r="Q57" s="119">
        <v>0</v>
      </c>
      <c r="R57" s="119">
        <v>0</v>
      </c>
      <c r="S57" s="184" t="s">
        <v>59</v>
      </c>
    </row>
    <row r="58" spans="1:19">
      <c r="A58" s="111">
        <v>57</v>
      </c>
      <c r="B58" s="121">
        <v>44614</v>
      </c>
      <c r="C58" s="113">
        <f t="shared" si="0"/>
        <v>2022</v>
      </c>
      <c r="D58" s="114">
        <f t="shared" si="1"/>
        <v>2</v>
      </c>
      <c r="E58" s="114" t="s">
        <v>15</v>
      </c>
      <c r="F58" s="114" t="s">
        <v>225</v>
      </c>
      <c r="G58" s="115" t="s">
        <v>226</v>
      </c>
      <c r="H58" s="114" t="s">
        <v>227</v>
      </c>
      <c r="I58" s="114" t="s">
        <v>173</v>
      </c>
      <c r="J58" s="119">
        <v>0</v>
      </c>
      <c r="K58" s="117">
        <v>0</v>
      </c>
      <c r="L58" s="117">
        <v>0</v>
      </c>
      <c r="M58" s="117">
        <v>0</v>
      </c>
      <c r="N58" s="117">
        <v>0</v>
      </c>
      <c r="O58" s="117">
        <v>0</v>
      </c>
      <c r="P58" s="118">
        <v>0</v>
      </c>
      <c r="Q58" s="119">
        <v>0</v>
      </c>
      <c r="R58" s="119">
        <v>0</v>
      </c>
      <c r="S58" s="184" t="s">
        <v>59</v>
      </c>
    </row>
    <row r="59" spans="1:19">
      <c r="A59" s="111">
        <v>58</v>
      </c>
      <c r="B59" s="121">
        <v>44615</v>
      </c>
      <c r="C59" s="113">
        <f t="shared" si="0"/>
        <v>2022</v>
      </c>
      <c r="D59" s="114">
        <f t="shared" si="1"/>
        <v>2</v>
      </c>
      <c r="E59" s="114" t="s">
        <v>84</v>
      </c>
      <c r="F59" s="114" t="s">
        <v>228</v>
      </c>
      <c r="G59" s="115" t="s">
        <v>229</v>
      </c>
      <c r="H59" s="114" t="s">
        <v>230</v>
      </c>
      <c r="I59" s="114" t="s">
        <v>184</v>
      </c>
      <c r="J59" s="119">
        <v>6</v>
      </c>
      <c r="K59" s="117">
        <v>26</v>
      </c>
      <c r="L59" s="117">
        <v>21</v>
      </c>
      <c r="M59" s="117">
        <v>1.5</v>
      </c>
      <c r="N59" s="117">
        <v>290</v>
      </c>
      <c r="O59" s="117">
        <v>417</v>
      </c>
      <c r="P59" s="118">
        <v>0.83</v>
      </c>
      <c r="Q59" s="119">
        <v>1737</v>
      </c>
      <c r="R59" s="119">
        <v>2501</v>
      </c>
      <c r="S59" s="184" t="s">
        <v>59</v>
      </c>
    </row>
    <row r="60" spans="1:19">
      <c r="A60" s="111">
        <v>59</v>
      </c>
      <c r="B60" s="121">
        <v>44616</v>
      </c>
      <c r="C60" s="113">
        <f t="shared" si="0"/>
        <v>2022</v>
      </c>
      <c r="D60" s="114">
        <f t="shared" si="1"/>
        <v>2</v>
      </c>
      <c r="E60" s="114" t="s">
        <v>84</v>
      </c>
      <c r="F60" s="114" t="s">
        <v>231</v>
      </c>
      <c r="G60" s="115" t="s">
        <v>232</v>
      </c>
      <c r="H60" s="114" t="s">
        <v>233</v>
      </c>
      <c r="I60" s="114" t="s">
        <v>184</v>
      </c>
      <c r="J60" s="119">
        <v>2</v>
      </c>
      <c r="K60" s="117">
        <v>20</v>
      </c>
      <c r="L60" s="117">
        <v>20</v>
      </c>
      <c r="M60" s="117">
        <v>1</v>
      </c>
      <c r="N60" s="117">
        <v>195</v>
      </c>
      <c r="O60" s="117">
        <v>276</v>
      </c>
      <c r="P60" s="118">
        <v>0</v>
      </c>
      <c r="Q60" s="119">
        <v>390</v>
      </c>
      <c r="R60" s="119">
        <v>551</v>
      </c>
      <c r="S60" s="184" t="s">
        <v>59</v>
      </c>
    </row>
    <row r="61" spans="1:19">
      <c r="A61" s="111">
        <v>60</v>
      </c>
      <c r="B61" s="121">
        <v>44617</v>
      </c>
      <c r="C61" s="113">
        <f t="shared" si="0"/>
        <v>2022</v>
      </c>
      <c r="D61" s="114">
        <f t="shared" si="1"/>
        <v>2</v>
      </c>
      <c r="E61" s="114" t="s">
        <v>22</v>
      </c>
      <c r="F61" s="114" t="s">
        <v>174</v>
      </c>
      <c r="G61" s="115" t="s">
        <v>175</v>
      </c>
      <c r="H61" s="114" t="s">
        <v>176</v>
      </c>
      <c r="I61" s="114" t="s">
        <v>173</v>
      </c>
      <c r="J61" s="119">
        <v>3</v>
      </c>
      <c r="K61" s="117">
        <v>84</v>
      </c>
      <c r="L61" s="117">
        <v>31</v>
      </c>
      <c r="M61" s="117">
        <v>2.7</v>
      </c>
      <c r="N61" s="117">
        <v>2679</v>
      </c>
      <c r="O61" s="117">
        <v>3960</v>
      </c>
      <c r="P61" s="118">
        <v>0.67</v>
      </c>
      <c r="Q61" s="119">
        <v>8036</v>
      </c>
      <c r="R61" s="119">
        <v>11880</v>
      </c>
      <c r="S61" s="184" t="s">
        <v>59</v>
      </c>
    </row>
    <row r="62" spans="1:19">
      <c r="A62" s="111">
        <v>61</v>
      </c>
      <c r="B62" s="121">
        <v>44618</v>
      </c>
      <c r="C62" s="113">
        <f t="shared" si="0"/>
        <v>2022</v>
      </c>
      <c r="D62" s="114">
        <f t="shared" si="1"/>
        <v>2</v>
      </c>
      <c r="E62" s="114" t="s">
        <v>22</v>
      </c>
      <c r="F62" s="114" t="s">
        <v>177</v>
      </c>
      <c r="G62" s="115" t="s">
        <v>175</v>
      </c>
      <c r="H62" s="114" t="s">
        <v>176</v>
      </c>
      <c r="I62" s="114" t="s">
        <v>173</v>
      </c>
      <c r="J62" s="119">
        <v>3</v>
      </c>
      <c r="K62" s="117">
        <v>78</v>
      </c>
      <c r="L62" s="117">
        <v>30</v>
      </c>
      <c r="M62" s="117">
        <v>2.5</v>
      </c>
      <c r="N62" s="117">
        <v>2399</v>
      </c>
      <c r="O62" s="117">
        <v>3707</v>
      </c>
      <c r="P62" s="118">
        <v>1</v>
      </c>
      <c r="Q62" s="119">
        <v>7198</v>
      </c>
      <c r="R62" s="119">
        <v>11122</v>
      </c>
      <c r="S62" s="184" t="s">
        <v>59</v>
      </c>
    </row>
    <row r="63" spans="1:19">
      <c r="A63" s="111">
        <v>62</v>
      </c>
      <c r="B63" s="121">
        <v>44619</v>
      </c>
      <c r="C63" s="113">
        <f t="shared" si="0"/>
        <v>2022</v>
      </c>
      <c r="D63" s="114">
        <f t="shared" si="1"/>
        <v>2</v>
      </c>
      <c r="E63" s="114" t="s">
        <v>22</v>
      </c>
      <c r="F63" s="114" t="s">
        <v>223</v>
      </c>
      <c r="G63" s="115" t="s">
        <v>175</v>
      </c>
      <c r="H63" s="114" t="s">
        <v>176</v>
      </c>
      <c r="I63" s="114" t="s">
        <v>173</v>
      </c>
      <c r="J63" s="119">
        <v>0</v>
      </c>
      <c r="K63" s="117">
        <v>0</v>
      </c>
      <c r="L63" s="117">
        <v>0</v>
      </c>
      <c r="M63" s="117">
        <v>0</v>
      </c>
      <c r="N63" s="117">
        <v>0</v>
      </c>
      <c r="O63" s="117">
        <v>0</v>
      </c>
      <c r="P63" s="118">
        <v>0</v>
      </c>
      <c r="Q63" s="119">
        <v>0</v>
      </c>
      <c r="R63" s="119">
        <v>0</v>
      </c>
      <c r="S63" s="184" t="s">
        <v>59</v>
      </c>
    </row>
    <row r="64" spans="1:19">
      <c r="A64" s="111">
        <v>63</v>
      </c>
      <c r="B64" s="121">
        <v>44620</v>
      </c>
      <c r="C64" s="113">
        <f t="shared" si="0"/>
        <v>2022</v>
      </c>
      <c r="D64" s="114">
        <f t="shared" si="1"/>
        <v>2</v>
      </c>
      <c r="E64" s="114" t="s">
        <v>12</v>
      </c>
      <c r="F64" s="114" t="s">
        <v>220</v>
      </c>
      <c r="G64" s="115" t="s">
        <v>221</v>
      </c>
      <c r="H64" s="114" t="s">
        <v>222</v>
      </c>
      <c r="I64" s="114" t="s">
        <v>184</v>
      </c>
      <c r="J64" s="119">
        <v>1</v>
      </c>
      <c r="K64" s="117">
        <v>26</v>
      </c>
      <c r="L64" s="117">
        <v>19</v>
      </c>
      <c r="M64" s="117">
        <v>1.4</v>
      </c>
      <c r="N64" s="117">
        <v>538</v>
      </c>
      <c r="O64" s="117">
        <v>712</v>
      </c>
      <c r="P64" s="118">
        <v>0</v>
      </c>
      <c r="Q64" s="119">
        <v>538</v>
      </c>
      <c r="R64" s="119">
        <v>712</v>
      </c>
      <c r="S64" s="184" t="s">
        <v>59</v>
      </c>
    </row>
    <row r="65" spans="1:19">
      <c r="A65" s="111">
        <v>64</v>
      </c>
      <c r="B65" s="121">
        <v>44593</v>
      </c>
      <c r="C65" s="113">
        <f t="shared" si="0"/>
        <v>2022</v>
      </c>
      <c r="D65" s="114">
        <f t="shared" si="1"/>
        <v>2</v>
      </c>
      <c r="E65" s="114" t="s">
        <v>12</v>
      </c>
      <c r="F65" s="114" t="s">
        <v>234</v>
      </c>
      <c r="G65" s="115" t="s">
        <v>235</v>
      </c>
      <c r="H65" s="114" t="s">
        <v>236</v>
      </c>
      <c r="I65" s="114" t="s">
        <v>184</v>
      </c>
      <c r="J65" s="119">
        <v>5</v>
      </c>
      <c r="K65" s="117">
        <v>31</v>
      </c>
      <c r="L65" s="117">
        <v>18</v>
      </c>
      <c r="M65" s="117">
        <v>1.8</v>
      </c>
      <c r="N65" s="117">
        <v>728</v>
      </c>
      <c r="O65" s="117">
        <v>1059</v>
      </c>
      <c r="P65" s="118">
        <v>0.6</v>
      </c>
      <c r="Q65" s="119">
        <v>3638</v>
      </c>
      <c r="R65" s="119">
        <v>5294</v>
      </c>
      <c r="S65" s="184" t="s">
        <v>59</v>
      </c>
    </row>
    <row r="66" spans="1:19">
      <c r="A66" s="111">
        <v>65</v>
      </c>
      <c r="B66" s="121">
        <v>44594</v>
      </c>
      <c r="C66" s="113">
        <f t="shared" si="0"/>
        <v>2022</v>
      </c>
      <c r="D66" s="114">
        <f t="shared" si="1"/>
        <v>2</v>
      </c>
      <c r="E66" s="114" t="s">
        <v>12</v>
      </c>
      <c r="F66" s="114" t="s">
        <v>237</v>
      </c>
      <c r="G66" s="115" t="s">
        <v>199</v>
      </c>
      <c r="H66" s="114" t="s">
        <v>199</v>
      </c>
      <c r="I66" s="114" t="s">
        <v>200</v>
      </c>
      <c r="J66" s="119">
        <v>3</v>
      </c>
      <c r="K66" s="117">
        <v>27</v>
      </c>
      <c r="L66" s="117">
        <v>20</v>
      </c>
      <c r="M66" s="117">
        <v>1.5</v>
      </c>
      <c r="N66" s="117">
        <v>415</v>
      </c>
      <c r="O66" s="117">
        <v>638</v>
      </c>
      <c r="P66" s="118">
        <v>1</v>
      </c>
      <c r="Q66" s="119">
        <v>1245</v>
      </c>
      <c r="R66" s="119">
        <v>1913</v>
      </c>
      <c r="S66" s="184" t="s">
        <v>59</v>
      </c>
    </row>
    <row r="67" spans="1:19">
      <c r="A67" s="111">
        <v>66</v>
      </c>
      <c r="B67" s="121">
        <v>44595</v>
      </c>
      <c r="C67" s="113">
        <f t="shared" si="0"/>
        <v>2022</v>
      </c>
      <c r="D67" s="114">
        <f t="shared" si="1"/>
        <v>2</v>
      </c>
      <c r="E67" s="114" t="s">
        <v>26</v>
      </c>
      <c r="F67" s="114" t="s">
        <v>238</v>
      </c>
      <c r="G67" s="115" t="s">
        <v>175</v>
      </c>
      <c r="H67" s="114" t="s">
        <v>176</v>
      </c>
      <c r="I67" s="114" t="s">
        <v>173</v>
      </c>
      <c r="J67" s="119">
        <v>3</v>
      </c>
      <c r="K67" s="117">
        <v>30</v>
      </c>
      <c r="L67" s="117">
        <v>20</v>
      </c>
      <c r="M67" s="117">
        <v>1.6</v>
      </c>
      <c r="N67" s="117">
        <v>522</v>
      </c>
      <c r="O67" s="117">
        <v>793</v>
      </c>
      <c r="P67" s="118">
        <v>0.33</v>
      </c>
      <c r="Q67" s="119">
        <v>1566</v>
      </c>
      <c r="R67" s="119">
        <v>2379</v>
      </c>
      <c r="S67" s="184" t="s">
        <v>59</v>
      </c>
    </row>
    <row r="68" spans="1:19">
      <c r="A68" s="111">
        <v>67</v>
      </c>
      <c r="B68" s="121">
        <v>44596</v>
      </c>
      <c r="C68" s="113">
        <f t="shared" si="0"/>
        <v>2022</v>
      </c>
      <c r="D68" s="114">
        <f t="shared" si="1"/>
        <v>2</v>
      </c>
      <c r="E68" s="114" t="s">
        <v>19</v>
      </c>
      <c r="F68" s="114" t="s">
        <v>178</v>
      </c>
      <c r="G68" s="115" t="s">
        <v>179</v>
      </c>
      <c r="H68" s="114" t="s">
        <v>180</v>
      </c>
      <c r="I68" s="114" t="s">
        <v>173</v>
      </c>
      <c r="J68" s="119">
        <v>1</v>
      </c>
      <c r="K68" s="117">
        <v>31</v>
      </c>
      <c r="L68" s="117">
        <v>19</v>
      </c>
      <c r="M68" s="117">
        <v>1.7</v>
      </c>
      <c r="N68" s="117">
        <v>751</v>
      </c>
      <c r="O68" s="117">
        <v>1119</v>
      </c>
      <c r="P68" s="118">
        <v>0</v>
      </c>
      <c r="Q68" s="119">
        <v>751</v>
      </c>
      <c r="R68" s="119">
        <v>1119</v>
      </c>
      <c r="S68" s="184" t="s">
        <v>59</v>
      </c>
    </row>
    <row r="69" spans="1:19">
      <c r="A69" s="111">
        <v>68</v>
      </c>
      <c r="B69" s="121">
        <v>44597</v>
      </c>
      <c r="C69" s="113">
        <f t="shared" si="0"/>
        <v>2022</v>
      </c>
      <c r="D69" s="114">
        <f t="shared" si="1"/>
        <v>2</v>
      </c>
      <c r="E69" s="114" t="s">
        <v>7</v>
      </c>
      <c r="F69" s="114" t="s">
        <v>239</v>
      </c>
      <c r="G69" s="115" t="s">
        <v>240</v>
      </c>
      <c r="H69" s="114" t="s">
        <v>241</v>
      </c>
      <c r="I69" s="114" t="s">
        <v>184</v>
      </c>
      <c r="J69" s="119">
        <v>3</v>
      </c>
      <c r="K69" s="117">
        <v>46</v>
      </c>
      <c r="L69" s="117">
        <v>26</v>
      </c>
      <c r="M69" s="117">
        <v>1.9</v>
      </c>
      <c r="N69" s="117">
        <v>601</v>
      </c>
      <c r="O69" s="117">
        <v>912</v>
      </c>
      <c r="P69" s="118">
        <v>0.33</v>
      </c>
      <c r="Q69" s="119">
        <v>1803</v>
      </c>
      <c r="R69" s="119">
        <v>2736</v>
      </c>
      <c r="S69" s="184" t="s">
        <v>59</v>
      </c>
    </row>
    <row r="70" spans="1:19">
      <c r="A70" s="111">
        <v>69</v>
      </c>
      <c r="B70" s="121">
        <v>44598</v>
      </c>
      <c r="C70" s="113">
        <f t="shared" si="0"/>
        <v>2022</v>
      </c>
      <c r="D70" s="114">
        <f t="shared" si="1"/>
        <v>2</v>
      </c>
      <c r="E70" s="114" t="s">
        <v>7</v>
      </c>
      <c r="F70" s="114" t="s">
        <v>220</v>
      </c>
      <c r="G70" s="115" t="s">
        <v>221</v>
      </c>
      <c r="H70" s="114" t="s">
        <v>222</v>
      </c>
      <c r="I70" s="114" t="s">
        <v>184</v>
      </c>
      <c r="J70" s="119">
        <v>0</v>
      </c>
      <c r="K70" s="117">
        <v>0</v>
      </c>
      <c r="L70" s="117">
        <v>0</v>
      </c>
      <c r="M70" s="117">
        <v>0</v>
      </c>
      <c r="N70" s="117">
        <v>0</v>
      </c>
      <c r="O70" s="117">
        <v>0</v>
      </c>
      <c r="P70" s="118">
        <v>0</v>
      </c>
      <c r="Q70" s="119">
        <v>0</v>
      </c>
      <c r="R70" s="119">
        <v>0</v>
      </c>
      <c r="S70" s="184" t="s">
        <v>59</v>
      </c>
    </row>
    <row r="71" spans="1:19">
      <c r="A71" s="111">
        <v>70</v>
      </c>
      <c r="B71" s="121">
        <v>44599</v>
      </c>
      <c r="C71" s="113">
        <f t="shared" si="0"/>
        <v>2022</v>
      </c>
      <c r="D71" s="114">
        <f t="shared" si="1"/>
        <v>2</v>
      </c>
      <c r="E71" s="114" t="s">
        <v>7</v>
      </c>
      <c r="F71" s="114" t="s">
        <v>242</v>
      </c>
      <c r="G71" s="115" t="s">
        <v>243</v>
      </c>
      <c r="H71" s="114" t="s">
        <v>244</v>
      </c>
      <c r="I71" s="114" t="s">
        <v>184</v>
      </c>
      <c r="J71" s="119">
        <v>4</v>
      </c>
      <c r="K71" s="117">
        <v>70</v>
      </c>
      <c r="L71" s="117">
        <v>37</v>
      </c>
      <c r="M71" s="117">
        <v>2.1</v>
      </c>
      <c r="N71" s="117">
        <v>879</v>
      </c>
      <c r="O71" s="117">
        <v>1326</v>
      </c>
      <c r="P71" s="118">
        <v>0</v>
      </c>
      <c r="Q71" s="119">
        <v>3515</v>
      </c>
      <c r="R71" s="119">
        <v>5302</v>
      </c>
      <c r="S71" s="184" t="s">
        <v>59</v>
      </c>
    </row>
    <row r="72" spans="1:19">
      <c r="A72" s="111">
        <v>71</v>
      </c>
      <c r="B72" s="121">
        <v>44621</v>
      </c>
      <c r="C72" s="113">
        <f t="shared" si="0"/>
        <v>2022</v>
      </c>
      <c r="D72" s="114">
        <f t="shared" si="1"/>
        <v>3</v>
      </c>
      <c r="E72" s="114" t="s">
        <v>79</v>
      </c>
      <c r="F72" s="114" t="s">
        <v>170</v>
      </c>
      <c r="G72" s="115" t="s">
        <v>171</v>
      </c>
      <c r="H72" s="114" t="s">
        <v>172</v>
      </c>
      <c r="I72" s="114" t="s">
        <v>173</v>
      </c>
      <c r="J72" s="119">
        <v>3</v>
      </c>
      <c r="K72" s="117">
        <v>43</v>
      </c>
      <c r="L72" s="117">
        <v>24</v>
      </c>
      <c r="M72" s="117">
        <v>1.9</v>
      </c>
      <c r="N72" s="117">
        <v>757</v>
      </c>
      <c r="O72" s="117">
        <v>1082</v>
      </c>
      <c r="P72" s="118">
        <v>0.33</v>
      </c>
      <c r="Q72" s="119">
        <v>2272</v>
      </c>
      <c r="R72" s="119">
        <v>3247</v>
      </c>
      <c r="S72" s="184" t="s">
        <v>59</v>
      </c>
    </row>
    <row r="73" spans="1:19">
      <c r="A73" s="111">
        <v>72</v>
      </c>
      <c r="B73" s="121">
        <v>44622</v>
      </c>
      <c r="C73" s="113">
        <f t="shared" si="0"/>
        <v>2022</v>
      </c>
      <c r="D73" s="114">
        <f t="shared" si="1"/>
        <v>3</v>
      </c>
      <c r="E73" s="114" t="s">
        <v>79</v>
      </c>
      <c r="F73" s="114" t="s">
        <v>174</v>
      </c>
      <c r="G73" s="115" t="s">
        <v>175</v>
      </c>
      <c r="H73" s="114" t="s">
        <v>176</v>
      </c>
      <c r="I73" s="114" t="s">
        <v>173</v>
      </c>
      <c r="J73" s="119">
        <v>1</v>
      </c>
      <c r="K73" s="117">
        <v>101</v>
      </c>
      <c r="L73" s="117">
        <v>38</v>
      </c>
      <c r="M73" s="117">
        <v>2.6</v>
      </c>
      <c r="N73" s="117">
        <v>2270</v>
      </c>
      <c r="O73" s="117">
        <v>3507</v>
      </c>
      <c r="P73" s="118">
        <v>1</v>
      </c>
      <c r="Q73" s="119">
        <v>2270</v>
      </c>
      <c r="R73" s="119">
        <v>3507</v>
      </c>
      <c r="S73" s="184" t="s">
        <v>59</v>
      </c>
    </row>
    <row r="74" spans="1:19">
      <c r="A74" s="111">
        <v>73</v>
      </c>
      <c r="B74" s="121">
        <v>44623</v>
      </c>
      <c r="C74" s="113">
        <f t="shared" si="0"/>
        <v>2022</v>
      </c>
      <c r="D74" s="114">
        <f t="shared" si="1"/>
        <v>3</v>
      </c>
      <c r="E74" s="114" t="s">
        <v>79</v>
      </c>
      <c r="F74" s="114" t="s">
        <v>177</v>
      </c>
      <c r="G74" s="115" t="s">
        <v>175</v>
      </c>
      <c r="H74" s="114" t="s">
        <v>176</v>
      </c>
      <c r="I74" s="114" t="s">
        <v>173</v>
      </c>
      <c r="J74" s="119">
        <v>1</v>
      </c>
      <c r="K74" s="117">
        <v>89</v>
      </c>
      <c r="L74" s="117">
        <v>34</v>
      </c>
      <c r="M74" s="117">
        <v>2.8</v>
      </c>
      <c r="N74" s="117">
        <v>2185</v>
      </c>
      <c r="O74" s="117">
        <v>3149</v>
      </c>
      <c r="P74" s="118">
        <v>1</v>
      </c>
      <c r="Q74" s="119">
        <v>2185</v>
      </c>
      <c r="R74" s="119">
        <v>3149</v>
      </c>
      <c r="S74" s="184" t="s">
        <v>59</v>
      </c>
    </row>
    <row r="75" spans="1:19">
      <c r="A75" s="111">
        <v>74</v>
      </c>
      <c r="B75" s="121">
        <v>44624</v>
      </c>
      <c r="C75" s="113">
        <f t="shared" si="0"/>
        <v>2022</v>
      </c>
      <c r="D75" s="114">
        <f t="shared" si="1"/>
        <v>3</v>
      </c>
      <c r="E75" s="114" t="s">
        <v>20</v>
      </c>
      <c r="F75" s="114" t="s">
        <v>178</v>
      </c>
      <c r="G75" s="115" t="s">
        <v>179</v>
      </c>
      <c r="H75" s="114" t="s">
        <v>180</v>
      </c>
      <c r="I75" s="114" t="s">
        <v>173</v>
      </c>
      <c r="J75" s="119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8">
        <v>0</v>
      </c>
      <c r="Q75" s="119">
        <v>0</v>
      </c>
      <c r="R75" s="119">
        <v>0</v>
      </c>
      <c r="S75" s="184" t="s">
        <v>59</v>
      </c>
    </row>
    <row r="76" spans="1:19">
      <c r="A76" s="111">
        <v>75</v>
      </c>
      <c r="B76" s="121">
        <v>44625</v>
      </c>
      <c r="C76" s="113">
        <f t="shared" si="0"/>
        <v>2022</v>
      </c>
      <c r="D76" s="114">
        <f t="shared" si="1"/>
        <v>3</v>
      </c>
      <c r="E76" s="114" t="s">
        <v>8</v>
      </c>
      <c r="F76" s="114" t="s">
        <v>181</v>
      </c>
      <c r="G76" s="115" t="s">
        <v>182</v>
      </c>
      <c r="H76" s="114" t="s">
        <v>183</v>
      </c>
      <c r="I76" s="114" t="s">
        <v>184</v>
      </c>
      <c r="J76" s="119">
        <v>3</v>
      </c>
      <c r="K76" s="117">
        <v>43</v>
      </c>
      <c r="L76" s="117">
        <v>32</v>
      </c>
      <c r="M76" s="117">
        <v>1.9</v>
      </c>
      <c r="N76" s="117">
        <v>383</v>
      </c>
      <c r="O76" s="117">
        <v>575</v>
      </c>
      <c r="P76" s="118">
        <v>0.33</v>
      </c>
      <c r="Q76" s="119">
        <v>1150</v>
      </c>
      <c r="R76" s="119">
        <v>1725</v>
      </c>
      <c r="S76" s="184" t="s">
        <v>59</v>
      </c>
    </row>
    <row r="77" spans="1:19">
      <c r="A77" s="111">
        <v>76</v>
      </c>
      <c r="B77" s="121">
        <v>44626</v>
      </c>
      <c r="C77" s="113">
        <f t="shared" si="0"/>
        <v>2022</v>
      </c>
      <c r="D77" s="114">
        <f t="shared" si="1"/>
        <v>3</v>
      </c>
      <c r="E77" s="114" t="s">
        <v>8</v>
      </c>
      <c r="F77" s="114" t="s">
        <v>185</v>
      </c>
      <c r="G77" s="115" t="s">
        <v>186</v>
      </c>
      <c r="H77" s="114" t="s">
        <v>187</v>
      </c>
      <c r="I77" s="114" t="s">
        <v>184</v>
      </c>
      <c r="J77" s="119">
        <v>4</v>
      </c>
      <c r="K77" s="117">
        <v>49</v>
      </c>
      <c r="L77" s="117">
        <v>23</v>
      </c>
      <c r="M77" s="117">
        <v>2.2999999999999998</v>
      </c>
      <c r="N77" s="117">
        <v>955</v>
      </c>
      <c r="O77" s="117">
        <v>1413</v>
      </c>
      <c r="P77" s="118">
        <v>0</v>
      </c>
      <c r="Q77" s="119">
        <v>3819</v>
      </c>
      <c r="R77" s="119">
        <v>5652</v>
      </c>
      <c r="S77" s="184" t="s">
        <v>59</v>
      </c>
    </row>
    <row r="78" spans="1:19">
      <c r="A78" s="111">
        <v>77</v>
      </c>
      <c r="B78" s="121">
        <v>44627</v>
      </c>
      <c r="C78" s="113">
        <f t="shared" si="0"/>
        <v>2022</v>
      </c>
      <c r="D78" s="114">
        <f t="shared" si="1"/>
        <v>3</v>
      </c>
      <c r="E78" s="114" t="s">
        <v>8</v>
      </c>
      <c r="F78" s="114" t="s">
        <v>188</v>
      </c>
      <c r="G78" s="115" t="s">
        <v>189</v>
      </c>
      <c r="H78" s="114" t="s">
        <v>190</v>
      </c>
      <c r="I78" s="114" t="s">
        <v>184</v>
      </c>
      <c r="J78" s="119">
        <v>3</v>
      </c>
      <c r="K78" s="117">
        <v>50</v>
      </c>
      <c r="L78" s="117">
        <v>25</v>
      </c>
      <c r="M78" s="117">
        <v>2.1</v>
      </c>
      <c r="N78" s="117">
        <v>877</v>
      </c>
      <c r="O78" s="117">
        <v>1366</v>
      </c>
      <c r="P78" s="118">
        <v>1</v>
      </c>
      <c r="Q78" s="119">
        <v>2632</v>
      </c>
      <c r="R78" s="119">
        <v>4099</v>
      </c>
      <c r="S78" s="184" t="s">
        <v>59</v>
      </c>
    </row>
    <row r="79" spans="1:19">
      <c r="A79" s="111">
        <v>78</v>
      </c>
      <c r="B79" s="121">
        <v>44628</v>
      </c>
      <c r="C79" s="113">
        <f t="shared" si="0"/>
        <v>2022</v>
      </c>
      <c r="D79" s="114">
        <f t="shared" si="1"/>
        <v>3</v>
      </c>
      <c r="E79" s="114" t="s">
        <v>8</v>
      </c>
      <c r="F79" s="114" t="s">
        <v>191</v>
      </c>
      <c r="G79" s="115" t="s">
        <v>192</v>
      </c>
      <c r="H79" s="114" t="s">
        <v>193</v>
      </c>
      <c r="I79" s="114" t="s">
        <v>173</v>
      </c>
      <c r="J79" s="119">
        <v>1</v>
      </c>
      <c r="K79" s="117">
        <v>49</v>
      </c>
      <c r="L79" s="117">
        <v>28</v>
      </c>
      <c r="M79" s="117">
        <v>2</v>
      </c>
      <c r="N79" s="117">
        <v>505</v>
      </c>
      <c r="O79" s="117">
        <v>778</v>
      </c>
      <c r="P79" s="118">
        <v>0</v>
      </c>
      <c r="Q79" s="119">
        <v>505</v>
      </c>
      <c r="R79" s="119">
        <v>778</v>
      </c>
      <c r="S79" s="184" t="s">
        <v>59</v>
      </c>
    </row>
    <row r="80" spans="1:19">
      <c r="A80" s="111">
        <v>79</v>
      </c>
      <c r="B80" s="121">
        <v>44629</v>
      </c>
      <c r="C80" s="113">
        <f t="shared" si="0"/>
        <v>2022</v>
      </c>
      <c r="D80" s="114">
        <f t="shared" si="1"/>
        <v>3</v>
      </c>
      <c r="E80" s="114" t="s">
        <v>8</v>
      </c>
      <c r="F80" s="114" t="s">
        <v>194</v>
      </c>
      <c r="G80" s="115" t="s">
        <v>107</v>
      </c>
      <c r="H80" s="185" t="s">
        <v>107</v>
      </c>
      <c r="I80" s="185"/>
      <c r="J80" s="119">
        <v>0</v>
      </c>
      <c r="K80" s="117">
        <v>0</v>
      </c>
      <c r="L80" s="117">
        <v>0</v>
      </c>
      <c r="M80" s="117">
        <v>0</v>
      </c>
      <c r="N80" s="117">
        <v>0</v>
      </c>
      <c r="O80" s="117">
        <v>0</v>
      </c>
      <c r="P80" s="118">
        <v>0</v>
      </c>
      <c r="Q80" s="119">
        <v>0</v>
      </c>
      <c r="R80" s="119">
        <v>0</v>
      </c>
      <c r="S80" s="184" t="s">
        <v>59</v>
      </c>
    </row>
    <row r="81" spans="1:19">
      <c r="A81" s="111">
        <v>80</v>
      </c>
      <c r="B81" s="121">
        <v>44630</v>
      </c>
      <c r="C81" s="113">
        <f t="shared" si="0"/>
        <v>2022</v>
      </c>
      <c r="D81" s="114">
        <f t="shared" si="1"/>
        <v>3</v>
      </c>
      <c r="E81" s="114" t="s">
        <v>88</v>
      </c>
      <c r="F81" s="114" t="s">
        <v>195</v>
      </c>
      <c r="G81" s="115" t="s">
        <v>196</v>
      </c>
      <c r="H81" s="114" t="s">
        <v>197</v>
      </c>
      <c r="I81" s="114" t="s">
        <v>184</v>
      </c>
      <c r="J81" s="184"/>
      <c r="K81" s="117">
        <v>4</v>
      </c>
      <c r="L81" s="117">
        <v>39</v>
      </c>
      <c r="M81" s="117">
        <v>21</v>
      </c>
      <c r="N81" s="117">
        <v>2</v>
      </c>
      <c r="O81" s="117">
        <v>695</v>
      </c>
      <c r="P81" s="118">
        <v>969</v>
      </c>
      <c r="Q81" s="118">
        <v>0.25</v>
      </c>
      <c r="R81" s="119">
        <v>2781</v>
      </c>
      <c r="S81" s="184" t="s">
        <v>59</v>
      </c>
    </row>
    <row r="82" spans="1:19">
      <c r="A82" s="111">
        <v>81</v>
      </c>
      <c r="B82" s="121">
        <v>44631</v>
      </c>
      <c r="C82" s="113">
        <f t="shared" si="0"/>
        <v>2022</v>
      </c>
      <c r="D82" s="114">
        <f t="shared" si="1"/>
        <v>3</v>
      </c>
      <c r="E82" s="114" t="s">
        <v>104</v>
      </c>
      <c r="F82" s="114" t="s">
        <v>198</v>
      </c>
      <c r="G82" s="115" t="s">
        <v>199</v>
      </c>
      <c r="H82" s="114" t="s">
        <v>199</v>
      </c>
      <c r="I82" s="114" t="s">
        <v>200</v>
      </c>
      <c r="J82" s="119">
        <v>1</v>
      </c>
      <c r="K82" s="117">
        <v>26</v>
      </c>
      <c r="L82" s="117">
        <v>21</v>
      </c>
      <c r="M82" s="117">
        <v>1.4</v>
      </c>
      <c r="N82" s="117">
        <v>316</v>
      </c>
      <c r="O82" s="117">
        <v>317</v>
      </c>
      <c r="P82" s="118">
        <v>1</v>
      </c>
      <c r="Q82" s="119">
        <v>316</v>
      </c>
      <c r="R82" s="119">
        <v>317</v>
      </c>
      <c r="S82" s="184" t="s">
        <v>59</v>
      </c>
    </row>
    <row r="83" spans="1:19">
      <c r="A83" s="111">
        <v>82</v>
      </c>
      <c r="B83" s="121">
        <v>44632</v>
      </c>
      <c r="C83" s="113">
        <f t="shared" si="0"/>
        <v>2022</v>
      </c>
      <c r="D83" s="114">
        <f t="shared" si="1"/>
        <v>3</v>
      </c>
      <c r="E83" s="114" t="s">
        <v>201</v>
      </c>
      <c r="F83" s="114" t="s">
        <v>202</v>
      </c>
      <c r="G83" s="115" t="s">
        <v>203</v>
      </c>
      <c r="H83" s="114" t="s">
        <v>204</v>
      </c>
      <c r="I83" s="114" t="s">
        <v>173</v>
      </c>
      <c r="J83" s="119">
        <v>1</v>
      </c>
      <c r="K83" s="117">
        <v>31</v>
      </c>
      <c r="L83" s="117">
        <v>29</v>
      </c>
      <c r="M83" s="117">
        <v>1.4</v>
      </c>
      <c r="N83" s="117">
        <v>262</v>
      </c>
      <c r="O83" s="117">
        <v>302</v>
      </c>
      <c r="P83" s="118">
        <v>0</v>
      </c>
      <c r="Q83" s="119">
        <v>262</v>
      </c>
      <c r="R83" s="119">
        <v>302</v>
      </c>
      <c r="S83" s="184" t="s">
        <v>59</v>
      </c>
    </row>
    <row r="84" spans="1:19">
      <c r="A84" s="111">
        <v>83</v>
      </c>
      <c r="B84" s="121">
        <v>44633</v>
      </c>
      <c r="C84" s="113">
        <f t="shared" si="0"/>
        <v>2022</v>
      </c>
      <c r="D84" s="114">
        <f t="shared" si="1"/>
        <v>3</v>
      </c>
      <c r="E84" s="114" t="s">
        <v>30</v>
      </c>
      <c r="F84" s="114" t="s">
        <v>205</v>
      </c>
      <c r="G84" s="115" t="s">
        <v>206</v>
      </c>
      <c r="H84" s="114" t="s">
        <v>207</v>
      </c>
      <c r="I84" s="114" t="s">
        <v>184</v>
      </c>
      <c r="J84" s="119">
        <v>1</v>
      </c>
      <c r="K84" s="117">
        <v>14</v>
      </c>
      <c r="L84" s="117">
        <v>14</v>
      </c>
      <c r="M84" s="117">
        <v>1.2</v>
      </c>
      <c r="N84" s="117">
        <v>139</v>
      </c>
      <c r="O84" s="117">
        <v>198</v>
      </c>
      <c r="P84" s="118">
        <v>1</v>
      </c>
      <c r="Q84" s="119">
        <v>139</v>
      </c>
      <c r="R84" s="119">
        <v>198</v>
      </c>
      <c r="S84" s="184" t="s">
        <v>59</v>
      </c>
    </row>
    <row r="85" spans="1:19">
      <c r="A85" s="111">
        <v>84</v>
      </c>
      <c r="B85" s="121">
        <v>44634</v>
      </c>
      <c r="C85" s="113">
        <f t="shared" si="0"/>
        <v>2022</v>
      </c>
      <c r="D85" s="114">
        <f t="shared" si="1"/>
        <v>3</v>
      </c>
      <c r="E85" s="114" t="s">
        <v>10</v>
      </c>
      <c r="F85" s="114" t="s">
        <v>208</v>
      </c>
      <c r="G85" s="115" t="s">
        <v>209</v>
      </c>
      <c r="H85" s="114" t="s">
        <v>210</v>
      </c>
      <c r="I85" s="114" t="s">
        <v>173</v>
      </c>
      <c r="J85" s="119">
        <v>4</v>
      </c>
      <c r="K85" s="117">
        <v>64</v>
      </c>
      <c r="L85" s="117">
        <v>28</v>
      </c>
      <c r="M85" s="117">
        <v>2.4</v>
      </c>
      <c r="N85" s="117">
        <v>1894</v>
      </c>
      <c r="O85" s="117">
        <v>2815</v>
      </c>
      <c r="P85" s="118">
        <v>0</v>
      </c>
      <c r="Q85" s="119">
        <v>7575</v>
      </c>
      <c r="R85" s="119">
        <v>11258</v>
      </c>
      <c r="S85" s="184" t="s">
        <v>59</v>
      </c>
    </row>
    <row r="86" spans="1:19">
      <c r="A86" s="111">
        <v>85</v>
      </c>
      <c r="B86" s="121">
        <v>44635</v>
      </c>
      <c r="C86" s="113">
        <f t="shared" si="0"/>
        <v>2022</v>
      </c>
      <c r="D86" s="114">
        <f t="shared" si="1"/>
        <v>3</v>
      </c>
      <c r="E86" s="114" t="s">
        <v>10</v>
      </c>
      <c r="F86" s="114" t="s">
        <v>211</v>
      </c>
      <c r="G86" s="115" t="s">
        <v>212</v>
      </c>
      <c r="H86" s="114" t="s">
        <v>213</v>
      </c>
      <c r="I86" s="114" t="s">
        <v>173</v>
      </c>
      <c r="J86" s="119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8">
        <v>0</v>
      </c>
      <c r="Q86" s="119">
        <v>0</v>
      </c>
      <c r="R86" s="119">
        <v>0</v>
      </c>
      <c r="S86" s="184" t="s">
        <v>59</v>
      </c>
    </row>
    <row r="87" spans="1:19">
      <c r="A87" s="111">
        <v>86</v>
      </c>
      <c r="B87" s="121">
        <v>44636</v>
      </c>
      <c r="C87" s="113">
        <f t="shared" si="0"/>
        <v>2022</v>
      </c>
      <c r="D87" s="114">
        <f t="shared" si="1"/>
        <v>3</v>
      </c>
      <c r="E87" s="114" t="s">
        <v>10</v>
      </c>
      <c r="F87" s="114" t="s">
        <v>214</v>
      </c>
      <c r="G87" s="115" t="s">
        <v>215</v>
      </c>
      <c r="H87" s="114" t="s">
        <v>216</v>
      </c>
      <c r="I87" s="114" t="s">
        <v>184</v>
      </c>
      <c r="J87" s="119">
        <v>0</v>
      </c>
      <c r="K87" s="117">
        <v>0</v>
      </c>
      <c r="L87" s="117">
        <v>0</v>
      </c>
      <c r="M87" s="117">
        <v>0</v>
      </c>
      <c r="N87" s="117">
        <v>0</v>
      </c>
      <c r="O87" s="117">
        <v>0</v>
      </c>
      <c r="P87" s="118">
        <v>0</v>
      </c>
      <c r="Q87" s="119">
        <v>0</v>
      </c>
      <c r="R87" s="119">
        <v>0</v>
      </c>
      <c r="S87" s="184" t="s">
        <v>59</v>
      </c>
    </row>
    <row r="88" spans="1:19">
      <c r="A88" s="111">
        <v>87</v>
      </c>
      <c r="B88" s="121">
        <v>44637</v>
      </c>
      <c r="C88" s="113">
        <f t="shared" si="0"/>
        <v>2022</v>
      </c>
      <c r="D88" s="114">
        <f t="shared" si="1"/>
        <v>3</v>
      </c>
      <c r="E88" s="114" t="s">
        <v>9</v>
      </c>
      <c r="F88" s="114" t="s">
        <v>217</v>
      </c>
      <c r="G88" s="115" t="s">
        <v>218</v>
      </c>
      <c r="H88" s="114" t="s">
        <v>219</v>
      </c>
      <c r="I88" s="114" t="s">
        <v>184</v>
      </c>
      <c r="J88" s="116">
        <v>4</v>
      </c>
      <c r="K88" s="117">
        <v>80</v>
      </c>
      <c r="L88" s="117">
        <v>31</v>
      </c>
      <c r="M88" s="117">
        <v>2.7</v>
      </c>
      <c r="N88" s="117">
        <v>2275</v>
      </c>
      <c r="O88" s="117">
        <v>3552</v>
      </c>
      <c r="P88" s="118">
        <v>0.75</v>
      </c>
      <c r="Q88" s="119">
        <v>9098</v>
      </c>
      <c r="R88" s="119">
        <v>14206</v>
      </c>
      <c r="S88" s="184" t="s">
        <v>59</v>
      </c>
    </row>
    <row r="89" spans="1:19">
      <c r="A89" s="111">
        <v>88</v>
      </c>
      <c r="B89" s="121">
        <v>44638</v>
      </c>
      <c r="C89" s="113">
        <f t="shared" si="0"/>
        <v>2022</v>
      </c>
      <c r="D89" s="114">
        <f t="shared" si="1"/>
        <v>3</v>
      </c>
      <c r="E89" s="114" t="s">
        <v>11</v>
      </c>
      <c r="F89" s="114" t="s">
        <v>220</v>
      </c>
      <c r="G89" s="115" t="s">
        <v>221</v>
      </c>
      <c r="H89" s="114" t="s">
        <v>222</v>
      </c>
      <c r="I89" s="114" t="s">
        <v>184</v>
      </c>
      <c r="J89" s="116">
        <v>1</v>
      </c>
      <c r="K89" s="117">
        <v>71</v>
      </c>
      <c r="L89" s="117">
        <v>40</v>
      </c>
      <c r="M89" s="117">
        <v>2.5</v>
      </c>
      <c r="N89" s="117">
        <v>510</v>
      </c>
      <c r="O89" s="117">
        <v>713</v>
      </c>
      <c r="P89" s="118">
        <v>0</v>
      </c>
      <c r="Q89" s="119">
        <v>510</v>
      </c>
      <c r="R89" s="119">
        <v>713</v>
      </c>
      <c r="S89" s="184" t="s">
        <v>59</v>
      </c>
    </row>
    <row r="90" spans="1:19">
      <c r="A90" s="111">
        <v>89</v>
      </c>
      <c r="B90" s="121">
        <v>44639</v>
      </c>
      <c r="C90" s="113">
        <f t="shared" si="0"/>
        <v>2022</v>
      </c>
      <c r="D90" s="114">
        <f t="shared" si="1"/>
        <v>3</v>
      </c>
      <c r="E90" s="114" t="s">
        <v>91</v>
      </c>
      <c r="F90" s="114" t="s">
        <v>178</v>
      </c>
      <c r="G90" s="115" t="s">
        <v>179</v>
      </c>
      <c r="H90" s="114" t="s">
        <v>180</v>
      </c>
      <c r="I90" s="114" t="s">
        <v>173</v>
      </c>
      <c r="J90" s="119">
        <v>2</v>
      </c>
      <c r="K90" s="117">
        <v>55</v>
      </c>
      <c r="L90" s="117">
        <v>27</v>
      </c>
      <c r="M90" s="117">
        <v>2.2000000000000002</v>
      </c>
      <c r="N90" s="117">
        <v>797</v>
      </c>
      <c r="O90" s="117">
        <v>1226</v>
      </c>
      <c r="P90" s="118">
        <v>0.5</v>
      </c>
      <c r="Q90" s="119">
        <v>1593</v>
      </c>
      <c r="R90" s="119">
        <v>3677</v>
      </c>
      <c r="S90" s="184" t="s">
        <v>59</v>
      </c>
    </row>
    <row r="91" spans="1:19">
      <c r="A91" s="111">
        <v>90</v>
      </c>
      <c r="B91" s="121">
        <v>44640</v>
      </c>
      <c r="C91" s="113">
        <f t="shared" si="0"/>
        <v>2022</v>
      </c>
      <c r="D91" s="114">
        <f t="shared" si="1"/>
        <v>3</v>
      </c>
      <c r="E91" s="114" t="s">
        <v>23</v>
      </c>
      <c r="F91" s="114" t="s">
        <v>223</v>
      </c>
      <c r="G91" s="115" t="s">
        <v>175</v>
      </c>
      <c r="H91" s="114" t="s">
        <v>176</v>
      </c>
      <c r="I91" s="114" t="s">
        <v>173</v>
      </c>
      <c r="J91" s="119">
        <v>0</v>
      </c>
      <c r="K91" s="117">
        <v>0</v>
      </c>
      <c r="L91" s="117">
        <v>0</v>
      </c>
      <c r="M91" s="117">
        <v>0</v>
      </c>
      <c r="N91" s="117">
        <v>0</v>
      </c>
      <c r="O91" s="117">
        <v>0</v>
      </c>
      <c r="P91" s="118">
        <v>0</v>
      </c>
      <c r="Q91" s="119">
        <v>0</v>
      </c>
      <c r="R91" s="119">
        <v>0</v>
      </c>
      <c r="S91" s="184" t="s">
        <v>59</v>
      </c>
    </row>
    <row r="92" spans="1:19">
      <c r="A92" s="111">
        <v>91</v>
      </c>
      <c r="B92" s="121">
        <v>44641</v>
      </c>
      <c r="C92" s="113">
        <f t="shared" si="0"/>
        <v>2022</v>
      </c>
      <c r="D92" s="114">
        <f t="shared" si="1"/>
        <v>3</v>
      </c>
      <c r="E92" s="114" t="s">
        <v>23</v>
      </c>
      <c r="F92" s="114" t="s">
        <v>224</v>
      </c>
      <c r="G92" s="115" t="s">
        <v>107</v>
      </c>
      <c r="H92" s="114" t="s">
        <v>107</v>
      </c>
      <c r="I92" s="114" t="s">
        <v>107</v>
      </c>
      <c r="J92" s="119">
        <v>0</v>
      </c>
      <c r="K92" s="117">
        <v>0</v>
      </c>
      <c r="L92" s="117">
        <v>0</v>
      </c>
      <c r="M92" s="117">
        <v>0</v>
      </c>
      <c r="N92" s="117">
        <v>0</v>
      </c>
      <c r="O92" s="117">
        <v>0</v>
      </c>
      <c r="P92" s="118">
        <v>0</v>
      </c>
      <c r="Q92" s="119">
        <v>0</v>
      </c>
      <c r="R92" s="119">
        <v>0</v>
      </c>
      <c r="S92" s="184" t="s">
        <v>59</v>
      </c>
    </row>
    <row r="93" spans="1:19">
      <c r="A93" s="111">
        <v>92</v>
      </c>
      <c r="B93" s="121">
        <v>44642</v>
      </c>
      <c r="C93" s="113">
        <f t="shared" si="0"/>
        <v>2022</v>
      </c>
      <c r="D93" s="114">
        <f t="shared" si="1"/>
        <v>3</v>
      </c>
      <c r="E93" s="114" t="s">
        <v>15</v>
      </c>
      <c r="F93" s="114" t="s">
        <v>225</v>
      </c>
      <c r="G93" s="115" t="s">
        <v>226</v>
      </c>
      <c r="H93" s="114" t="s">
        <v>227</v>
      </c>
      <c r="I93" s="114" t="s">
        <v>173</v>
      </c>
      <c r="J93" s="119">
        <v>2</v>
      </c>
      <c r="K93" s="117">
        <v>48</v>
      </c>
      <c r="L93" s="117">
        <v>24</v>
      </c>
      <c r="M93" s="117">
        <v>2.2999999999999998</v>
      </c>
      <c r="N93" s="117">
        <v>754</v>
      </c>
      <c r="O93" s="117">
        <v>1034</v>
      </c>
      <c r="P93" s="118">
        <v>0</v>
      </c>
      <c r="Q93" s="119">
        <v>1507</v>
      </c>
      <c r="R93" s="119">
        <v>2068</v>
      </c>
      <c r="S93" s="184" t="s">
        <v>59</v>
      </c>
    </row>
    <row r="94" spans="1:19">
      <c r="A94" s="111">
        <v>93</v>
      </c>
      <c r="B94" s="121">
        <v>44643</v>
      </c>
      <c r="C94" s="113">
        <f t="shared" si="0"/>
        <v>2022</v>
      </c>
      <c r="D94" s="114">
        <f t="shared" si="1"/>
        <v>3</v>
      </c>
      <c r="E94" s="114" t="s">
        <v>84</v>
      </c>
      <c r="F94" s="114" t="s">
        <v>228</v>
      </c>
      <c r="G94" s="115" t="s">
        <v>229</v>
      </c>
      <c r="H94" s="114" t="s">
        <v>230</v>
      </c>
      <c r="I94" s="114" t="s">
        <v>184</v>
      </c>
      <c r="J94" s="119">
        <v>4</v>
      </c>
      <c r="K94" s="117">
        <v>29</v>
      </c>
      <c r="L94" s="117">
        <v>17</v>
      </c>
      <c r="M94" s="117">
        <v>1.7</v>
      </c>
      <c r="N94" s="117">
        <v>348</v>
      </c>
      <c r="O94" s="117">
        <v>491</v>
      </c>
      <c r="P94" s="118">
        <v>1</v>
      </c>
      <c r="Q94" s="119">
        <v>1390</v>
      </c>
      <c r="R94" s="119">
        <v>1964</v>
      </c>
      <c r="S94" s="184" t="s">
        <v>59</v>
      </c>
    </row>
    <row r="95" spans="1:19">
      <c r="A95" s="111">
        <v>94</v>
      </c>
      <c r="B95" s="121">
        <v>44644</v>
      </c>
      <c r="C95" s="113">
        <f t="shared" si="0"/>
        <v>2022</v>
      </c>
      <c r="D95" s="114">
        <f t="shared" si="1"/>
        <v>3</v>
      </c>
      <c r="E95" s="114" t="s">
        <v>84</v>
      </c>
      <c r="F95" s="114" t="s">
        <v>231</v>
      </c>
      <c r="G95" s="115" t="s">
        <v>232</v>
      </c>
      <c r="H95" s="114" t="s">
        <v>233</v>
      </c>
      <c r="I95" s="114" t="s">
        <v>184</v>
      </c>
      <c r="J95" s="119">
        <v>3</v>
      </c>
      <c r="K95" s="117">
        <v>24</v>
      </c>
      <c r="L95" s="117">
        <v>24</v>
      </c>
      <c r="M95" s="117">
        <v>1.1000000000000001</v>
      </c>
      <c r="N95" s="117">
        <v>222</v>
      </c>
      <c r="O95" s="117">
        <v>319</v>
      </c>
      <c r="P95" s="118">
        <v>0.33</v>
      </c>
      <c r="Q95" s="119">
        <v>667</v>
      </c>
      <c r="R95" s="119">
        <v>957</v>
      </c>
      <c r="S95" s="184" t="s">
        <v>59</v>
      </c>
    </row>
    <row r="96" spans="1:19">
      <c r="A96" s="111">
        <v>95</v>
      </c>
      <c r="B96" s="121">
        <v>44645</v>
      </c>
      <c r="C96" s="113">
        <f t="shared" si="0"/>
        <v>2022</v>
      </c>
      <c r="D96" s="114">
        <f t="shared" si="1"/>
        <v>3</v>
      </c>
      <c r="E96" s="114" t="s">
        <v>22</v>
      </c>
      <c r="F96" s="114" t="s">
        <v>174</v>
      </c>
      <c r="G96" s="115" t="s">
        <v>175</v>
      </c>
      <c r="H96" s="114" t="s">
        <v>176</v>
      </c>
      <c r="I96" s="114" t="s">
        <v>173</v>
      </c>
      <c r="J96" s="119">
        <v>3</v>
      </c>
      <c r="K96" s="117">
        <v>85</v>
      </c>
      <c r="L96" s="117">
        <v>36</v>
      </c>
      <c r="M96" s="117">
        <v>2.4</v>
      </c>
      <c r="N96" s="117">
        <v>2469</v>
      </c>
      <c r="O96" s="117">
        <v>3705</v>
      </c>
      <c r="P96" s="118">
        <v>1</v>
      </c>
      <c r="Q96" s="119">
        <v>7407</v>
      </c>
      <c r="R96" s="119">
        <v>11115</v>
      </c>
      <c r="S96" s="184" t="s">
        <v>59</v>
      </c>
    </row>
    <row r="97" spans="1:19">
      <c r="A97" s="111">
        <v>96</v>
      </c>
      <c r="B97" s="121">
        <v>44646</v>
      </c>
      <c r="C97" s="113">
        <f t="shared" si="0"/>
        <v>2022</v>
      </c>
      <c r="D97" s="114">
        <f t="shared" si="1"/>
        <v>3</v>
      </c>
      <c r="E97" s="114" t="s">
        <v>22</v>
      </c>
      <c r="F97" s="114" t="s">
        <v>177</v>
      </c>
      <c r="G97" s="115" t="s">
        <v>175</v>
      </c>
      <c r="H97" s="114" t="s">
        <v>176</v>
      </c>
      <c r="I97" s="114" t="s">
        <v>173</v>
      </c>
      <c r="J97" s="119">
        <v>3</v>
      </c>
      <c r="K97" s="117">
        <v>91</v>
      </c>
      <c r="L97" s="117">
        <v>33</v>
      </c>
      <c r="M97" s="117">
        <v>2.9</v>
      </c>
      <c r="N97" s="117">
        <v>2648</v>
      </c>
      <c r="O97" s="117">
        <v>4016</v>
      </c>
      <c r="P97" s="118">
        <v>1</v>
      </c>
      <c r="Q97" s="119">
        <v>7944</v>
      </c>
      <c r="R97" s="119">
        <v>12048</v>
      </c>
      <c r="S97" s="184" t="s">
        <v>59</v>
      </c>
    </row>
    <row r="98" spans="1:19">
      <c r="A98" s="111">
        <v>97</v>
      </c>
      <c r="B98" s="121">
        <v>44647</v>
      </c>
      <c r="C98" s="113">
        <f t="shared" si="0"/>
        <v>2022</v>
      </c>
      <c r="D98" s="114">
        <f t="shared" si="1"/>
        <v>3</v>
      </c>
      <c r="E98" s="114" t="s">
        <v>22</v>
      </c>
      <c r="F98" s="114" t="s">
        <v>223</v>
      </c>
      <c r="G98" s="115" t="s">
        <v>175</v>
      </c>
      <c r="H98" s="114" t="s">
        <v>176</v>
      </c>
      <c r="I98" s="114" t="s">
        <v>173</v>
      </c>
      <c r="J98" s="119">
        <v>0</v>
      </c>
      <c r="K98" s="117">
        <v>0</v>
      </c>
      <c r="L98" s="117">
        <v>0</v>
      </c>
      <c r="M98" s="117">
        <v>0</v>
      </c>
      <c r="N98" s="117">
        <v>0</v>
      </c>
      <c r="O98" s="117">
        <v>0</v>
      </c>
      <c r="P98" s="118">
        <v>0</v>
      </c>
      <c r="Q98" s="119">
        <v>0</v>
      </c>
      <c r="R98" s="119">
        <v>0</v>
      </c>
      <c r="S98" s="184" t="s">
        <v>59</v>
      </c>
    </row>
    <row r="99" spans="1:19">
      <c r="A99" s="111">
        <v>98</v>
      </c>
      <c r="B99" s="121">
        <v>44648</v>
      </c>
      <c r="C99" s="113">
        <f t="shared" si="0"/>
        <v>2022</v>
      </c>
      <c r="D99" s="114">
        <f t="shared" si="1"/>
        <v>3</v>
      </c>
      <c r="E99" s="114" t="s">
        <v>12</v>
      </c>
      <c r="F99" s="114" t="s">
        <v>220</v>
      </c>
      <c r="G99" s="115" t="s">
        <v>221</v>
      </c>
      <c r="H99" s="114" t="s">
        <v>222</v>
      </c>
      <c r="I99" s="114" t="s">
        <v>184</v>
      </c>
      <c r="J99" s="119">
        <v>1</v>
      </c>
      <c r="K99" s="117">
        <v>31</v>
      </c>
      <c r="L99" s="117">
        <v>19</v>
      </c>
      <c r="M99" s="117">
        <v>1.7</v>
      </c>
      <c r="N99" s="117">
        <v>569</v>
      </c>
      <c r="O99" s="117">
        <v>837</v>
      </c>
      <c r="P99" s="118">
        <v>1</v>
      </c>
      <c r="Q99" s="119">
        <v>569</v>
      </c>
      <c r="R99" s="119">
        <v>837</v>
      </c>
      <c r="S99" s="184" t="s">
        <v>59</v>
      </c>
    </row>
    <row r="100" spans="1:19">
      <c r="A100" s="111">
        <v>99</v>
      </c>
      <c r="B100" s="121">
        <v>44649</v>
      </c>
      <c r="C100" s="113">
        <f t="shared" si="0"/>
        <v>2022</v>
      </c>
      <c r="D100" s="114">
        <f t="shared" si="1"/>
        <v>3</v>
      </c>
      <c r="E100" s="114" t="s">
        <v>12</v>
      </c>
      <c r="F100" s="114" t="s">
        <v>234</v>
      </c>
      <c r="G100" s="115" t="s">
        <v>235</v>
      </c>
      <c r="H100" s="114" t="s">
        <v>236</v>
      </c>
      <c r="I100" s="114" t="s">
        <v>184</v>
      </c>
      <c r="J100" s="119">
        <v>4</v>
      </c>
      <c r="K100" s="117">
        <v>32</v>
      </c>
      <c r="L100" s="117">
        <v>19</v>
      </c>
      <c r="M100" s="117">
        <v>1.8</v>
      </c>
      <c r="N100" s="117">
        <v>605</v>
      </c>
      <c r="O100" s="117">
        <v>913</v>
      </c>
      <c r="P100" s="118">
        <v>0.25</v>
      </c>
      <c r="Q100" s="119">
        <v>2420</v>
      </c>
      <c r="R100" s="119">
        <v>3652</v>
      </c>
      <c r="S100" s="184" t="s">
        <v>59</v>
      </c>
    </row>
    <row r="101" spans="1:19">
      <c r="A101" s="111">
        <v>100</v>
      </c>
      <c r="B101" s="121">
        <v>44650</v>
      </c>
      <c r="C101" s="113">
        <f t="shared" si="0"/>
        <v>2022</v>
      </c>
      <c r="D101" s="114">
        <f t="shared" si="1"/>
        <v>3</v>
      </c>
      <c r="E101" s="114" t="s">
        <v>12</v>
      </c>
      <c r="F101" s="114" t="s">
        <v>237</v>
      </c>
      <c r="G101" s="115" t="s">
        <v>199</v>
      </c>
      <c r="H101" s="114" t="s">
        <v>199</v>
      </c>
      <c r="I101" s="114" t="s">
        <v>200</v>
      </c>
      <c r="J101" s="119">
        <v>0</v>
      </c>
      <c r="K101" s="117">
        <v>0</v>
      </c>
      <c r="L101" s="117">
        <v>0</v>
      </c>
      <c r="M101" s="117">
        <v>0</v>
      </c>
      <c r="N101" s="117">
        <v>0</v>
      </c>
      <c r="O101" s="117">
        <v>0</v>
      </c>
      <c r="P101" s="118">
        <v>0</v>
      </c>
      <c r="Q101" s="119">
        <v>0</v>
      </c>
      <c r="R101" s="119">
        <v>0</v>
      </c>
      <c r="S101" s="184" t="s">
        <v>59</v>
      </c>
    </row>
    <row r="102" spans="1:19">
      <c r="A102" s="111">
        <v>101</v>
      </c>
      <c r="B102" s="121">
        <v>44651</v>
      </c>
      <c r="C102" s="113">
        <f t="shared" si="0"/>
        <v>2022</v>
      </c>
      <c r="D102" s="114">
        <f t="shared" si="1"/>
        <v>3</v>
      </c>
      <c r="E102" s="114" t="s">
        <v>26</v>
      </c>
      <c r="F102" s="114" t="s">
        <v>238</v>
      </c>
      <c r="G102" s="115" t="s">
        <v>175</v>
      </c>
      <c r="H102" s="114" t="s">
        <v>176</v>
      </c>
      <c r="I102" s="114" t="s">
        <v>173</v>
      </c>
      <c r="J102" s="119">
        <v>4</v>
      </c>
      <c r="K102" s="117">
        <v>30</v>
      </c>
      <c r="L102" s="117">
        <v>19</v>
      </c>
      <c r="M102" s="117">
        <v>1.7</v>
      </c>
      <c r="N102" s="117">
        <v>499</v>
      </c>
      <c r="O102" s="117">
        <v>708</v>
      </c>
      <c r="P102" s="118">
        <v>0.5</v>
      </c>
      <c r="Q102" s="119">
        <v>1997</v>
      </c>
      <c r="R102" s="119">
        <v>2833</v>
      </c>
      <c r="S102" s="184" t="s">
        <v>59</v>
      </c>
    </row>
    <row r="103" spans="1:19">
      <c r="A103" s="111">
        <v>102</v>
      </c>
      <c r="B103" s="121">
        <v>44621</v>
      </c>
      <c r="C103" s="113">
        <f t="shared" si="0"/>
        <v>2022</v>
      </c>
      <c r="D103" s="114">
        <f t="shared" si="1"/>
        <v>3</v>
      </c>
      <c r="E103" s="114" t="s">
        <v>19</v>
      </c>
      <c r="F103" s="114" t="s">
        <v>178</v>
      </c>
      <c r="G103" s="115" t="s">
        <v>179</v>
      </c>
      <c r="H103" s="114" t="s">
        <v>180</v>
      </c>
      <c r="I103" s="114" t="s">
        <v>173</v>
      </c>
      <c r="J103" s="119">
        <v>1</v>
      </c>
      <c r="K103" s="117">
        <v>51</v>
      </c>
      <c r="L103" s="117">
        <v>23</v>
      </c>
      <c r="M103" s="117">
        <v>2</v>
      </c>
      <c r="N103" s="117">
        <v>771</v>
      </c>
      <c r="O103" s="117">
        <v>1224</v>
      </c>
      <c r="P103" s="118">
        <v>1</v>
      </c>
      <c r="Q103" s="119">
        <v>771</v>
      </c>
      <c r="R103" s="119">
        <v>1224</v>
      </c>
      <c r="S103" s="184" t="s">
        <v>59</v>
      </c>
    </row>
    <row r="104" spans="1:19">
      <c r="A104" s="111">
        <v>103</v>
      </c>
      <c r="B104" s="121">
        <v>44622</v>
      </c>
      <c r="C104" s="113">
        <f t="shared" si="0"/>
        <v>2022</v>
      </c>
      <c r="D104" s="114">
        <f t="shared" si="1"/>
        <v>3</v>
      </c>
      <c r="E104" s="114" t="s">
        <v>7</v>
      </c>
      <c r="F104" s="114" t="s">
        <v>239</v>
      </c>
      <c r="G104" s="115" t="s">
        <v>240</v>
      </c>
      <c r="H104" s="114" t="s">
        <v>241</v>
      </c>
      <c r="I104" s="114" t="s">
        <v>184</v>
      </c>
      <c r="J104" s="119">
        <v>3</v>
      </c>
      <c r="K104" s="117">
        <v>48</v>
      </c>
      <c r="L104" s="117">
        <v>26</v>
      </c>
      <c r="M104" s="117">
        <v>1.9</v>
      </c>
      <c r="N104" s="117">
        <v>579</v>
      </c>
      <c r="O104" s="117">
        <v>897</v>
      </c>
      <c r="P104" s="118">
        <v>0</v>
      </c>
      <c r="Q104" s="119">
        <v>1736</v>
      </c>
      <c r="R104" s="119">
        <v>2691</v>
      </c>
      <c r="S104" s="184" t="s">
        <v>59</v>
      </c>
    </row>
    <row r="105" spans="1:19">
      <c r="A105" s="111">
        <v>104</v>
      </c>
      <c r="B105" s="121">
        <v>44623</v>
      </c>
      <c r="C105" s="113">
        <f t="shared" si="0"/>
        <v>2022</v>
      </c>
      <c r="D105" s="114">
        <f t="shared" si="1"/>
        <v>3</v>
      </c>
      <c r="E105" s="114" t="s">
        <v>7</v>
      </c>
      <c r="F105" s="114" t="s">
        <v>220</v>
      </c>
      <c r="G105" s="115" t="s">
        <v>221</v>
      </c>
      <c r="H105" s="114" t="s">
        <v>222</v>
      </c>
      <c r="I105" s="114" t="s">
        <v>184</v>
      </c>
      <c r="J105" s="119">
        <v>0</v>
      </c>
      <c r="K105" s="117">
        <v>0</v>
      </c>
      <c r="L105" s="117">
        <v>0</v>
      </c>
      <c r="M105" s="117">
        <v>0</v>
      </c>
      <c r="N105" s="117">
        <v>0</v>
      </c>
      <c r="O105" s="117">
        <v>0</v>
      </c>
      <c r="P105" s="118">
        <v>0</v>
      </c>
      <c r="Q105" s="119">
        <v>0</v>
      </c>
      <c r="R105" s="119">
        <v>0</v>
      </c>
      <c r="S105" s="184" t="s">
        <v>59</v>
      </c>
    </row>
    <row r="106" spans="1:19">
      <c r="A106" s="111">
        <v>105</v>
      </c>
      <c r="B106" s="121">
        <v>44624</v>
      </c>
      <c r="C106" s="113">
        <f t="shared" si="0"/>
        <v>2022</v>
      </c>
      <c r="D106" s="114">
        <f t="shared" si="1"/>
        <v>3</v>
      </c>
      <c r="E106" s="114" t="s">
        <v>7</v>
      </c>
      <c r="F106" s="114" t="s">
        <v>242</v>
      </c>
      <c r="G106" s="115" t="s">
        <v>243</v>
      </c>
      <c r="H106" s="114" t="s">
        <v>244</v>
      </c>
      <c r="I106" s="114" t="s">
        <v>184</v>
      </c>
      <c r="J106" s="116">
        <v>3</v>
      </c>
      <c r="K106" s="117">
        <v>62</v>
      </c>
      <c r="L106" s="117">
        <v>35</v>
      </c>
      <c r="M106" s="117">
        <v>2.1</v>
      </c>
      <c r="N106" s="117">
        <v>727</v>
      </c>
      <c r="O106" s="117">
        <v>1149</v>
      </c>
      <c r="P106" s="118">
        <v>0</v>
      </c>
      <c r="Q106" s="119">
        <v>2180</v>
      </c>
      <c r="R106" s="119">
        <v>3448</v>
      </c>
      <c r="S106" s="184" t="s">
        <v>59</v>
      </c>
    </row>
    <row r="107" spans="1:19">
      <c r="A107" s="111">
        <v>106</v>
      </c>
      <c r="B107" s="121">
        <v>44652</v>
      </c>
      <c r="C107" s="113">
        <f t="shared" si="0"/>
        <v>2022</v>
      </c>
      <c r="D107" s="114">
        <f t="shared" si="1"/>
        <v>4</v>
      </c>
      <c r="E107" s="114" t="s">
        <v>79</v>
      </c>
      <c r="F107" s="114" t="s">
        <v>170</v>
      </c>
      <c r="G107" s="115" t="s">
        <v>171</v>
      </c>
      <c r="H107" s="114" t="s">
        <v>172</v>
      </c>
      <c r="I107" s="114" t="s">
        <v>173</v>
      </c>
      <c r="J107" s="119">
        <v>4</v>
      </c>
      <c r="K107" s="117">
        <v>37</v>
      </c>
      <c r="L107" s="117">
        <v>20</v>
      </c>
      <c r="M107" s="117">
        <v>1.9</v>
      </c>
      <c r="N107" s="117">
        <v>878</v>
      </c>
      <c r="O107" s="117">
        <v>1334</v>
      </c>
      <c r="P107" s="118">
        <v>0.5</v>
      </c>
      <c r="Q107" s="119">
        <v>3510</v>
      </c>
      <c r="R107" s="119">
        <v>5337</v>
      </c>
      <c r="S107" s="184" t="s">
        <v>59</v>
      </c>
    </row>
    <row r="108" spans="1:19">
      <c r="A108" s="111">
        <v>107</v>
      </c>
      <c r="B108" s="121">
        <v>44653</v>
      </c>
      <c r="C108" s="113">
        <f t="shared" si="0"/>
        <v>2022</v>
      </c>
      <c r="D108" s="114">
        <f t="shared" si="1"/>
        <v>4</v>
      </c>
      <c r="E108" s="114" t="s">
        <v>79</v>
      </c>
      <c r="F108" s="114" t="s">
        <v>174</v>
      </c>
      <c r="G108" s="115" t="s">
        <v>175</v>
      </c>
      <c r="H108" s="114" t="s">
        <v>176</v>
      </c>
      <c r="I108" s="114" t="s">
        <v>173</v>
      </c>
      <c r="J108" s="119">
        <v>1</v>
      </c>
      <c r="K108" s="117">
        <v>64</v>
      </c>
      <c r="L108" s="117">
        <v>35</v>
      </c>
      <c r="M108" s="117">
        <v>1.9</v>
      </c>
      <c r="N108" s="117">
        <v>2244</v>
      </c>
      <c r="O108" s="117">
        <v>3391</v>
      </c>
      <c r="P108" s="118">
        <v>1</v>
      </c>
      <c r="Q108" s="119">
        <v>2244</v>
      </c>
      <c r="R108" s="119">
        <v>3391</v>
      </c>
      <c r="S108" s="184" t="s">
        <v>59</v>
      </c>
    </row>
    <row r="109" spans="1:19">
      <c r="A109" s="111">
        <v>108</v>
      </c>
      <c r="B109" s="121">
        <v>44654</v>
      </c>
      <c r="C109" s="113">
        <f t="shared" si="0"/>
        <v>2022</v>
      </c>
      <c r="D109" s="114">
        <f t="shared" si="1"/>
        <v>4</v>
      </c>
      <c r="E109" s="114" t="s">
        <v>79</v>
      </c>
      <c r="F109" s="114" t="s">
        <v>177</v>
      </c>
      <c r="G109" s="115" t="s">
        <v>175</v>
      </c>
      <c r="H109" s="114" t="s">
        <v>176</v>
      </c>
      <c r="I109" s="114" t="s">
        <v>173</v>
      </c>
      <c r="J109" s="119">
        <v>2</v>
      </c>
      <c r="K109" s="117">
        <v>79</v>
      </c>
      <c r="L109" s="117">
        <v>35</v>
      </c>
      <c r="M109" s="117">
        <v>2.5</v>
      </c>
      <c r="N109" s="117">
        <v>2142</v>
      </c>
      <c r="O109" s="117">
        <v>3274</v>
      </c>
      <c r="P109" s="118">
        <v>1</v>
      </c>
      <c r="Q109" s="119">
        <v>4284</v>
      </c>
      <c r="R109" s="119">
        <v>6548</v>
      </c>
      <c r="S109" s="184" t="s">
        <v>59</v>
      </c>
    </row>
    <row r="110" spans="1:19">
      <c r="A110" s="111">
        <v>109</v>
      </c>
      <c r="B110" s="121">
        <v>44655</v>
      </c>
      <c r="C110" s="113">
        <f t="shared" si="0"/>
        <v>2022</v>
      </c>
      <c r="D110" s="114">
        <f t="shared" si="1"/>
        <v>4</v>
      </c>
      <c r="E110" s="114" t="s">
        <v>20</v>
      </c>
      <c r="F110" s="114" t="s">
        <v>178</v>
      </c>
      <c r="G110" s="115" t="s">
        <v>179</v>
      </c>
      <c r="H110" s="114" t="s">
        <v>180</v>
      </c>
      <c r="I110" s="114" t="s">
        <v>173</v>
      </c>
      <c r="J110" s="119">
        <v>0</v>
      </c>
      <c r="K110" s="117">
        <v>0</v>
      </c>
      <c r="L110" s="117">
        <v>0</v>
      </c>
      <c r="M110" s="117">
        <v>0</v>
      </c>
      <c r="N110" s="117">
        <v>0</v>
      </c>
      <c r="O110" s="117">
        <v>0</v>
      </c>
      <c r="P110" s="118">
        <v>0</v>
      </c>
      <c r="Q110" s="119">
        <v>0</v>
      </c>
      <c r="R110" s="119">
        <v>0</v>
      </c>
      <c r="S110" s="184" t="s">
        <v>59</v>
      </c>
    </row>
    <row r="111" spans="1:19">
      <c r="A111" s="111">
        <v>110</v>
      </c>
      <c r="B111" s="121">
        <v>44656</v>
      </c>
      <c r="C111" s="113">
        <f t="shared" si="0"/>
        <v>2022</v>
      </c>
      <c r="D111" s="114">
        <f t="shared" si="1"/>
        <v>4</v>
      </c>
      <c r="E111" s="114" t="s">
        <v>8</v>
      </c>
      <c r="F111" s="114" t="s">
        <v>181</v>
      </c>
      <c r="G111" s="115" t="s">
        <v>182</v>
      </c>
      <c r="H111" s="114" t="s">
        <v>183</v>
      </c>
      <c r="I111" s="114" t="s">
        <v>184</v>
      </c>
      <c r="J111" s="119">
        <v>42</v>
      </c>
      <c r="K111" s="117">
        <v>24</v>
      </c>
      <c r="L111" s="117">
        <v>18</v>
      </c>
      <c r="M111" s="117">
        <v>1.4</v>
      </c>
      <c r="N111" s="117">
        <v>444</v>
      </c>
      <c r="O111" s="117">
        <v>711</v>
      </c>
      <c r="P111" s="118">
        <v>0.33</v>
      </c>
      <c r="Q111" s="119">
        <v>1332</v>
      </c>
      <c r="R111" s="119">
        <v>2134</v>
      </c>
      <c r="S111" s="184" t="s">
        <v>59</v>
      </c>
    </row>
    <row r="112" spans="1:19">
      <c r="A112" s="111">
        <v>111</v>
      </c>
      <c r="B112" s="121">
        <v>44657</v>
      </c>
      <c r="C112" s="113">
        <f t="shared" si="0"/>
        <v>2022</v>
      </c>
      <c r="D112" s="114">
        <f t="shared" si="1"/>
        <v>4</v>
      </c>
      <c r="E112" s="114" t="s">
        <v>8</v>
      </c>
      <c r="F112" s="114" t="s">
        <v>185</v>
      </c>
      <c r="G112" s="115" t="s">
        <v>186</v>
      </c>
      <c r="H112" s="114" t="s">
        <v>187</v>
      </c>
      <c r="I112" s="114" t="s">
        <v>184</v>
      </c>
      <c r="J112" s="119">
        <v>44</v>
      </c>
      <c r="K112" s="117">
        <v>38</v>
      </c>
      <c r="L112" s="117">
        <v>20</v>
      </c>
      <c r="M112" s="117">
        <v>1.9</v>
      </c>
      <c r="N112" s="117">
        <v>900</v>
      </c>
      <c r="O112" s="117">
        <v>1358</v>
      </c>
      <c r="P112" s="118">
        <v>0.67</v>
      </c>
      <c r="Q112" s="119">
        <v>2701</v>
      </c>
      <c r="R112" s="119">
        <v>4075</v>
      </c>
      <c r="S112" s="184" t="s">
        <v>59</v>
      </c>
    </row>
    <row r="113" spans="1:19">
      <c r="A113" s="111">
        <v>112</v>
      </c>
      <c r="B113" s="121">
        <v>44658</v>
      </c>
      <c r="C113" s="113">
        <f t="shared" si="0"/>
        <v>2022</v>
      </c>
      <c r="D113" s="114">
        <f t="shared" si="1"/>
        <v>4</v>
      </c>
      <c r="E113" s="114" t="s">
        <v>8</v>
      </c>
      <c r="F113" s="114" t="s">
        <v>188</v>
      </c>
      <c r="G113" s="115" t="s">
        <v>189</v>
      </c>
      <c r="H113" s="114" t="s">
        <v>190</v>
      </c>
      <c r="I113" s="114" t="s">
        <v>184</v>
      </c>
      <c r="J113" s="119">
        <v>43</v>
      </c>
      <c r="K113" s="117">
        <v>38</v>
      </c>
      <c r="L113" s="117">
        <v>23</v>
      </c>
      <c r="M113" s="117">
        <v>1.9</v>
      </c>
      <c r="N113" s="117">
        <v>783</v>
      </c>
      <c r="O113" s="117">
        <v>1245</v>
      </c>
      <c r="P113" s="118">
        <v>0.8</v>
      </c>
      <c r="Q113" s="119">
        <v>3915</v>
      </c>
      <c r="R113" s="119">
        <v>6225</v>
      </c>
      <c r="S113" s="184" t="s">
        <v>59</v>
      </c>
    </row>
    <row r="114" spans="1:19">
      <c r="A114" s="111">
        <v>113</v>
      </c>
      <c r="B114" s="121">
        <v>44659</v>
      </c>
      <c r="C114" s="113">
        <f t="shared" si="0"/>
        <v>2022</v>
      </c>
      <c r="D114" s="114">
        <f t="shared" si="1"/>
        <v>4</v>
      </c>
      <c r="E114" s="114" t="s">
        <v>8</v>
      </c>
      <c r="F114" s="114" t="s">
        <v>191</v>
      </c>
      <c r="G114" s="115" t="s">
        <v>192</v>
      </c>
      <c r="H114" s="114" t="s">
        <v>193</v>
      </c>
      <c r="I114" s="114" t="s">
        <v>173</v>
      </c>
      <c r="J114" s="119">
        <v>3</v>
      </c>
      <c r="K114" s="117">
        <v>35</v>
      </c>
      <c r="L114" s="117">
        <v>21</v>
      </c>
      <c r="M114" s="117">
        <v>1.9</v>
      </c>
      <c r="N114" s="117">
        <v>549</v>
      </c>
      <c r="O114" s="117">
        <v>847</v>
      </c>
      <c r="P114" s="118">
        <v>0</v>
      </c>
      <c r="Q114" s="119">
        <v>1646</v>
      </c>
      <c r="R114" s="119">
        <v>2540</v>
      </c>
      <c r="S114" s="184" t="s">
        <v>59</v>
      </c>
    </row>
    <row r="115" spans="1:19">
      <c r="A115" s="111">
        <v>114</v>
      </c>
      <c r="B115" s="121">
        <v>44660</v>
      </c>
      <c r="C115" s="113">
        <f t="shared" si="0"/>
        <v>2022</v>
      </c>
      <c r="D115" s="114">
        <f t="shared" si="1"/>
        <v>4</v>
      </c>
      <c r="E115" s="114" t="s">
        <v>8</v>
      </c>
      <c r="F115" s="114" t="s">
        <v>194</v>
      </c>
      <c r="G115" s="115" t="s">
        <v>107</v>
      </c>
      <c r="H115" s="185" t="s">
        <v>107</v>
      </c>
      <c r="I115" s="185"/>
      <c r="J115" s="119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8">
        <v>0</v>
      </c>
      <c r="Q115" s="119">
        <v>0</v>
      </c>
      <c r="R115" s="119">
        <v>0</v>
      </c>
      <c r="S115" s="184" t="s">
        <v>59</v>
      </c>
    </row>
    <row r="116" spans="1:19">
      <c r="A116" s="111">
        <v>115</v>
      </c>
      <c r="B116" s="121">
        <v>44661</v>
      </c>
      <c r="C116" s="113">
        <f t="shared" si="0"/>
        <v>2022</v>
      </c>
      <c r="D116" s="114">
        <f t="shared" si="1"/>
        <v>4</v>
      </c>
      <c r="E116" s="114" t="s">
        <v>88</v>
      </c>
      <c r="F116" s="114" t="s">
        <v>195</v>
      </c>
      <c r="G116" s="115" t="s">
        <v>196</v>
      </c>
      <c r="H116" s="114" t="s">
        <v>197</v>
      </c>
      <c r="I116" s="114" t="s">
        <v>184</v>
      </c>
      <c r="J116" s="119">
        <v>1</v>
      </c>
      <c r="K116" s="117">
        <v>39</v>
      </c>
      <c r="L116" s="117">
        <v>24</v>
      </c>
      <c r="M116" s="117">
        <v>1.9</v>
      </c>
      <c r="N116" s="117">
        <v>764</v>
      </c>
      <c r="O116" s="117">
        <v>1064</v>
      </c>
      <c r="P116" s="118">
        <v>0</v>
      </c>
      <c r="Q116" s="119">
        <v>764</v>
      </c>
      <c r="R116" s="119">
        <v>1064</v>
      </c>
      <c r="S116" s="184" t="s">
        <v>59</v>
      </c>
    </row>
    <row r="117" spans="1:19">
      <c r="A117" s="111">
        <v>116</v>
      </c>
      <c r="B117" s="121">
        <v>44662</v>
      </c>
      <c r="C117" s="113">
        <f t="shared" si="0"/>
        <v>2022</v>
      </c>
      <c r="D117" s="114">
        <f t="shared" si="1"/>
        <v>4</v>
      </c>
      <c r="E117" s="114" t="s">
        <v>104</v>
      </c>
      <c r="F117" s="114" t="s">
        <v>198</v>
      </c>
      <c r="G117" s="115" t="s">
        <v>199</v>
      </c>
      <c r="H117" s="114" t="s">
        <v>199</v>
      </c>
      <c r="I117" s="114" t="s">
        <v>200</v>
      </c>
      <c r="J117" s="119">
        <v>0</v>
      </c>
      <c r="K117" s="117">
        <v>0</v>
      </c>
      <c r="L117" s="117">
        <v>0</v>
      </c>
      <c r="M117" s="117">
        <v>0</v>
      </c>
      <c r="N117" s="117">
        <v>0</v>
      </c>
      <c r="O117" s="117">
        <v>0</v>
      </c>
      <c r="P117" s="118">
        <v>0</v>
      </c>
      <c r="Q117" s="119">
        <v>0</v>
      </c>
      <c r="R117" s="119">
        <v>0</v>
      </c>
      <c r="S117" s="184" t="s">
        <v>59</v>
      </c>
    </row>
    <row r="118" spans="1:19">
      <c r="A118" s="111">
        <v>117</v>
      </c>
      <c r="B118" s="121">
        <v>44663</v>
      </c>
      <c r="C118" s="113">
        <f t="shared" si="0"/>
        <v>2022</v>
      </c>
      <c r="D118" s="114">
        <f t="shared" si="1"/>
        <v>4</v>
      </c>
      <c r="E118" s="114" t="s">
        <v>201</v>
      </c>
      <c r="F118" s="114" t="s">
        <v>202</v>
      </c>
      <c r="G118" s="115" t="s">
        <v>203</v>
      </c>
      <c r="H118" s="114" t="s">
        <v>204</v>
      </c>
      <c r="I118" s="114" t="s">
        <v>173</v>
      </c>
      <c r="J118" s="119">
        <v>0</v>
      </c>
      <c r="K118" s="117">
        <v>0</v>
      </c>
      <c r="L118" s="117">
        <v>0</v>
      </c>
      <c r="M118" s="117">
        <v>0</v>
      </c>
      <c r="N118" s="117">
        <v>0</v>
      </c>
      <c r="O118" s="117">
        <v>0</v>
      </c>
      <c r="P118" s="118">
        <v>0</v>
      </c>
      <c r="Q118" s="119">
        <v>0</v>
      </c>
      <c r="R118" s="119">
        <v>0</v>
      </c>
      <c r="S118" s="184" t="s">
        <v>59</v>
      </c>
    </row>
    <row r="119" spans="1:19">
      <c r="A119" s="111">
        <v>118</v>
      </c>
      <c r="B119" s="121">
        <v>44664</v>
      </c>
      <c r="C119" s="113">
        <f t="shared" si="0"/>
        <v>2022</v>
      </c>
      <c r="D119" s="114">
        <f t="shared" si="1"/>
        <v>4</v>
      </c>
      <c r="E119" s="114" t="s">
        <v>30</v>
      </c>
      <c r="F119" s="114" t="s">
        <v>205</v>
      </c>
      <c r="G119" s="115" t="s">
        <v>206</v>
      </c>
      <c r="H119" s="114" t="s">
        <v>207</v>
      </c>
      <c r="I119" s="114" t="s">
        <v>184</v>
      </c>
      <c r="J119" s="119">
        <v>1</v>
      </c>
      <c r="K119" s="117">
        <v>13</v>
      </c>
      <c r="L119" s="117">
        <v>19</v>
      </c>
      <c r="M119" s="117">
        <v>0.8</v>
      </c>
      <c r="N119" s="117">
        <v>119</v>
      </c>
      <c r="O119" s="117">
        <v>171</v>
      </c>
      <c r="P119" s="118">
        <v>1</v>
      </c>
      <c r="Q119" s="119">
        <v>119</v>
      </c>
      <c r="R119" s="119">
        <v>171</v>
      </c>
      <c r="S119" s="184" t="s">
        <v>59</v>
      </c>
    </row>
    <row r="120" spans="1:19">
      <c r="A120" s="111">
        <v>119</v>
      </c>
      <c r="B120" s="121">
        <v>44665</v>
      </c>
      <c r="C120" s="113">
        <f t="shared" si="0"/>
        <v>2022</v>
      </c>
      <c r="D120" s="114">
        <f t="shared" si="1"/>
        <v>4</v>
      </c>
      <c r="E120" s="114" t="s">
        <v>10</v>
      </c>
      <c r="F120" s="114" t="s">
        <v>208</v>
      </c>
      <c r="G120" s="115" t="s">
        <v>209</v>
      </c>
      <c r="H120" s="114" t="s">
        <v>210</v>
      </c>
      <c r="I120" s="114" t="s">
        <v>173</v>
      </c>
      <c r="J120" s="119">
        <v>4</v>
      </c>
      <c r="K120" s="117">
        <v>64</v>
      </c>
      <c r="L120" s="117">
        <v>28</v>
      </c>
      <c r="M120" s="117">
        <v>2.4</v>
      </c>
      <c r="N120" s="117">
        <v>1894</v>
      </c>
      <c r="O120" s="117">
        <v>2815</v>
      </c>
      <c r="P120" s="118">
        <v>0</v>
      </c>
      <c r="Q120" s="119">
        <v>7575</v>
      </c>
      <c r="R120" s="119">
        <v>11258</v>
      </c>
      <c r="S120" s="184" t="s">
        <v>59</v>
      </c>
    </row>
    <row r="121" spans="1:19">
      <c r="A121" s="111">
        <v>120</v>
      </c>
      <c r="B121" s="121">
        <v>44666</v>
      </c>
      <c r="C121" s="113">
        <f t="shared" si="0"/>
        <v>2022</v>
      </c>
      <c r="D121" s="114">
        <f t="shared" si="1"/>
        <v>4</v>
      </c>
      <c r="E121" s="114" t="s">
        <v>10</v>
      </c>
      <c r="F121" s="114" t="s">
        <v>211</v>
      </c>
      <c r="G121" s="115" t="s">
        <v>212</v>
      </c>
      <c r="H121" s="114" t="s">
        <v>213</v>
      </c>
      <c r="I121" s="114" t="s">
        <v>173</v>
      </c>
      <c r="J121" s="119">
        <v>0</v>
      </c>
      <c r="K121" s="117">
        <v>0</v>
      </c>
      <c r="L121" s="117">
        <v>0</v>
      </c>
      <c r="M121" s="117">
        <v>0</v>
      </c>
      <c r="N121" s="117">
        <v>0</v>
      </c>
      <c r="O121" s="117">
        <v>0</v>
      </c>
      <c r="P121" s="118">
        <v>0</v>
      </c>
      <c r="Q121" s="119">
        <v>0</v>
      </c>
      <c r="R121" s="119">
        <v>0</v>
      </c>
      <c r="S121" s="184" t="s">
        <v>59</v>
      </c>
    </row>
    <row r="122" spans="1:19">
      <c r="A122" s="111">
        <v>121</v>
      </c>
      <c r="B122" s="121">
        <v>44667</v>
      </c>
      <c r="C122" s="113">
        <f t="shared" si="0"/>
        <v>2022</v>
      </c>
      <c r="D122" s="114">
        <f t="shared" si="1"/>
        <v>4</v>
      </c>
      <c r="E122" s="114" t="s">
        <v>10</v>
      </c>
      <c r="F122" s="114" t="s">
        <v>214</v>
      </c>
      <c r="G122" s="115" t="s">
        <v>215</v>
      </c>
      <c r="H122" s="114" t="s">
        <v>216</v>
      </c>
      <c r="I122" s="114" t="s">
        <v>184</v>
      </c>
      <c r="J122" s="119">
        <v>0</v>
      </c>
      <c r="K122" s="117">
        <v>0</v>
      </c>
      <c r="L122" s="117">
        <v>0</v>
      </c>
      <c r="M122" s="117">
        <v>0</v>
      </c>
      <c r="N122" s="117">
        <v>0</v>
      </c>
      <c r="O122" s="117">
        <v>0</v>
      </c>
      <c r="P122" s="118">
        <v>0</v>
      </c>
      <c r="Q122" s="119">
        <v>0</v>
      </c>
      <c r="R122" s="119">
        <v>0</v>
      </c>
      <c r="S122" s="184" t="s">
        <v>59</v>
      </c>
    </row>
    <row r="123" spans="1:19">
      <c r="A123" s="111">
        <v>122</v>
      </c>
      <c r="B123" s="121">
        <v>44668</v>
      </c>
      <c r="C123" s="113">
        <f t="shared" si="0"/>
        <v>2022</v>
      </c>
      <c r="D123" s="114">
        <f t="shared" si="1"/>
        <v>4</v>
      </c>
      <c r="E123" s="114" t="s">
        <v>9</v>
      </c>
      <c r="F123" s="114" t="s">
        <v>217</v>
      </c>
      <c r="G123" s="115" t="s">
        <v>218</v>
      </c>
      <c r="H123" s="114" t="s">
        <v>219</v>
      </c>
      <c r="I123" s="114" t="s">
        <v>184</v>
      </c>
      <c r="J123" s="119">
        <v>4</v>
      </c>
      <c r="K123" s="117">
        <v>66</v>
      </c>
      <c r="L123" s="117">
        <v>28</v>
      </c>
      <c r="M123" s="117">
        <v>2.5</v>
      </c>
      <c r="N123" s="117">
        <v>2739</v>
      </c>
      <c r="O123" s="117">
        <v>4321</v>
      </c>
      <c r="P123" s="118">
        <v>1</v>
      </c>
      <c r="Q123" s="119">
        <v>10956</v>
      </c>
      <c r="R123" s="119">
        <v>17285</v>
      </c>
      <c r="S123" s="184" t="s">
        <v>59</v>
      </c>
    </row>
    <row r="124" spans="1:19">
      <c r="A124" s="111">
        <v>123</v>
      </c>
      <c r="B124" s="121">
        <v>44669</v>
      </c>
      <c r="C124" s="113">
        <f t="shared" si="0"/>
        <v>2022</v>
      </c>
      <c r="D124" s="114">
        <f t="shared" si="1"/>
        <v>4</v>
      </c>
      <c r="E124" s="114" t="s">
        <v>11</v>
      </c>
      <c r="F124" s="114" t="s">
        <v>220</v>
      </c>
      <c r="G124" s="115" t="s">
        <v>221</v>
      </c>
      <c r="H124" s="114" t="s">
        <v>222</v>
      </c>
      <c r="I124" s="114" t="s">
        <v>184</v>
      </c>
      <c r="J124" s="119">
        <v>1</v>
      </c>
      <c r="K124" s="117">
        <v>37</v>
      </c>
      <c r="L124" s="117">
        <v>24</v>
      </c>
      <c r="M124" s="117">
        <v>1.8</v>
      </c>
      <c r="N124" s="117">
        <v>562</v>
      </c>
      <c r="O124" s="117">
        <v>815</v>
      </c>
      <c r="P124" s="118">
        <v>0</v>
      </c>
      <c r="Q124" s="119">
        <v>562</v>
      </c>
      <c r="R124" s="119">
        <v>815</v>
      </c>
      <c r="S124" s="184" t="s">
        <v>59</v>
      </c>
    </row>
    <row r="125" spans="1:19">
      <c r="A125" s="111">
        <v>124</v>
      </c>
      <c r="B125" s="121">
        <v>44670</v>
      </c>
      <c r="C125" s="113">
        <f t="shared" si="0"/>
        <v>2022</v>
      </c>
      <c r="D125" s="114">
        <f t="shared" si="1"/>
        <v>4</v>
      </c>
      <c r="E125" s="114" t="s">
        <v>91</v>
      </c>
      <c r="F125" s="114" t="s">
        <v>178</v>
      </c>
      <c r="G125" s="115" t="s">
        <v>179</v>
      </c>
      <c r="H125" s="114" t="s">
        <v>180</v>
      </c>
      <c r="I125" s="114" t="s">
        <v>173</v>
      </c>
      <c r="J125" s="116">
        <v>1</v>
      </c>
      <c r="K125" s="117">
        <v>38</v>
      </c>
      <c r="L125" s="117">
        <v>22</v>
      </c>
      <c r="M125" s="117">
        <v>1.9</v>
      </c>
      <c r="N125" s="117">
        <v>719</v>
      </c>
      <c r="O125" s="117">
        <v>1028</v>
      </c>
      <c r="P125" s="118">
        <v>1</v>
      </c>
      <c r="Q125" s="119">
        <v>719</v>
      </c>
      <c r="R125" s="119">
        <v>2056</v>
      </c>
      <c r="S125" s="184" t="s">
        <v>59</v>
      </c>
    </row>
    <row r="126" spans="1:19">
      <c r="A126" s="111">
        <v>125</v>
      </c>
      <c r="B126" s="121">
        <v>44671</v>
      </c>
      <c r="C126" s="113">
        <f t="shared" si="0"/>
        <v>2022</v>
      </c>
      <c r="D126" s="114">
        <f t="shared" si="1"/>
        <v>4</v>
      </c>
      <c r="E126" s="114" t="s">
        <v>23</v>
      </c>
      <c r="F126" s="114" t="s">
        <v>223</v>
      </c>
      <c r="G126" s="115" t="s">
        <v>175</v>
      </c>
      <c r="H126" s="114" t="s">
        <v>176</v>
      </c>
      <c r="I126" s="114" t="s">
        <v>173</v>
      </c>
      <c r="J126" s="119">
        <v>0</v>
      </c>
      <c r="K126" s="117">
        <v>0</v>
      </c>
      <c r="L126" s="117">
        <v>0</v>
      </c>
      <c r="M126" s="117">
        <v>0</v>
      </c>
      <c r="N126" s="117">
        <v>0</v>
      </c>
      <c r="O126" s="117">
        <v>0</v>
      </c>
      <c r="P126" s="118">
        <v>0</v>
      </c>
      <c r="Q126" s="119">
        <v>0</v>
      </c>
      <c r="R126" s="119">
        <v>0</v>
      </c>
      <c r="S126" s="184" t="s">
        <v>59</v>
      </c>
    </row>
    <row r="127" spans="1:19">
      <c r="A127" s="111">
        <v>126</v>
      </c>
      <c r="B127" s="121">
        <v>44672</v>
      </c>
      <c r="C127" s="113">
        <f t="shared" si="0"/>
        <v>2022</v>
      </c>
      <c r="D127" s="114">
        <f t="shared" si="1"/>
        <v>4</v>
      </c>
      <c r="E127" s="114" t="s">
        <v>23</v>
      </c>
      <c r="F127" s="114" t="s">
        <v>224</v>
      </c>
      <c r="G127" s="115" t="s">
        <v>107</v>
      </c>
      <c r="H127" s="114" t="s">
        <v>107</v>
      </c>
      <c r="I127" s="114" t="s">
        <v>107</v>
      </c>
      <c r="J127" s="119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8">
        <v>0</v>
      </c>
      <c r="Q127" s="119">
        <v>0</v>
      </c>
      <c r="R127" s="119">
        <v>0</v>
      </c>
      <c r="S127" s="184" t="s">
        <v>59</v>
      </c>
    </row>
    <row r="128" spans="1:19">
      <c r="A128" s="111">
        <v>127</v>
      </c>
      <c r="B128" s="121">
        <v>44673</v>
      </c>
      <c r="C128" s="113">
        <f t="shared" si="0"/>
        <v>2022</v>
      </c>
      <c r="D128" s="114">
        <f t="shared" si="1"/>
        <v>4</v>
      </c>
      <c r="E128" s="114" t="s">
        <v>15</v>
      </c>
      <c r="F128" s="114" t="s">
        <v>225</v>
      </c>
      <c r="G128" s="115" t="s">
        <v>226</v>
      </c>
      <c r="H128" s="114" t="s">
        <v>227</v>
      </c>
      <c r="I128" s="114" t="s">
        <v>173</v>
      </c>
      <c r="J128" s="119">
        <v>4</v>
      </c>
      <c r="K128" s="117">
        <v>36</v>
      </c>
      <c r="L128" s="117">
        <v>25</v>
      </c>
      <c r="M128" s="117">
        <v>1.5</v>
      </c>
      <c r="N128" s="117">
        <v>723</v>
      </c>
      <c r="O128" s="117">
        <v>952</v>
      </c>
      <c r="P128" s="118">
        <v>0.5</v>
      </c>
      <c r="Q128" s="119">
        <v>2891</v>
      </c>
      <c r="R128" s="119">
        <v>3809</v>
      </c>
      <c r="S128" s="184" t="s">
        <v>59</v>
      </c>
    </row>
    <row r="129" spans="1:19">
      <c r="A129" s="111">
        <v>128</v>
      </c>
      <c r="B129" s="121">
        <v>44674</v>
      </c>
      <c r="C129" s="113">
        <f t="shared" si="0"/>
        <v>2022</v>
      </c>
      <c r="D129" s="114">
        <f t="shared" si="1"/>
        <v>4</v>
      </c>
      <c r="E129" s="114" t="s">
        <v>84</v>
      </c>
      <c r="F129" s="114" t="s">
        <v>228</v>
      </c>
      <c r="G129" s="115" t="s">
        <v>229</v>
      </c>
      <c r="H129" s="114" t="s">
        <v>230</v>
      </c>
      <c r="I129" s="114" t="s">
        <v>184</v>
      </c>
      <c r="J129" s="119">
        <v>19</v>
      </c>
      <c r="K129" s="117">
        <v>28</v>
      </c>
      <c r="L129" s="117">
        <v>23</v>
      </c>
      <c r="M129" s="117">
        <v>2.1</v>
      </c>
      <c r="N129" s="117">
        <v>344</v>
      </c>
      <c r="O129" s="117">
        <v>482</v>
      </c>
      <c r="P129" s="118">
        <v>0</v>
      </c>
      <c r="Q129" s="119">
        <v>1374</v>
      </c>
      <c r="R129" s="119">
        <v>1928</v>
      </c>
      <c r="S129" s="184" t="s">
        <v>59</v>
      </c>
    </row>
    <row r="130" spans="1:19">
      <c r="A130" s="111">
        <v>129</v>
      </c>
      <c r="B130" s="121">
        <v>44675</v>
      </c>
      <c r="C130" s="113">
        <f t="shared" si="0"/>
        <v>2022</v>
      </c>
      <c r="D130" s="114">
        <f t="shared" si="1"/>
        <v>4</v>
      </c>
      <c r="E130" s="114" t="s">
        <v>84</v>
      </c>
      <c r="F130" s="114" t="s">
        <v>231</v>
      </c>
      <c r="G130" s="115" t="s">
        <v>232</v>
      </c>
      <c r="H130" s="114" t="s">
        <v>233</v>
      </c>
      <c r="I130" s="114" t="s">
        <v>184</v>
      </c>
      <c r="J130" s="122">
        <v>3</v>
      </c>
      <c r="K130" s="117">
        <v>22</v>
      </c>
      <c r="L130" s="117">
        <v>21</v>
      </c>
      <c r="M130" s="117">
        <v>1.2</v>
      </c>
      <c r="N130" s="117">
        <v>205</v>
      </c>
      <c r="O130" s="117">
        <v>290</v>
      </c>
      <c r="P130" s="118">
        <v>0</v>
      </c>
      <c r="Q130" s="119">
        <v>616</v>
      </c>
      <c r="R130" s="119">
        <v>870</v>
      </c>
      <c r="S130" s="184" t="s">
        <v>59</v>
      </c>
    </row>
    <row r="131" spans="1:19">
      <c r="A131" s="111">
        <v>130</v>
      </c>
      <c r="B131" s="121">
        <v>44676</v>
      </c>
      <c r="C131" s="113">
        <f t="shared" si="0"/>
        <v>2022</v>
      </c>
      <c r="D131" s="114">
        <f t="shared" si="1"/>
        <v>4</v>
      </c>
      <c r="E131" s="114" t="s">
        <v>22</v>
      </c>
      <c r="F131" s="114" t="s">
        <v>174</v>
      </c>
      <c r="G131" s="115" t="s">
        <v>175</v>
      </c>
      <c r="H131" s="114" t="s">
        <v>176</v>
      </c>
      <c r="I131" s="114" t="s">
        <v>173</v>
      </c>
      <c r="J131" s="113">
        <v>3</v>
      </c>
      <c r="K131" s="117">
        <v>77</v>
      </c>
      <c r="L131" s="117">
        <v>33</v>
      </c>
      <c r="M131" s="117">
        <v>2.4</v>
      </c>
      <c r="N131" s="117">
        <v>2584</v>
      </c>
      <c r="O131" s="117">
        <v>4027</v>
      </c>
      <c r="P131" s="118">
        <v>1</v>
      </c>
      <c r="Q131" s="119">
        <v>7753</v>
      </c>
      <c r="R131" s="119">
        <v>12080</v>
      </c>
      <c r="S131" s="184" t="s">
        <v>59</v>
      </c>
    </row>
    <row r="132" spans="1:19">
      <c r="A132" s="111">
        <v>131</v>
      </c>
      <c r="B132" s="121">
        <v>44677</v>
      </c>
      <c r="C132" s="113">
        <f t="shared" si="0"/>
        <v>2022</v>
      </c>
      <c r="D132" s="114">
        <f t="shared" si="1"/>
        <v>4</v>
      </c>
      <c r="E132" s="114" t="s">
        <v>22</v>
      </c>
      <c r="F132" s="114" t="s">
        <v>177</v>
      </c>
      <c r="G132" s="115" t="s">
        <v>175</v>
      </c>
      <c r="H132" s="114" t="s">
        <v>176</v>
      </c>
      <c r="I132" s="114" t="s">
        <v>173</v>
      </c>
      <c r="J132" s="119">
        <v>2</v>
      </c>
      <c r="K132" s="117">
        <v>75</v>
      </c>
      <c r="L132" s="117">
        <v>33</v>
      </c>
      <c r="M132" s="117">
        <v>2.4</v>
      </c>
      <c r="N132" s="117">
        <v>2741</v>
      </c>
      <c r="O132" s="117">
        <v>4154</v>
      </c>
      <c r="P132" s="118">
        <v>1</v>
      </c>
      <c r="Q132" s="119">
        <v>5482</v>
      </c>
      <c r="R132" s="119">
        <v>8307</v>
      </c>
      <c r="S132" s="184" t="s">
        <v>59</v>
      </c>
    </row>
    <row r="133" spans="1:19">
      <c r="A133" s="111">
        <v>132</v>
      </c>
      <c r="B133" s="121">
        <v>44678</v>
      </c>
      <c r="C133" s="113">
        <f t="shared" si="0"/>
        <v>2022</v>
      </c>
      <c r="D133" s="114">
        <f t="shared" si="1"/>
        <v>4</v>
      </c>
      <c r="E133" s="114" t="s">
        <v>22</v>
      </c>
      <c r="F133" s="114" t="s">
        <v>223</v>
      </c>
      <c r="G133" s="115" t="s">
        <v>175</v>
      </c>
      <c r="H133" s="114" t="s">
        <v>176</v>
      </c>
      <c r="I133" s="114" t="s">
        <v>173</v>
      </c>
      <c r="J133" s="119">
        <v>0</v>
      </c>
      <c r="K133" s="117">
        <v>0</v>
      </c>
      <c r="L133" s="117">
        <v>0</v>
      </c>
      <c r="M133" s="117">
        <v>0</v>
      </c>
      <c r="N133" s="117">
        <v>0</v>
      </c>
      <c r="O133" s="117">
        <v>0</v>
      </c>
      <c r="P133" s="118">
        <v>0</v>
      </c>
      <c r="Q133" s="119">
        <v>0</v>
      </c>
      <c r="R133" s="119">
        <v>0</v>
      </c>
      <c r="S133" s="184" t="s">
        <v>59</v>
      </c>
    </row>
    <row r="134" spans="1:19">
      <c r="A134" s="111">
        <v>133</v>
      </c>
      <c r="B134" s="121">
        <v>44679</v>
      </c>
      <c r="C134" s="113">
        <f t="shared" si="0"/>
        <v>2022</v>
      </c>
      <c r="D134" s="114">
        <f t="shared" si="1"/>
        <v>4</v>
      </c>
      <c r="E134" s="114" t="s">
        <v>12</v>
      </c>
      <c r="F134" s="114" t="s">
        <v>220</v>
      </c>
      <c r="G134" s="115" t="s">
        <v>221</v>
      </c>
      <c r="H134" s="114" t="s">
        <v>222</v>
      </c>
      <c r="I134" s="114" t="s">
        <v>184</v>
      </c>
      <c r="J134" s="119">
        <v>2</v>
      </c>
      <c r="K134" s="117">
        <v>36</v>
      </c>
      <c r="L134" s="117">
        <v>28</v>
      </c>
      <c r="M134" s="117">
        <v>1.7</v>
      </c>
      <c r="N134" s="117">
        <v>533</v>
      </c>
      <c r="O134" s="117">
        <v>773</v>
      </c>
      <c r="P134" s="118">
        <v>0</v>
      </c>
      <c r="Q134" s="119">
        <v>1065</v>
      </c>
      <c r="R134" s="119">
        <v>1545</v>
      </c>
      <c r="S134" s="184" t="s">
        <v>59</v>
      </c>
    </row>
    <row r="135" spans="1:19">
      <c r="A135" s="111">
        <v>134</v>
      </c>
      <c r="B135" s="121">
        <v>44680</v>
      </c>
      <c r="C135" s="113">
        <f t="shared" si="0"/>
        <v>2022</v>
      </c>
      <c r="D135" s="114">
        <f t="shared" si="1"/>
        <v>4</v>
      </c>
      <c r="E135" s="114" t="s">
        <v>12</v>
      </c>
      <c r="F135" s="114" t="s">
        <v>234</v>
      </c>
      <c r="G135" s="115" t="s">
        <v>235</v>
      </c>
      <c r="H135" s="114" t="s">
        <v>236</v>
      </c>
      <c r="I135" s="114" t="s">
        <v>184</v>
      </c>
      <c r="J135" s="119">
        <v>3</v>
      </c>
      <c r="K135" s="117">
        <v>26</v>
      </c>
      <c r="L135" s="117">
        <v>18</v>
      </c>
      <c r="M135" s="117">
        <v>1.6</v>
      </c>
      <c r="N135" s="117">
        <v>517</v>
      </c>
      <c r="O135" s="117">
        <v>783</v>
      </c>
      <c r="P135" s="118">
        <v>0.67</v>
      </c>
      <c r="Q135" s="119">
        <v>1551</v>
      </c>
      <c r="R135" s="119">
        <v>2350</v>
      </c>
      <c r="S135" s="184" t="s">
        <v>59</v>
      </c>
    </row>
    <row r="136" spans="1:19">
      <c r="A136" s="111">
        <v>135</v>
      </c>
      <c r="B136" s="121">
        <v>44681</v>
      </c>
      <c r="C136" s="113">
        <f t="shared" si="0"/>
        <v>2022</v>
      </c>
      <c r="D136" s="114">
        <f t="shared" si="1"/>
        <v>4</v>
      </c>
      <c r="E136" s="114" t="s">
        <v>12</v>
      </c>
      <c r="F136" s="114" t="s">
        <v>237</v>
      </c>
      <c r="G136" s="115" t="s">
        <v>199</v>
      </c>
      <c r="H136" s="114" t="s">
        <v>199</v>
      </c>
      <c r="I136" s="114" t="s">
        <v>200</v>
      </c>
      <c r="J136" s="119">
        <v>0</v>
      </c>
      <c r="K136" s="117">
        <v>0</v>
      </c>
      <c r="L136" s="117">
        <v>0</v>
      </c>
      <c r="M136" s="117">
        <v>0</v>
      </c>
      <c r="N136" s="117">
        <v>0</v>
      </c>
      <c r="O136" s="117">
        <v>0</v>
      </c>
      <c r="P136" s="118">
        <v>0</v>
      </c>
      <c r="Q136" s="119">
        <v>0</v>
      </c>
      <c r="R136" s="119">
        <v>0</v>
      </c>
      <c r="S136" s="184" t="s">
        <v>59</v>
      </c>
    </row>
    <row r="137" spans="1:19">
      <c r="A137" s="111">
        <v>136</v>
      </c>
      <c r="B137" s="121">
        <v>44652</v>
      </c>
      <c r="C137" s="113">
        <f t="shared" si="0"/>
        <v>2022</v>
      </c>
      <c r="D137" s="114">
        <f t="shared" si="1"/>
        <v>4</v>
      </c>
      <c r="E137" s="114" t="s">
        <v>26</v>
      </c>
      <c r="F137" s="114" t="s">
        <v>238</v>
      </c>
      <c r="G137" s="115" t="s">
        <v>175</v>
      </c>
      <c r="H137" s="114" t="s">
        <v>176</v>
      </c>
      <c r="I137" s="114" t="s">
        <v>173</v>
      </c>
      <c r="J137" s="119">
        <v>2</v>
      </c>
      <c r="K137" s="117">
        <v>36</v>
      </c>
      <c r="L137" s="117">
        <v>22</v>
      </c>
      <c r="M137" s="117">
        <v>1.9</v>
      </c>
      <c r="N137" s="117">
        <v>585</v>
      </c>
      <c r="O137" s="117">
        <v>810</v>
      </c>
      <c r="P137" s="118">
        <v>0.5</v>
      </c>
      <c r="Q137" s="119">
        <v>1169</v>
      </c>
      <c r="R137" s="119">
        <v>1619</v>
      </c>
      <c r="S137" s="184" t="s">
        <v>59</v>
      </c>
    </row>
    <row r="138" spans="1:19">
      <c r="A138" s="111">
        <v>137</v>
      </c>
      <c r="B138" s="121">
        <v>44653</v>
      </c>
      <c r="C138" s="113">
        <f t="shared" si="0"/>
        <v>2022</v>
      </c>
      <c r="D138" s="114">
        <f t="shared" si="1"/>
        <v>4</v>
      </c>
      <c r="E138" s="114" t="s">
        <v>19</v>
      </c>
      <c r="F138" s="114" t="s">
        <v>178</v>
      </c>
      <c r="G138" s="115" t="s">
        <v>179</v>
      </c>
      <c r="H138" s="114" t="s">
        <v>180</v>
      </c>
      <c r="I138" s="114" t="s">
        <v>173</v>
      </c>
      <c r="J138" s="119">
        <v>1</v>
      </c>
      <c r="K138" s="117">
        <v>41</v>
      </c>
      <c r="L138" s="117">
        <v>26</v>
      </c>
      <c r="M138" s="117">
        <v>1.7</v>
      </c>
      <c r="N138" s="117">
        <v>905</v>
      </c>
      <c r="O138" s="117">
        <v>1386</v>
      </c>
      <c r="P138" s="118">
        <v>1</v>
      </c>
      <c r="Q138" s="119">
        <v>905</v>
      </c>
      <c r="R138" s="119">
        <v>1386</v>
      </c>
      <c r="S138" s="184" t="s">
        <v>59</v>
      </c>
    </row>
    <row r="139" spans="1:19">
      <c r="A139" s="111">
        <v>138</v>
      </c>
      <c r="B139" s="121">
        <v>44654</v>
      </c>
      <c r="C139" s="113">
        <f t="shared" si="0"/>
        <v>2022</v>
      </c>
      <c r="D139" s="114">
        <f t="shared" si="1"/>
        <v>4</v>
      </c>
      <c r="E139" s="114" t="s">
        <v>7</v>
      </c>
      <c r="F139" s="114" t="s">
        <v>239</v>
      </c>
      <c r="G139" s="115" t="s">
        <v>240</v>
      </c>
      <c r="H139" s="114" t="s">
        <v>241</v>
      </c>
      <c r="I139" s="114" t="s">
        <v>184</v>
      </c>
      <c r="J139" s="119">
        <v>34</v>
      </c>
      <c r="K139" s="117">
        <v>55</v>
      </c>
      <c r="L139" s="117">
        <v>36</v>
      </c>
      <c r="M139" s="117">
        <v>1.7</v>
      </c>
      <c r="N139" s="117">
        <v>628</v>
      </c>
      <c r="O139" s="117">
        <v>981</v>
      </c>
      <c r="P139" s="118">
        <v>0.33</v>
      </c>
      <c r="Q139" s="119">
        <v>1883</v>
      </c>
      <c r="R139" s="119">
        <v>2944</v>
      </c>
      <c r="S139" s="184" t="s">
        <v>59</v>
      </c>
    </row>
    <row r="140" spans="1:19">
      <c r="A140" s="111">
        <v>139</v>
      </c>
      <c r="B140" s="121">
        <v>44655</v>
      </c>
      <c r="C140" s="113">
        <f t="shared" si="0"/>
        <v>2022</v>
      </c>
      <c r="D140" s="114">
        <f t="shared" si="1"/>
        <v>4</v>
      </c>
      <c r="E140" s="114" t="s">
        <v>7</v>
      </c>
      <c r="F140" s="114" t="s">
        <v>220</v>
      </c>
      <c r="G140" s="115" t="s">
        <v>221</v>
      </c>
      <c r="H140" s="114" t="s">
        <v>222</v>
      </c>
      <c r="I140" s="114" t="s">
        <v>184</v>
      </c>
      <c r="J140" s="119">
        <v>14</v>
      </c>
      <c r="K140" s="117">
        <v>32</v>
      </c>
      <c r="L140" s="117">
        <v>18</v>
      </c>
      <c r="M140" s="117">
        <v>1.9</v>
      </c>
      <c r="N140" s="117">
        <v>668</v>
      </c>
      <c r="O140" s="117">
        <v>984</v>
      </c>
      <c r="P140" s="118">
        <v>0</v>
      </c>
      <c r="Q140" s="119">
        <v>668</v>
      </c>
      <c r="R140" s="119">
        <v>984</v>
      </c>
      <c r="S140" s="184" t="s">
        <v>59</v>
      </c>
    </row>
    <row r="141" spans="1:19">
      <c r="A141" s="111">
        <v>140</v>
      </c>
      <c r="B141" s="121">
        <v>44656</v>
      </c>
      <c r="C141" s="113">
        <f t="shared" si="0"/>
        <v>2022</v>
      </c>
      <c r="D141" s="114">
        <f t="shared" si="1"/>
        <v>4</v>
      </c>
      <c r="E141" s="114" t="s">
        <v>7</v>
      </c>
      <c r="F141" s="114" t="s">
        <v>242</v>
      </c>
      <c r="G141" s="115" t="s">
        <v>243</v>
      </c>
      <c r="H141" s="114" t="s">
        <v>244</v>
      </c>
      <c r="I141" s="114" t="s">
        <v>184</v>
      </c>
      <c r="J141" s="119">
        <v>43</v>
      </c>
      <c r="K141" s="117">
        <v>46</v>
      </c>
      <c r="L141" s="117">
        <v>27</v>
      </c>
      <c r="M141" s="117">
        <v>1.9</v>
      </c>
      <c r="N141" s="117">
        <v>757</v>
      </c>
      <c r="O141" s="117">
        <v>1222</v>
      </c>
      <c r="P141" s="118">
        <v>0.25</v>
      </c>
      <c r="Q141" s="119">
        <v>3026</v>
      </c>
      <c r="R141" s="119">
        <v>4887</v>
      </c>
      <c r="S141" s="184" t="s">
        <v>59</v>
      </c>
    </row>
    <row r="142" spans="1:19">
      <c r="A142" s="111">
        <v>141</v>
      </c>
      <c r="B142" s="121">
        <v>44682</v>
      </c>
      <c r="C142" s="113">
        <f t="shared" si="0"/>
        <v>2022</v>
      </c>
      <c r="D142" s="114">
        <f t="shared" si="1"/>
        <v>5</v>
      </c>
      <c r="E142" s="114" t="s">
        <v>79</v>
      </c>
      <c r="F142" s="114" t="s">
        <v>170</v>
      </c>
      <c r="G142" s="115" t="s">
        <v>171</v>
      </c>
      <c r="H142" s="114" t="s">
        <v>172</v>
      </c>
      <c r="I142" s="114" t="s">
        <v>173</v>
      </c>
      <c r="J142" s="186">
        <v>3</v>
      </c>
      <c r="K142" s="187">
        <v>46</v>
      </c>
      <c r="L142" s="187">
        <v>29</v>
      </c>
      <c r="M142" s="187">
        <v>1.8</v>
      </c>
      <c r="N142" s="187">
        <v>787</v>
      </c>
      <c r="O142" s="187">
        <v>1143</v>
      </c>
      <c r="P142" s="188">
        <v>0.33</v>
      </c>
      <c r="Q142" s="186">
        <v>2360</v>
      </c>
      <c r="R142" s="186">
        <v>3429</v>
      </c>
      <c r="S142" s="184" t="s">
        <v>59</v>
      </c>
    </row>
    <row r="143" spans="1:19">
      <c r="A143" s="111">
        <v>142</v>
      </c>
      <c r="B143" s="121">
        <v>44683</v>
      </c>
      <c r="C143" s="113">
        <f t="shared" si="0"/>
        <v>2022</v>
      </c>
      <c r="D143" s="114">
        <f t="shared" si="1"/>
        <v>5</v>
      </c>
      <c r="E143" s="114" t="s">
        <v>79</v>
      </c>
      <c r="F143" s="114" t="s">
        <v>174</v>
      </c>
      <c r="G143" s="115" t="s">
        <v>175</v>
      </c>
      <c r="H143" s="114" t="s">
        <v>176</v>
      </c>
      <c r="I143" s="114" t="s">
        <v>173</v>
      </c>
      <c r="J143" s="119">
        <v>0</v>
      </c>
      <c r="K143" s="117">
        <v>0</v>
      </c>
      <c r="L143" s="117">
        <v>0</v>
      </c>
      <c r="M143" s="117">
        <v>0</v>
      </c>
      <c r="N143" s="117">
        <v>0</v>
      </c>
      <c r="O143" s="117">
        <v>0</v>
      </c>
      <c r="P143" s="118">
        <v>0</v>
      </c>
      <c r="Q143" s="119">
        <v>0</v>
      </c>
      <c r="R143" s="119">
        <v>0</v>
      </c>
      <c r="S143" s="184" t="s">
        <v>59</v>
      </c>
    </row>
    <row r="144" spans="1:19">
      <c r="A144" s="111">
        <v>143</v>
      </c>
      <c r="B144" s="121">
        <v>44684</v>
      </c>
      <c r="C144" s="113">
        <f t="shared" si="0"/>
        <v>2022</v>
      </c>
      <c r="D144" s="114">
        <f t="shared" si="1"/>
        <v>5</v>
      </c>
      <c r="E144" s="114" t="s">
        <v>79</v>
      </c>
      <c r="F144" s="114" t="s">
        <v>177</v>
      </c>
      <c r="G144" s="115" t="s">
        <v>175</v>
      </c>
      <c r="H144" s="114" t="s">
        <v>176</v>
      </c>
      <c r="I144" s="114" t="s">
        <v>173</v>
      </c>
      <c r="J144" s="186">
        <v>4</v>
      </c>
      <c r="K144" s="187">
        <v>75</v>
      </c>
      <c r="L144" s="187">
        <v>31</v>
      </c>
      <c r="M144" s="187">
        <v>2.5</v>
      </c>
      <c r="N144" s="187">
        <v>1666</v>
      </c>
      <c r="O144" s="187">
        <v>2626</v>
      </c>
      <c r="P144" s="188">
        <v>0.75</v>
      </c>
      <c r="Q144" s="186">
        <v>6662</v>
      </c>
      <c r="R144" s="186">
        <v>10502</v>
      </c>
      <c r="S144" s="184" t="s">
        <v>59</v>
      </c>
    </row>
    <row r="145" spans="1:19">
      <c r="A145" s="111">
        <v>144</v>
      </c>
      <c r="B145" s="121">
        <v>44685</v>
      </c>
      <c r="C145" s="113">
        <f t="shared" si="0"/>
        <v>2022</v>
      </c>
      <c r="D145" s="114">
        <f t="shared" si="1"/>
        <v>5</v>
      </c>
      <c r="E145" s="114" t="s">
        <v>20</v>
      </c>
      <c r="F145" s="114" t="s">
        <v>178</v>
      </c>
      <c r="G145" s="115" t="s">
        <v>179</v>
      </c>
      <c r="H145" s="114" t="s">
        <v>180</v>
      </c>
      <c r="I145" s="114" t="s">
        <v>173</v>
      </c>
      <c r="J145" s="186">
        <v>1</v>
      </c>
      <c r="K145" s="187">
        <v>41</v>
      </c>
      <c r="L145" s="187">
        <v>23</v>
      </c>
      <c r="M145" s="187">
        <v>2.2000000000000002</v>
      </c>
      <c r="N145" s="187">
        <v>741</v>
      </c>
      <c r="O145" s="187">
        <v>1179</v>
      </c>
      <c r="P145" s="188">
        <v>0</v>
      </c>
      <c r="Q145" s="186">
        <v>741</v>
      </c>
      <c r="R145" s="186">
        <v>1179</v>
      </c>
      <c r="S145" s="184" t="s">
        <v>59</v>
      </c>
    </row>
    <row r="146" spans="1:19">
      <c r="A146" s="111">
        <v>145</v>
      </c>
      <c r="B146" s="121">
        <v>44686</v>
      </c>
      <c r="C146" s="113">
        <f t="shared" si="0"/>
        <v>2022</v>
      </c>
      <c r="D146" s="114">
        <f t="shared" si="1"/>
        <v>5</v>
      </c>
      <c r="E146" s="114" t="s">
        <v>8</v>
      </c>
      <c r="F146" s="114" t="s">
        <v>181</v>
      </c>
      <c r="G146" s="115" t="s">
        <v>182</v>
      </c>
      <c r="H146" s="114" t="s">
        <v>183</v>
      </c>
      <c r="I146" s="114" t="s">
        <v>184</v>
      </c>
      <c r="J146" s="186">
        <v>3</v>
      </c>
      <c r="K146" s="187">
        <v>38</v>
      </c>
      <c r="L146" s="187">
        <v>24</v>
      </c>
      <c r="M146" s="187">
        <v>1.8</v>
      </c>
      <c r="N146" s="187">
        <v>448</v>
      </c>
      <c r="O146" s="187">
        <v>669</v>
      </c>
      <c r="P146" s="188">
        <v>0.33</v>
      </c>
      <c r="Q146" s="186">
        <v>1345</v>
      </c>
      <c r="R146" s="186">
        <v>2007</v>
      </c>
      <c r="S146" s="184" t="s">
        <v>59</v>
      </c>
    </row>
    <row r="147" spans="1:19">
      <c r="A147" s="111">
        <v>146</v>
      </c>
      <c r="B147" s="121">
        <v>44687</v>
      </c>
      <c r="C147" s="113">
        <f t="shared" si="0"/>
        <v>2022</v>
      </c>
      <c r="D147" s="114">
        <f t="shared" si="1"/>
        <v>5</v>
      </c>
      <c r="E147" s="114" t="s">
        <v>8</v>
      </c>
      <c r="F147" s="114" t="s">
        <v>185</v>
      </c>
      <c r="G147" s="115" t="s">
        <v>186</v>
      </c>
      <c r="H147" s="114" t="s">
        <v>187</v>
      </c>
      <c r="I147" s="114" t="s">
        <v>184</v>
      </c>
      <c r="J147" s="186">
        <v>5</v>
      </c>
      <c r="K147" s="187">
        <v>51</v>
      </c>
      <c r="L147" s="187">
        <v>29</v>
      </c>
      <c r="M147" s="187">
        <v>1.9</v>
      </c>
      <c r="N147" s="187">
        <v>753</v>
      </c>
      <c r="O147" s="187">
        <v>1106</v>
      </c>
      <c r="P147" s="188">
        <v>0.2</v>
      </c>
      <c r="Q147" s="186">
        <v>3764</v>
      </c>
      <c r="R147" s="186">
        <v>5529</v>
      </c>
      <c r="S147" s="184" t="s">
        <v>59</v>
      </c>
    </row>
    <row r="148" spans="1:19">
      <c r="A148" s="111">
        <v>147</v>
      </c>
      <c r="B148" s="121">
        <v>44688</v>
      </c>
      <c r="C148" s="113">
        <f t="shared" si="0"/>
        <v>2022</v>
      </c>
      <c r="D148" s="114">
        <f t="shared" si="1"/>
        <v>5</v>
      </c>
      <c r="E148" s="114" t="s">
        <v>8</v>
      </c>
      <c r="F148" s="114" t="s">
        <v>188</v>
      </c>
      <c r="G148" s="115" t="s">
        <v>189</v>
      </c>
      <c r="H148" s="114" t="s">
        <v>190</v>
      </c>
      <c r="I148" s="114" t="s">
        <v>184</v>
      </c>
      <c r="J148" s="186">
        <v>2</v>
      </c>
      <c r="K148" s="187">
        <v>43</v>
      </c>
      <c r="L148" s="187">
        <v>21</v>
      </c>
      <c r="M148" s="187">
        <v>2.2000000000000002</v>
      </c>
      <c r="N148" s="187">
        <v>697</v>
      </c>
      <c r="O148" s="187">
        <v>1171</v>
      </c>
      <c r="P148" s="188">
        <v>0.5</v>
      </c>
      <c r="Q148" s="186">
        <v>1393</v>
      </c>
      <c r="R148" s="186">
        <v>2341</v>
      </c>
      <c r="S148" s="184" t="s">
        <v>59</v>
      </c>
    </row>
    <row r="149" spans="1:19">
      <c r="A149" s="111">
        <v>148</v>
      </c>
      <c r="B149" s="121">
        <v>44689</v>
      </c>
      <c r="C149" s="113">
        <f t="shared" si="0"/>
        <v>2022</v>
      </c>
      <c r="D149" s="114">
        <f t="shared" si="1"/>
        <v>5</v>
      </c>
      <c r="E149" s="114" t="s">
        <v>8</v>
      </c>
      <c r="F149" s="114" t="s">
        <v>191</v>
      </c>
      <c r="G149" s="115" t="s">
        <v>192</v>
      </c>
      <c r="H149" s="114" t="s">
        <v>193</v>
      </c>
      <c r="I149" s="114" t="s">
        <v>173</v>
      </c>
      <c r="J149" s="119">
        <v>0</v>
      </c>
      <c r="K149" s="117">
        <v>0</v>
      </c>
      <c r="L149" s="117">
        <v>0</v>
      </c>
      <c r="M149" s="117">
        <v>0</v>
      </c>
      <c r="N149" s="117">
        <v>0</v>
      </c>
      <c r="O149" s="117">
        <v>0</v>
      </c>
      <c r="P149" s="118">
        <v>0</v>
      </c>
      <c r="Q149" s="119">
        <v>0</v>
      </c>
      <c r="R149" s="119">
        <v>0</v>
      </c>
      <c r="S149" s="184" t="s">
        <v>59</v>
      </c>
    </row>
    <row r="150" spans="1:19">
      <c r="A150" s="111">
        <v>149</v>
      </c>
      <c r="B150" s="121">
        <v>44690</v>
      </c>
      <c r="C150" s="113">
        <f t="shared" si="0"/>
        <v>2022</v>
      </c>
      <c r="D150" s="114">
        <f t="shared" si="1"/>
        <v>5</v>
      </c>
      <c r="E150" s="114" t="s">
        <v>8</v>
      </c>
      <c r="F150" s="114" t="s">
        <v>194</v>
      </c>
      <c r="G150" s="115" t="s">
        <v>107</v>
      </c>
      <c r="H150" s="185" t="s">
        <v>107</v>
      </c>
      <c r="I150" s="185"/>
      <c r="J150" s="119">
        <v>0</v>
      </c>
      <c r="K150" s="117">
        <v>0</v>
      </c>
      <c r="L150" s="117">
        <v>0</v>
      </c>
      <c r="M150" s="117">
        <v>0</v>
      </c>
      <c r="N150" s="117">
        <v>0</v>
      </c>
      <c r="O150" s="117">
        <v>0</v>
      </c>
      <c r="P150" s="118">
        <v>0</v>
      </c>
      <c r="Q150" s="119">
        <v>0</v>
      </c>
      <c r="R150" s="119">
        <v>0</v>
      </c>
      <c r="S150" s="184" t="s">
        <v>59</v>
      </c>
    </row>
    <row r="151" spans="1:19">
      <c r="A151" s="111">
        <v>150</v>
      </c>
      <c r="B151" s="121">
        <v>44691</v>
      </c>
      <c r="C151" s="113">
        <f t="shared" si="0"/>
        <v>2022</v>
      </c>
      <c r="D151" s="114">
        <f t="shared" si="1"/>
        <v>5</v>
      </c>
      <c r="E151" s="114" t="s">
        <v>88</v>
      </c>
      <c r="F151" s="114" t="s">
        <v>195</v>
      </c>
      <c r="G151" s="115" t="s">
        <v>196</v>
      </c>
      <c r="H151" s="114" t="s">
        <v>197</v>
      </c>
      <c r="I151" s="114" t="s">
        <v>184</v>
      </c>
      <c r="J151" s="186">
        <v>1</v>
      </c>
      <c r="K151" s="187">
        <v>30</v>
      </c>
      <c r="L151" s="187">
        <v>18</v>
      </c>
      <c r="M151" s="187">
        <v>1.8</v>
      </c>
      <c r="N151" s="187">
        <v>636</v>
      </c>
      <c r="O151" s="187">
        <v>858</v>
      </c>
      <c r="P151" s="188">
        <v>0</v>
      </c>
      <c r="Q151" s="186">
        <v>636</v>
      </c>
      <c r="R151" s="186">
        <v>858</v>
      </c>
      <c r="S151" s="184" t="s">
        <v>59</v>
      </c>
    </row>
    <row r="152" spans="1:19">
      <c r="A152" s="111">
        <v>151</v>
      </c>
      <c r="B152" s="121">
        <v>44692</v>
      </c>
      <c r="C152" s="113">
        <f t="shared" si="0"/>
        <v>2022</v>
      </c>
      <c r="D152" s="114">
        <f t="shared" si="1"/>
        <v>5</v>
      </c>
      <c r="E152" s="114" t="s">
        <v>104</v>
      </c>
      <c r="F152" s="114" t="s">
        <v>198</v>
      </c>
      <c r="G152" s="115" t="s">
        <v>199</v>
      </c>
      <c r="H152" s="114" t="s">
        <v>199</v>
      </c>
      <c r="I152" s="114" t="s">
        <v>200</v>
      </c>
      <c r="J152" s="119">
        <v>0</v>
      </c>
      <c r="K152" s="117">
        <v>0</v>
      </c>
      <c r="L152" s="117">
        <v>0</v>
      </c>
      <c r="M152" s="117">
        <v>0</v>
      </c>
      <c r="N152" s="117">
        <v>0</v>
      </c>
      <c r="O152" s="117">
        <v>0</v>
      </c>
      <c r="P152" s="118">
        <v>0</v>
      </c>
      <c r="Q152" s="119">
        <v>0</v>
      </c>
      <c r="R152" s="119">
        <v>0</v>
      </c>
      <c r="S152" s="184" t="s">
        <v>59</v>
      </c>
    </row>
    <row r="153" spans="1:19">
      <c r="A153" s="111">
        <v>152</v>
      </c>
      <c r="B153" s="121">
        <v>44693</v>
      </c>
      <c r="C153" s="113">
        <f t="shared" si="0"/>
        <v>2022</v>
      </c>
      <c r="D153" s="114">
        <f t="shared" si="1"/>
        <v>5</v>
      </c>
      <c r="E153" s="114" t="s">
        <v>201</v>
      </c>
      <c r="F153" s="114" t="s">
        <v>202</v>
      </c>
      <c r="G153" s="115" t="s">
        <v>203</v>
      </c>
      <c r="H153" s="114" t="s">
        <v>204</v>
      </c>
      <c r="I153" s="114" t="s">
        <v>173</v>
      </c>
      <c r="J153" s="119">
        <v>0</v>
      </c>
      <c r="K153" s="117">
        <v>0</v>
      </c>
      <c r="L153" s="117">
        <v>0</v>
      </c>
      <c r="M153" s="117">
        <v>0</v>
      </c>
      <c r="N153" s="117">
        <v>0</v>
      </c>
      <c r="O153" s="117">
        <v>0</v>
      </c>
      <c r="P153" s="118">
        <v>0</v>
      </c>
      <c r="Q153" s="119">
        <v>0</v>
      </c>
      <c r="R153" s="119">
        <v>0</v>
      </c>
      <c r="S153" s="184" t="s">
        <v>59</v>
      </c>
    </row>
    <row r="154" spans="1:19">
      <c r="A154" s="111">
        <v>153</v>
      </c>
      <c r="B154" s="121">
        <v>44694</v>
      </c>
      <c r="C154" s="113">
        <f t="shared" si="0"/>
        <v>2022</v>
      </c>
      <c r="D154" s="114">
        <f t="shared" si="1"/>
        <v>5</v>
      </c>
      <c r="E154" s="114" t="s">
        <v>30</v>
      </c>
      <c r="F154" s="114" t="s">
        <v>205</v>
      </c>
      <c r="G154" s="115" t="s">
        <v>206</v>
      </c>
      <c r="H154" s="114" t="s">
        <v>207</v>
      </c>
      <c r="I154" s="114" t="s">
        <v>184</v>
      </c>
      <c r="J154" s="119">
        <v>0</v>
      </c>
      <c r="K154" s="117">
        <v>0</v>
      </c>
      <c r="L154" s="117">
        <v>0</v>
      </c>
      <c r="M154" s="117">
        <v>0</v>
      </c>
      <c r="N154" s="117">
        <v>0</v>
      </c>
      <c r="O154" s="117">
        <v>0</v>
      </c>
      <c r="P154" s="118">
        <v>0</v>
      </c>
      <c r="Q154" s="119">
        <v>0</v>
      </c>
      <c r="R154" s="119">
        <v>0</v>
      </c>
      <c r="S154" s="184" t="s">
        <v>59</v>
      </c>
    </row>
    <row r="155" spans="1:19">
      <c r="A155" s="111">
        <v>154</v>
      </c>
      <c r="B155" s="121">
        <v>44695</v>
      </c>
      <c r="C155" s="113">
        <f t="shared" si="0"/>
        <v>2022</v>
      </c>
      <c r="D155" s="114">
        <f t="shared" si="1"/>
        <v>5</v>
      </c>
      <c r="E155" s="114" t="s">
        <v>10</v>
      </c>
      <c r="F155" s="114" t="s">
        <v>208</v>
      </c>
      <c r="G155" s="115" t="s">
        <v>209</v>
      </c>
      <c r="H155" s="114" t="s">
        <v>210</v>
      </c>
      <c r="I155" s="114" t="s">
        <v>173</v>
      </c>
      <c r="J155" s="186">
        <v>4</v>
      </c>
      <c r="K155" s="187">
        <v>65</v>
      </c>
      <c r="L155" s="187">
        <v>31</v>
      </c>
      <c r="M155" s="187">
        <v>2.2999999999999998</v>
      </c>
      <c r="N155" s="187">
        <v>1696</v>
      </c>
      <c r="O155" s="187">
        <v>2460</v>
      </c>
      <c r="P155" s="188">
        <v>0</v>
      </c>
      <c r="Q155" s="186">
        <v>6783</v>
      </c>
      <c r="R155" s="186">
        <v>9838</v>
      </c>
      <c r="S155" s="184" t="s">
        <v>59</v>
      </c>
    </row>
    <row r="156" spans="1:19">
      <c r="A156" s="111">
        <v>155</v>
      </c>
      <c r="B156" s="121">
        <v>44696</v>
      </c>
      <c r="C156" s="113">
        <f t="shared" si="0"/>
        <v>2022</v>
      </c>
      <c r="D156" s="114">
        <f t="shared" si="1"/>
        <v>5</v>
      </c>
      <c r="E156" s="114" t="s">
        <v>10</v>
      </c>
      <c r="F156" s="114" t="s">
        <v>211</v>
      </c>
      <c r="G156" s="115" t="s">
        <v>212</v>
      </c>
      <c r="H156" s="114" t="s">
        <v>213</v>
      </c>
      <c r="I156" s="114" t="s">
        <v>173</v>
      </c>
      <c r="J156" s="119">
        <v>0</v>
      </c>
      <c r="K156" s="117">
        <v>0</v>
      </c>
      <c r="L156" s="117">
        <v>0</v>
      </c>
      <c r="M156" s="117">
        <v>0</v>
      </c>
      <c r="N156" s="117">
        <v>0</v>
      </c>
      <c r="O156" s="117">
        <v>0</v>
      </c>
      <c r="P156" s="118">
        <v>0</v>
      </c>
      <c r="Q156" s="119">
        <v>0</v>
      </c>
      <c r="R156" s="119">
        <v>0</v>
      </c>
      <c r="S156" s="184" t="s">
        <v>59</v>
      </c>
    </row>
    <row r="157" spans="1:19">
      <c r="A157" s="111">
        <v>156</v>
      </c>
      <c r="B157" s="121">
        <v>44697</v>
      </c>
      <c r="C157" s="113">
        <f t="shared" si="0"/>
        <v>2022</v>
      </c>
      <c r="D157" s="114">
        <f t="shared" si="1"/>
        <v>5</v>
      </c>
      <c r="E157" s="114" t="s">
        <v>10</v>
      </c>
      <c r="F157" s="114" t="s">
        <v>214</v>
      </c>
      <c r="G157" s="115" t="s">
        <v>215</v>
      </c>
      <c r="H157" s="114" t="s">
        <v>216</v>
      </c>
      <c r="I157" s="114" t="s">
        <v>184</v>
      </c>
      <c r="J157" s="119">
        <v>0</v>
      </c>
      <c r="K157" s="117">
        <v>0</v>
      </c>
      <c r="L157" s="117">
        <v>0</v>
      </c>
      <c r="M157" s="117">
        <v>0</v>
      </c>
      <c r="N157" s="117">
        <v>0</v>
      </c>
      <c r="O157" s="117">
        <v>0</v>
      </c>
      <c r="P157" s="118">
        <v>0</v>
      </c>
      <c r="Q157" s="119">
        <v>0</v>
      </c>
      <c r="R157" s="119">
        <v>0</v>
      </c>
      <c r="S157" s="184" t="s">
        <v>59</v>
      </c>
    </row>
    <row r="158" spans="1:19">
      <c r="A158" s="111">
        <v>157</v>
      </c>
      <c r="B158" s="121">
        <v>44698</v>
      </c>
      <c r="C158" s="113">
        <f t="shared" si="0"/>
        <v>2022</v>
      </c>
      <c r="D158" s="114">
        <f t="shared" si="1"/>
        <v>5</v>
      </c>
      <c r="E158" s="114" t="s">
        <v>9</v>
      </c>
      <c r="F158" s="114" t="s">
        <v>217</v>
      </c>
      <c r="G158" s="115" t="s">
        <v>218</v>
      </c>
      <c r="H158" s="114" t="s">
        <v>219</v>
      </c>
      <c r="I158" s="114" t="s">
        <v>184</v>
      </c>
      <c r="J158" s="186">
        <v>5</v>
      </c>
      <c r="K158" s="187">
        <v>82</v>
      </c>
      <c r="L158" s="187">
        <v>32</v>
      </c>
      <c r="M158" s="187">
        <v>2.7</v>
      </c>
      <c r="N158" s="187">
        <v>2336</v>
      </c>
      <c r="O158" s="187">
        <v>3717</v>
      </c>
      <c r="P158" s="188">
        <v>0.4</v>
      </c>
      <c r="Q158" s="186">
        <v>11680</v>
      </c>
      <c r="R158" s="186">
        <v>18587</v>
      </c>
      <c r="S158" s="184" t="s">
        <v>59</v>
      </c>
    </row>
    <row r="159" spans="1:19">
      <c r="A159" s="111">
        <v>158</v>
      </c>
      <c r="B159" s="121">
        <v>44699</v>
      </c>
      <c r="C159" s="113">
        <f t="shared" si="0"/>
        <v>2022</v>
      </c>
      <c r="D159" s="114">
        <f t="shared" si="1"/>
        <v>5</v>
      </c>
      <c r="E159" s="114" t="s">
        <v>11</v>
      </c>
      <c r="F159" s="114" t="s">
        <v>220</v>
      </c>
      <c r="G159" s="115" t="s">
        <v>221</v>
      </c>
      <c r="H159" s="114" t="s">
        <v>222</v>
      </c>
      <c r="I159" s="114" t="s">
        <v>184</v>
      </c>
      <c r="J159" s="186">
        <v>2</v>
      </c>
      <c r="K159" s="187">
        <v>39</v>
      </c>
      <c r="L159" s="187">
        <v>24</v>
      </c>
      <c r="M159" s="187">
        <v>2</v>
      </c>
      <c r="N159" s="187">
        <v>432</v>
      </c>
      <c r="O159" s="187">
        <v>671</v>
      </c>
      <c r="P159" s="188">
        <v>0</v>
      </c>
      <c r="Q159" s="186">
        <v>863</v>
      </c>
      <c r="R159" s="186">
        <v>1342</v>
      </c>
      <c r="S159" s="184" t="s">
        <v>59</v>
      </c>
    </row>
    <row r="160" spans="1:19">
      <c r="A160" s="111">
        <v>159</v>
      </c>
      <c r="B160" s="121">
        <v>44700</v>
      </c>
      <c r="C160" s="113">
        <f t="shared" si="0"/>
        <v>2022</v>
      </c>
      <c r="D160" s="114">
        <f t="shared" si="1"/>
        <v>5</v>
      </c>
      <c r="E160" s="114" t="s">
        <v>91</v>
      </c>
      <c r="F160" s="114" t="s">
        <v>178</v>
      </c>
      <c r="G160" s="115" t="s">
        <v>179</v>
      </c>
      <c r="H160" s="114" t="s">
        <v>180</v>
      </c>
      <c r="I160" s="114" t="s">
        <v>173</v>
      </c>
      <c r="J160" s="186">
        <v>2</v>
      </c>
      <c r="K160" s="187">
        <v>49</v>
      </c>
      <c r="L160" s="187">
        <v>26</v>
      </c>
      <c r="M160" s="187">
        <v>2</v>
      </c>
      <c r="N160" s="187">
        <v>734</v>
      </c>
      <c r="O160" s="187">
        <v>1144</v>
      </c>
      <c r="P160" s="188">
        <v>0.5</v>
      </c>
      <c r="Q160" s="186">
        <v>1468</v>
      </c>
      <c r="R160" s="186">
        <v>3431</v>
      </c>
      <c r="S160" s="184" t="s">
        <v>59</v>
      </c>
    </row>
    <row r="161" spans="1:19">
      <c r="A161" s="111">
        <v>160</v>
      </c>
      <c r="B161" s="121">
        <v>44701</v>
      </c>
      <c r="C161" s="113">
        <f t="shared" si="0"/>
        <v>2022</v>
      </c>
      <c r="D161" s="114">
        <f t="shared" si="1"/>
        <v>5</v>
      </c>
      <c r="E161" s="114" t="s">
        <v>23</v>
      </c>
      <c r="F161" s="114" t="s">
        <v>223</v>
      </c>
      <c r="G161" s="115" t="s">
        <v>175</v>
      </c>
      <c r="H161" s="114" t="s">
        <v>176</v>
      </c>
      <c r="I161" s="114" t="s">
        <v>173</v>
      </c>
      <c r="J161" s="186">
        <v>3</v>
      </c>
      <c r="K161" s="187">
        <v>67</v>
      </c>
      <c r="L161" s="187">
        <v>32</v>
      </c>
      <c r="M161" s="187">
        <v>2.2000000000000002</v>
      </c>
      <c r="N161" s="187">
        <v>1344</v>
      </c>
      <c r="O161" s="187">
        <v>1981</v>
      </c>
      <c r="P161" s="188">
        <v>1</v>
      </c>
      <c r="Q161" s="186">
        <v>4033</v>
      </c>
      <c r="R161" s="186">
        <v>5944</v>
      </c>
      <c r="S161" s="184" t="s">
        <v>59</v>
      </c>
    </row>
    <row r="162" spans="1:19">
      <c r="A162" s="111">
        <v>161</v>
      </c>
      <c r="B162" s="121">
        <v>44702</v>
      </c>
      <c r="C162" s="113">
        <f t="shared" si="0"/>
        <v>2022</v>
      </c>
      <c r="D162" s="114">
        <f t="shared" si="1"/>
        <v>5</v>
      </c>
      <c r="E162" s="114" t="s">
        <v>23</v>
      </c>
      <c r="F162" s="114" t="s">
        <v>224</v>
      </c>
      <c r="G162" s="115" t="s">
        <v>107</v>
      </c>
      <c r="H162" s="114" t="s">
        <v>107</v>
      </c>
      <c r="I162" s="114" t="s">
        <v>107</v>
      </c>
      <c r="J162" s="119">
        <v>0</v>
      </c>
      <c r="K162" s="117">
        <v>0</v>
      </c>
      <c r="L162" s="117">
        <v>0</v>
      </c>
      <c r="M162" s="117">
        <v>0</v>
      </c>
      <c r="N162" s="117">
        <v>0</v>
      </c>
      <c r="O162" s="117">
        <v>0</v>
      </c>
      <c r="P162" s="118">
        <v>0</v>
      </c>
      <c r="Q162" s="119">
        <v>0</v>
      </c>
      <c r="R162" s="119">
        <v>0</v>
      </c>
      <c r="S162" s="184" t="s">
        <v>59</v>
      </c>
    </row>
    <row r="163" spans="1:19">
      <c r="A163" s="111">
        <v>162</v>
      </c>
      <c r="B163" s="121">
        <v>44703</v>
      </c>
      <c r="C163" s="113">
        <f t="shared" si="0"/>
        <v>2022</v>
      </c>
      <c r="D163" s="114">
        <f t="shared" si="1"/>
        <v>5</v>
      </c>
      <c r="E163" s="114" t="s">
        <v>15</v>
      </c>
      <c r="F163" s="114" t="s">
        <v>225</v>
      </c>
      <c r="G163" s="115" t="s">
        <v>226</v>
      </c>
      <c r="H163" s="114" t="s">
        <v>227</v>
      </c>
      <c r="I163" s="114" t="s">
        <v>173</v>
      </c>
      <c r="J163" s="186">
        <v>1</v>
      </c>
      <c r="K163" s="187">
        <v>47</v>
      </c>
      <c r="L163" s="187">
        <v>22</v>
      </c>
      <c r="M163" s="187">
        <v>2.5</v>
      </c>
      <c r="N163" s="187">
        <v>870</v>
      </c>
      <c r="O163" s="187">
        <v>1134</v>
      </c>
      <c r="P163" s="188">
        <v>1</v>
      </c>
      <c r="Q163" s="186">
        <v>870</v>
      </c>
      <c r="R163" s="186">
        <v>1134</v>
      </c>
      <c r="S163" s="184" t="s">
        <v>59</v>
      </c>
    </row>
    <row r="164" spans="1:19">
      <c r="A164" s="111">
        <v>163</v>
      </c>
      <c r="B164" s="121">
        <v>44704</v>
      </c>
      <c r="C164" s="113">
        <f t="shared" si="0"/>
        <v>2022</v>
      </c>
      <c r="D164" s="114">
        <f t="shared" si="1"/>
        <v>5</v>
      </c>
      <c r="E164" s="114" t="s">
        <v>84</v>
      </c>
      <c r="F164" s="114" t="s">
        <v>228</v>
      </c>
      <c r="G164" s="115" t="s">
        <v>229</v>
      </c>
      <c r="H164" s="114" t="s">
        <v>230</v>
      </c>
      <c r="I164" s="114" t="s">
        <v>184</v>
      </c>
      <c r="J164" s="186">
        <v>3</v>
      </c>
      <c r="K164" s="187">
        <v>45</v>
      </c>
      <c r="L164" s="187">
        <v>30</v>
      </c>
      <c r="M164" s="187">
        <v>1.7</v>
      </c>
      <c r="N164" s="187">
        <v>400</v>
      </c>
      <c r="O164" s="187">
        <v>560</v>
      </c>
      <c r="P164" s="188">
        <v>0</v>
      </c>
      <c r="Q164" s="186">
        <v>1201</v>
      </c>
      <c r="R164" s="186">
        <v>1680</v>
      </c>
      <c r="S164" s="184" t="s">
        <v>59</v>
      </c>
    </row>
    <row r="165" spans="1:19">
      <c r="A165" s="111">
        <v>164</v>
      </c>
      <c r="B165" s="121">
        <v>44705</v>
      </c>
      <c r="C165" s="113">
        <f t="shared" si="0"/>
        <v>2022</v>
      </c>
      <c r="D165" s="114">
        <f t="shared" si="1"/>
        <v>5</v>
      </c>
      <c r="E165" s="114" t="s">
        <v>84</v>
      </c>
      <c r="F165" s="114" t="s">
        <v>231</v>
      </c>
      <c r="G165" s="115" t="s">
        <v>232</v>
      </c>
      <c r="H165" s="114" t="s">
        <v>233</v>
      </c>
      <c r="I165" s="114" t="s">
        <v>184</v>
      </c>
      <c r="J165" s="186">
        <v>2</v>
      </c>
      <c r="K165" s="187">
        <v>29</v>
      </c>
      <c r="L165" s="187">
        <v>22</v>
      </c>
      <c r="M165" s="187">
        <v>1.5</v>
      </c>
      <c r="N165" s="187">
        <v>215</v>
      </c>
      <c r="O165" s="187">
        <v>353</v>
      </c>
      <c r="P165" s="188">
        <v>1</v>
      </c>
      <c r="Q165" s="186">
        <v>429</v>
      </c>
      <c r="R165" s="186">
        <v>705</v>
      </c>
      <c r="S165" s="184" t="s">
        <v>59</v>
      </c>
    </row>
    <row r="166" spans="1:19">
      <c r="A166" s="111">
        <v>165</v>
      </c>
      <c r="B166" s="121">
        <v>44706</v>
      </c>
      <c r="C166" s="113">
        <f t="shared" si="0"/>
        <v>2022</v>
      </c>
      <c r="D166" s="114">
        <f t="shared" si="1"/>
        <v>5</v>
      </c>
      <c r="E166" s="114" t="s">
        <v>22</v>
      </c>
      <c r="F166" s="114" t="s">
        <v>174</v>
      </c>
      <c r="G166" s="115" t="s">
        <v>175</v>
      </c>
      <c r="H166" s="114" t="s">
        <v>176</v>
      </c>
      <c r="I166" s="114" t="s">
        <v>173</v>
      </c>
      <c r="J166" s="186">
        <v>5</v>
      </c>
      <c r="K166" s="187">
        <v>82</v>
      </c>
      <c r="L166" s="187">
        <v>35</v>
      </c>
      <c r="M166" s="187">
        <v>2.5</v>
      </c>
      <c r="N166" s="187">
        <v>1974</v>
      </c>
      <c r="O166" s="187">
        <v>3152</v>
      </c>
      <c r="P166" s="188">
        <v>1</v>
      </c>
      <c r="Q166" s="186">
        <v>9868</v>
      </c>
      <c r="R166" s="186">
        <v>15760</v>
      </c>
      <c r="S166" s="184" t="s">
        <v>59</v>
      </c>
    </row>
    <row r="167" spans="1:19">
      <c r="A167" s="111">
        <v>166</v>
      </c>
      <c r="B167" s="121">
        <v>44707</v>
      </c>
      <c r="C167" s="113">
        <f t="shared" si="0"/>
        <v>2022</v>
      </c>
      <c r="D167" s="114">
        <f t="shared" si="1"/>
        <v>5</v>
      </c>
      <c r="E167" s="114" t="s">
        <v>22</v>
      </c>
      <c r="F167" s="114" t="s">
        <v>177</v>
      </c>
      <c r="G167" s="115" t="s">
        <v>175</v>
      </c>
      <c r="H167" s="114" t="s">
        <v>176</v>
      </c>
      <c r="I167" s="114" t="s">
        <v>173</v>
      </c>
      <c r="J167" s="119">
        <v>0</v>
      </c>
      <c r="K167" s="117">
        <v>0</v>
      </c>
      <c r="L167" s="117">
        <v>0</v>
      </c>
      <c r="M167" s="117">
        <v>0</v>
      </c>
      <c r="N167" s="117">
        <v>0</v>
      </c>
      <c r="O167" s="117">
        <v>0</v>
      </c>
      <c r="P167" s="118">
        <v>0</v>
      </c>
      <c r="Q167" s="119">
        <v>0</v>
      </c>
      <c r="R167" s="119">
        <v>0</v>
      </c>
      <c r="S167" s="184" t="s">
        <v>59</v>
      </c>
    </row>
    <row r="168" spans="1:19">
      <c r="A168" s="111">
        <v>167</v>
      </c>
      <c r="B168" s="121">
        <v>44708</v>
      </c>
      <c r="C168" s="113">
        <f t="shared" si="0"/>
        <v>2022</v>
      </c>
      <c r="D168" s="114">
        <f t="shared" si="1"/>
        <v>5</v>
      </c>
      <c r="E168" s="114" t="s">
        <v>22</v>
      </c>
      <c r="F168" s="114" t="s">
        <v>223</v>
      </c>
      <c r="G168" s="115" t="s">
        <v>175</v>
      </c>
      <c r="H168" s="114" t="s">
        <v>176</v>
      </c>
      <c r="I168" s="114" t="s">
        <v>173</v>
      </c>
      <c r="J168" s="119">
        <v>0</v>
      </c>
      <c r="K168" s="117">
        <v>0</v>
      </c>
      <c r="L168" s="117">
        <v>0</v>
      </c>
      <c r="M168" s="117">
        <v>0</v>
      </c>
      <c r="N168" s="117">
        <v>0</v>
      </c>
      <c r="O168" s="117">
        <v>0</v>
      </c>
      <c r="P168" s="118">
        <v>0</v>
      </c>
      <c r="Q168" s="119">
        <v>0</v>
      </c>
      <c r="R168" s="119">
        <v>0</v>
      </c>
      <c r="S168" s="184" t="s">
        <v>59</v>
      </c>
    </row>
    <row r="169" spans="1:19">
      <c r="A169" s="111">
        <v>168</v>
      </c>
      <c r="B169" s="121">
        <v>44709</v>
      </c>
      <c r="C169" s="113">
        <f t="shared" si="0"/>
        <v>2022</v>
      </c>
      <c r="D169" s="114">
        <f t="shared" si="1"/>
        <v>5</v>
      </c>
      <c r="E169" s="114" t="s">
        <v>12</v>
      </c>
      <c r="F169" s="114" t="s">
        <v>220</v>
      </c>
      <c r="G169" s="115" t="s">
        <v>221</v>
      </c>
      <c r="H169" s="114" t="s">
        <v>222</v>
      </c>
      <c r="I169" s="114" t="s">
        <v>184</v>
      </c>
      <c r="J169" s="186">
        <v>1</v>
      </c>
      <c r="K169" s="187">
        <v>44</v>
      </c>
      <c r="L169" s="187">
        <v>21</v>
      </c>
      <c r="M169" s="187">
        <v>2</v>
      </c>
      <c r="N169" s="187">
        <v>794</v>
      </c>
      <c r="O169" s="187">
        <v>1084</v>
      </c>
      <c r="P169" s="188">
        <v>0</v>
      </c>
      <c r="Q169" s="186">
        <v>794</v>
      </c>
      <c r="R169" s="186">
        <v>1084</v>
      </c>
      <c r="S169" s="184" t="s">
        <v>59</v>
      </c>
    </row>
    <row r="170" spans="1:19">
      <c r="A170" s="111">
        <v>169</v>
      </c>
      <c r="B170" s="121">
        <v>44710</v>
      </c>
      <c r="C170" s="113">
        <f t="shared" si="0"/>
        <v>2022</v>
      </c>
      <c r="D170" s="114">
        <f t="shared" si="1"/>
        <v>5</v>
      </c>
      <c r="E170" s="114" t="s">
        <v>12</v>
      </c>
      <c r="F170" s="114" t="s">
        <v>234</v>
      </c>
      <c r="G170" s="115" t="s">
        <v>235</v>
      </c>
      <c r="H170" s="114" t="s">
        <v>236</v>
      </c>
      <c r="I170" s="114" t="s">
        <v>184</v>
      </c>
      <c r="J170" s="186">
        <v>4</v>
      </c>
      <c r="K170" s="187">
        <v>31</v>
      </c>
      <c r="L170" s="187">
        <v>21</v>
      </c>
      <c r="M170" s="187">
        <v>1.6</v>
      </c>
      <c r="N170" s="187">
        <v>612</v>
      </c>
      <c r="O170" s="187">
        <v>929</v>
      </c>
      <c r="P170" s="188">
        <v>0.25</v>
      </c>
      <c r="Q170" s="186">
        <v>2449</v>
      </c>
      <c r="R170" s="186">
        <v>3716</v>
      </c>
      <c r="S170" s="184" t="s">
        <v>59</v>
      </c>
    </row>
    <row r="171" spans="1:19">
      <c r="A171" s="111">
        <v>170</v>
      </c>
      <c r="B171" s="121">
        <v>44711</v>
      </c>
      <c r="C171" s="113">
        <f t="shared" si="0"/>
        <v>2022</v>
      </c>
      <c r="D171" s="114">
        <f t="shared" si="1"/>
        <v>5</v>
      </c>
      <c r="E171" s="114" t="s">
        <v>12</v>
      </c>
      <c r="F171" s="114" t="s">
        <v>237</v>
      </c>
      <c r="G171" s="115" t="s">
        <v>199</v>
      </c>
      <c r="H171" s="114" t="s">
        <v>199</v>
      </c>
      <c r="I171" s="114" t="s">
        <v>200</v>
      </c>
      <c r="J171" s="119">
        <v>0</v>
      </c>
      <c r="K171" s="117">
        <v>0</v>
      </c>
      <c r="L171" s="117">
        <v>0</v>
      </c>
      <c r="M171" s="117">
        <v>0</v>
      </c>
      <c r="N171" s="117">
        <v>0</v>
      </c>
      <c r="O171" s="117">
        <v>0</v>
      </c>
      <c r="P171" s="118">
        <v>0</v>
      </c>
      <c r="Q171" s="119">
        <v>0</v>
      </c>
      <c r="R171" s="119">
        <v>0</v>
      </c>
      <c r="S171" s="184" t="s">
        <v>59</v>
      </c>
    </row>
    <row r="172" spans="1:19">
      <c r="A172" s="111">
        <v>171</v>
      </c>
      <c r="B172" s="121">
        <v>44712</v>
      </c>
      <c r="C172" s="113">
        <f t="shared" si="0"/>
        <v>2022</v>
      </c>
      <c r="D172" s="114">
        <f t="shared" si="1"/>
        <v>5</v>
      </c>
      <c r="E172" s="114" t="s">
        <v>26</v>
      </c>
      <c r="F172" s="114" t="s">
        <v>238</v>
      </c>
      <c r="G172" s="115" t="s">
        <v>175</v>
      </c>
      <c r="H172" s="114" t="s">
        <v>176</v>
      </c>
      <c r="I172" s="114" t="s">
        <v>173</v>
      </c>
      <c r="J172" s="119">
        <v>0</v>
      </c>
      <c r="K172" s="117">
        <v>0</v>
      </c>
      <c r="L172" s="117">
        <v>0</v>
      </c>
      <c r="M172" s="117">
        <v>0</v>
      </c>
      <c r="N172" s="117">
        <v>0</v>
      </c>
      <c r="O172" s="117">
        <v>0</v>
      </c>
      <c r="P172" s="118">
        <v>0</v>
      </c>
      <c r="Q172" s="119">
        <v>0</v>
      </c>
      <c r="R172" s="119">
        <v>0</v>
      </c>
      <c r="S172" s="184" t="s">
        <v>59</v>
      </c>
    </row>
    <row r="173" spans="1:19">
      <c r="A173" s="111">
        <v>172</v>
      </c>
      <c r="B173" s="121">
        <v>44682</v>
      </c>
      <c r="C173" s="113">
        <f t="shared" si="0"/>
        <v>2022</v>
      </c>
      <c r="D173" s="114">
        <f t="shared" si="1"/>
        <v>5</v>
      </c>
      <c r="E173" s="114" t="s">
        <v>19</v>
      </c>
      <c r="F173" s="114" t="s">
        <v>178</v>
      </c>
      <c r="G173" s="115" t="s">
        <v>179</v>
      </c>
      <c r="H173" s="114" t="s">
        <v>180</v>
      </c>
      <c r="I173" s="114" t="s">
        <v>173</v>
      </c>
      <c r="J173" s="186">
        <v>1</v>
      </c>
      <c r="K173" s="187">
        <v>53</v>
      </c>
      <c r="L173" s="187">
        <v>31</v>
      </c>
      <c r="M173" s="187">
        <v>1.7</v>
      </c>
      <c r="N173" s="187">
        <v>800</v>
      </c>
      <c r="O173" s="187">
        <v>1224</v>
      </c>
      <c r="P173" s="188">
        <v>1</v>
      </c>
      <c r="Q173" s="186">
        <v>800</v>
      </c>
      <c r="R173" s="186">
        <v>1224</v>
      </c>
      <c r="S173" s="184" t="s">
        <v>59</v>
      </c>
    </row>
    <row r="174" spans="1:19">
      <c r="A174" s="111">
        <v>173</v>
      </c>
      <c r="B174" s="121">
        <v>44683</v>
      </c>
      <c r="C174" s="113">
        <f t="shared" si="0"/>
        <v>2022</v>
      </c>
      <c r="D174" s="114">
        <f t="shared" si="1"/>
        <v>5</v>
      </c>
      <c r="E174" s="114" t="s">
        <v>7</v>
      </c>
      <c r="F174" s="114" t="s">
        <v>239</v>
      </c>
      <c r="G174" s="115" t="s">
        <v>240</v>
      </c>
      <c r="H174" s="114" t="s">
        <v>241</v>
      </c>
      <c r="I174" s="114" t="s">
        <v>184</v>
      </c>
      <c r="J174" s="186">
        <v>17</v>
      </c>
      <c r="K174" s="187">
        <v>43</v>
      </c>
      <c r="L174" s="187">
        <v>24</v>
      </c>
      <c r="M174" s="187">
        <v>2.2000000000000002</v>
      </c>
      <c r="N174" s="187">
        <v>342</v>
      </c>
      <c r="O174" s="187">
        <v>549</v>
      </c>
      <c r="P174" s="188">
        <v>0</v>
      </c>
      <c r="Q174" s="186">
        <v>1027</v>
      </c>
      <c r="R174" s="186">
        <v>1646</v>
      </c>
      <c r="S174" s="184" t="s">
        <v>59</v>
      </c>
    </row>
    <row r="175" spans="1:19">
      <c r="A175" s="111">
        <v>174</v>
      </c>
      <c r="B175" s="121">
        <v>44684</v>
      </c>
      <c r="C175" s="113">
        <f t="shared" si="0"/>
        <v>2022</v>
      </c>
      <c r="D175" s="114">
        <f t="shared" si="1"/>
        <v>5</v>
      </c>
      <c r="E175" s="114" t="s">
        <v>7</v>
      </c>
      <c r="F175" s="114" t="s">
        <v>220</v>
      </c>
      <c r="G175" s="115" t="s">
        <v>221</v>
      </c>
      <c r="H175" s="114" t="s">
        <v>222</v>
      </c>
      <c r="I175" s="114" t="s">
        <v>184</v>
      </c>
      <c r="J175" s="186">
        <v>1</v>
      </c>
      <c r="K175" s="187">
        <v>33</v>
      </c>
      <c r="L175" s="187">
        <v>24</v>
      </c>
      <c r="M175" s="187">
        <v>1.6</v>
      </c>
      <c r="N175" s="187">
        <v>362</v>
      </c>
      <c r="O175" s="187">
        <v>527</v>
      </c>
      <c r="P175" s="188">
        <v>1</v>
      </c>
      <c r="Q175" s="186">
        <v>362</v>
      </c>
      <c r="R175" s="186">
        <v>527</v>
      </c>
      <c r="S175" s="184" t="s">
        <v>59</v>
      </c>
    </row>
    <row r="176" spans="1:19">
      <c r="A176" s="111">
        <v>175</v>
      </c>
      <c r="B176" s="121">
        <v>44685</v>
      </c>
      <c r="C176" s="113">
        <f t="shared" si="0"/>
        <v>2022</v>
      </c>
      <c r="D176" s="114">
        <f t="shared" si="1"/>
        <v>5</v>
      </c>
      <c r="E176" s="114" t="s">
        <v>7</v>
      </c>
      <c r="F176" s="114" t="s">
        <v>242</v>
      </c>
      <c r="G176" s="115" t="s">
        <v>243</v>
      </c>
      <c r="H176" s="114" t="s">
        <v>244</v>
      </c>
      <c r="I176" s="114" t="s">
        <v>184</v>
      </c>
      <c r="J176" s="186">
        <v>4</v>
      </c>
      <c r="K176" s="187">
        <v>71</v>
      </c>
      <c r="L176" s="187">
        <v>31</v>
      </c>
      <c r="M176" s="187">
        <v>2.5</v>
      </c>
      <c r="N176" s="187">
        <v>918</v>
      </c>
      <c r="O176" s="187">
        <v>1400</v>
      </c>
      <c r="P176" s="188">
        <v>0</v>
      </c>
      <c r="Q176" s="186">
        <v>3672</v>
      </c>
      <c r="R176" s="186">
        <v>5598</v>
      </c>
      <c r="S176" s="184" t="s">
        <v>59</v>
      </c>
    </row>
    <row r="177" spans="1:19">
      <c r="A177" s="111">
        <v>176</v>
      </c>
      <c r="B177" s="121">
        <v>44713</v>
      </c>
      <c r="C177" s="113">
        <f t="shared" si="0"/>
        <v>2022</v>
      </c>
      <c r="D177" s="114">
        <f t="shared" si="1"/>
        <v>6</v>
      </c>
      <c r="E177" s="114" t="s">
        <v>79</v>
      </c>
      <c r="F177" s="114" t="s">
        <v>170</v>
      </c>
      <c r="G177" s="115" t="s">
        <v>171</v>
      </c>
      <c r="H177" s="114" t="s">
        <v>172</v>
      </c>
      <c r="I177" s="114" t="s">
        <v>173</v>
      </c>
      <c r="J177" s="186">
        <v>2</v>
      </c>
      <c r="K177" s="187">
        <v>47</v>
      </c>
      <c r="L177" s="187">
        <v>24</v>
      </c>
      <c r="M177" s="187">
        <v>2.1</v>
      </c>
      <c r="N177" s="187">
        <v>888</v>
      </c>
      <c r="O177" s="187">
        <v>1327</v>
      </c>
      <c r="P177" s="188">
        <v>1</v>
      </c>
      <c r="Q177" s="186">
        <v>1776</v>
      </c>
      <c r="R177" s="186">
        <v>2654</v>
      </c>
      <c r="S177" s="184" t="s">
        <v>59</v>
      </c>
    </row>
    <row r="178" spans="1:19">
      <c r="A178" s="111">
        <v>177</v>
      </c>
      <c r="B178" s="121">
        <v>44714</v>
      </c>
      <c r="C178" s="113">
        <f t="shared" si="0"/>
        <v>2022</v>
      </c>
      <c r="D178" s="114">
        <f t="shared" si="1"/>
        <v>6</v>
      </c>
      <c r="E178" s="114" t="s">
        <v>79</v>
      </c>
      <c r="F178" s="114" t="s">
        <v>174</v>
      </c>
      <c r="G178" s="115" t="s">
        <v>175</v>
      </c>
      <c r="H178" s="114" t="s">
        <v>176</v>
      </c>
      <c r="I178" s="114" t="s">
        <v>173</v>
      </c>
      <c r="J178" s="119">
        <v>0</v>
      </c>
      <c r="K178" s="117">
        <v>0</v>
      </c>
      <c r="L178" s="117">
        <v>0</v>
      </c>
      <c r="M178" s="117">
        <v>0</v>
      </c>
      <c r="N178" s="117">
        <v>0</v>
      </c>
      <c r="O178" s="117">
        <v>0</v>
      </c>
      <c r="P178" s="118">
        <v>0</v>
      </c>
      <c r="Q178" s="119">
        <v>0</v>
      </c>
      <c r="R178" s="119">
        <v>0</v>
      </c>
      <c r="S178" s="184" t="s">
        <v>59</v>
      </c>
    </row>
    <row r="179" spans="1:19">
      <c r="A179" s="111">
        <v>178</v>
      </c>
      <c r="B179" s="121">
        <v>44715</v>
      </c>
      <c r="C179" s="113">
        <f t="shared" si="0"/>
        <v>2022</v>
      </c>
      <c r="D179" s="114">
        <f t="shared" si="1"/>
        <v>6</v>
      </c>
      <c r="E179" s="114" t="s">
        <v>79</v>
      </c>
      <c r="F179" s="114" t="s">
        <v>177</v>
      </c>
      <c r="G179" s="115" t="s">
        <v>175</v>
      </c>
      <c r="H179" s="114" t="s">
        <v>176</v>
      </c>
      <c r="I179" s="114" t="s">
        <v>173</v>
      </c>
      <c r="J179" s="186">
        <v>5</v>
      </c>
      <c r="K179" s="187">
        <v>91</v>
      </c>
      <c r="L179" s="187">
        <v>35</v>
      </c>
      <c r="M179" s="187">
        <v>2.8</v>
      </c>
      <c r="N179" s="187">
        <v>2011</v>
      </c>
      <c r="O179" s="187">
        <v>3039</v>
      </c>
      <c r="P179" s="188">
        <v>1</v>
      </c>
      <c r="Q179" s="186">
        <v>10054</v>
      </c>
      <c r="R179" s="186">
        <v>15193</v>
      </c>
      <c r="S179" s="184" t="s">
        <v>59</v>
      </c>
    </row>
    <row r="180" spans="1:19">
      <c r="A180" s="111">
        <v>179</v>
      </c>
      <c r="B180" s="121">
        <v>44716</v>
      </c>
      <c r="C180" s="113">
        <f t="shared" si="0"/>
        <v>2022</v>
      </c>
      <c r="D180" s="114">
        <f t="shared" si="1"/>
        <v>6</v>
      </c>
      <c r="E180" s="114" t="s">
        <v>20</v>
      </c>
      <c r="F180" s="114" t="s">
        <v>178</v>
      </c>
      <c r="G180" s="115" t="s">
        <v>179</v>
      </c>
      <c r="H180" s="114" t="s">
        <v>180</v>
      </c>
      <c r="I180" s="114" t="s">
        <v>173</v>
      </c>
      <c r="J180" s="186">
        <v>2</v>
      </c>
      <c r="K180" s="187">
        <v>57</v>
      </c>
      <c r="L180" s="187">
        <v>31</v>
      </c>
      <c r="M180" s="187">
        <v>2</v>
      </c>
      <c r="N180" s="187">
        <v>787</v>
      </c>
      <c r="O180" s="187">
        <v>1171</v>
      </c>
      <c r="P180" s="188">
        <v>0.5</v>
      </c>
      <c r="Q180" s="186">
        <v>1573</v>
      </c>
      <c r="R180" s="186">
        <v>2342</v>
      </c>
      <c r="S180" s="184" t="s">
        <v>59</v>
      </c>
    </row>
    <row r="181" spans="1:19">
      <c r="A181" s="111">
        <v>180</v>
      </c>
      <c r="B181" s="121">
        <v>44717</v>
      </c>
      <c r="C181" s="113">
        <f t="shared" si="0"/>
        <v>2022</v>
      </c>
      <c r="D181" s="114">
        <f t="shared" si="1"/>
        <v>6</v>
      </c>
      <c r="E181" s="114" t="s">
        <v>8</v>
      </c>
      <c r="F181" s="114" t="s">
        <v>181</v>
      </c>
      <c r="G181" s="115" t="s">
        <v>182</v>
      </c>
      <c r="H181" s="114" t="s">
        <v>183</v>
      </c>
      <c r="I181" s="114" t="s">
        <v>184</v>
      </c>
      <c r="J181" s="186">
        <v>3</v>
      </c>
      <c r="K181" s="187">
        <v>39</v>
      </c>
      <c r="L181" s="187">
        <v>20</v>
      </c>
      <c r="M181" s="187">
        <v>2.2000000000000002</v>
      </c>
      <c r="N181" s="187">
        <v>486</v>
      </c>
      <c r="O181" s="187">
        <v>763</v>
      </c>
      <c r="P181" s="188">
        <v>0</v>
      </c>
      <c r="Q181" s="186">
        <v>1458</v>
      </c>
      <c r="R181" s="186">
        <v>2289</v>
      </c>
      <c r="S181" s="184" t="s">
        <v>59</v>
      </c>
    </row>
    <row r="182" spans="1:19">
      <c r="A182" s="111">
        <v>181</v>
      </c>
      <c r="B182" s="121">
        <v>44718</v>
      </c>
      <c r="C182" s="113">
        <f t="shared" si="0"/>
        <v>2022</v>
      </c>
      <c r="D182" s="114">
        <f t="shared" si="1"/>
        <v>6</v>
      </c>
      <c r="E182" s="114" t="s">
        <v>8</v>
      </c>
      <c r="F182" s="114" t="s">
        <v>185</v>
      </c>
      <c r="G182" s="115" t="s">
        <v>186</v>
      </c>
      <c r="H182" s="114" t="s">
        <v>187</v>
      </c>
      <c r="I182" s="114" t="s">
        <v>184</v>
      </c>
      <c r="J182" s="186">
        <v>4</v>
      </c>
      <c r="K182" s="187">
        <v>47</v>
      </c>
      <c r="L182" s="187">
        <v>23</v>
      </c>
      <c r="M182" s="187">
        <v>2.1</v>
      </c>
      <c r="N182" s="187">
        <v>858</v>
      </c>
      <c r="O182" s="187">
        <v>1260</v>
      </c>
      <c r="P182" s="188">
        <v>0</v>
      </c>
      <c r="Q182" s="186">
        <v>3430</v>
      </c>
      <c r="R182" s="186">
        <v>5041</v>
      </c>
      <c r="S182" s="184" t="s">
        <v>59</v>
      </c>
    </row>
    <row r="183" spans="1:19">
      <c r="A183" s="111">
        <v>182</v>
      </c>
      <c r="B183" s="121">
        <v>44719</v>
      </c>
      <c r="C183" s="113">
        <f t="shared" si="0"/>
        <v>2022</v>
      </c>
      <c r="D183" s="114">
        <f t="shared" si="1"/>
        <v>6</v>
      </c>
      <c r="E183" s="114" t="s">
        <v>8</v>
      </c>
      <c r="F183" s="114" t="s">
        <v>188</v>
      </c>
      <c r="G183" s="115" t="s">
        <v>189</v>
      </c>
      <c r="H183" s="114" t="s">
        <v>190</v>
      </c>
      <c r="I183" s="114" t="s">
        <v>184</v>
      </c>
      <c r="J183" s="186">
        <v>4</v>
      </c>
      <c r="K183" s="187">
        <v>45</v>
      </c>
      <c r="L183" s="187">
        <v>23</v>
      </c>
      <c r="M183" s="187">
        <v>2.1</v>
      </c>
      <c r="N183" s="187">
        <v>779</v>
      </c>
      <c r="O183" s="187">
        <v>1257</v>
      </c>
      <c r="P183" s="188">
        <v>0.25</v>
      </c>
      <c r="Q183" s="186">
        <v>3116</v>
      </c>
      <c r="R183" s="186">
        <v>5029</v>
      </c>
      <c r="S183" s="184" t="s">
        <v>59</v>
      </c>
    </row>
    <row r="184" spans="1:19">
      <c r="A184" s="111">
        <v>183</v>
      </c>
      <c r="B184" s="121">
        <v>44720</v>
      </c>
      <c r="C184" s="113">
        <f t="shared" si="0"/>
        <v>2022</v>
      </c>
      <c r="D184" s="114">
        <f t="shared" si="1"/>
        <v>6</v>
      </c>
      <c r="E184" s="114" t="s">
        <v>8</v>
      </c>
      <c r="F184" s="114" t="s">
        <v>191</v>
      </c>
      <c r="G184" s="115" t="s">
        <v>192</v>
      </c>
      <c r="H184" s="114" t="s">
        <v>193</v>
      </c>
      <c r="I184" s="114" t="s">
        <v>173</v>
      </c>
      <c r="J184" s="186">
        <v>3</v>
      </c>
      <c r="K184" s="187">
        <v>58</v>
      </c>
      <c r="L184" s="187">
        <v>29</v>
      </c>
      <c r="M184" s="187">
        <v>2.2000000000000002</v>
      </c>
      <c r="N184" s="187">
        <v>766</v>
      </c>
      <c r="O184" s="187">
        <v>1119</v>
      </c>
      <c r="P184" s="188">
        <v>0.67</v>
      </c>
      <c r="Q184" s="186">
        <v>2298</v>
      </c>
      <c r="R184" s="186">
        <v>3356</v>
      </c>
      <c r="S184" s="184" t="s">
        <v>59</v>
      </c>
    </row>
    <row r="185" spans="1:19">
      <c r="A185" s="111">
        <v>184</v>
      </c>
      <c r="B185" s="121">
        <v>44721</v>
      </c>
      <c r="C185" s="113">
        <f t="shared" si="0"/>
        <v>2022</v>
      </c>
      <c r="D185" s="114">
        <f t="shared" si="1"/>
        <v>6</v>
      </c>
      <c r="E185" s="114" t="s">
        <v>8</v>
      </c>
      <c r="F185" s="114" t="s">
        <v>194</v>
      </c>
      <c r="G185" s="115" t="s">
        <v>107</v>
      </c>
      <c r="H185" s="185" t="s">
        <v>107</v>
      </c>
      <c r="I185" s="185"/>
      <c r="J185" s="119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8">
        <v>0</v>
      </c>
      <c r="Q185" s="119">
        <v>0</v>
      </c>
      <c r="R185" s="119">
        <v>0</v>
      </c>
      <c r="S185" s="184" t="s">
        <v>59</v>
      </c>
    </row>
    <row r="186" spans="1:19">
      <c r="A186" s="111">
        <v>185</v>
      </c>
      <c r="B186" s="121">
        <v>44722</v>
      </c>
      <c r="C186" s="113">
        <f t="shared" si="0"/>
        <v>2022</v>
      </c>
      <c r="D186" s="114">
        <f t="shared" si="1"/>
        <v>6</v>
      </c>
      <c r="E186" s="114" t="s">
        <v>88</v>
      </c>
      <c r="F186" s="114" t="s">
        <v>195</v>
      </c>
      <c r="G186" s="115" t="s">
        <v>196</v>
      </c>
      <c r="H186" s="114" t="s">
        <v>197</v>
      </c>
      <c r="I186" s="114" t="s">
        <v>184</v>
      </c>
      <c r="J186" s="186">
        <v>1</v>
      </c>
      <c r="K186" s="187">
        <v>35</v>
      </c>
      <c r="L186" s="187">
        <v>19</v>
      </c>
      <c r="M186" s="187">
        <v>2</v>
      </c>
      <c r="N186" s="187">
        <v>754</v>
      </c>
      <c r="O186" s="187">
        <v>1061</v>
      </c>
      <c r="P186" s="188">
        <v>0</v>
      </c>
      <c r="Q186" s="186">
        <v>754</v>
      </c>
      <c r="R186" s="186">
        <v>1061</v>
      </c>
      <c r="S186" s="184" t="s">
        <v>59</v>
      </c>
    </row>
    <row r="187" spans="1:19">
      <c r="A187" s="111">
        <v>186</v>
      </c>
      <c r="B187" s="121">
        <v>44723</v>
      </c>
      <c r="C187" s="113">
        <f t="shared" si="0"/>
        <v>2022</v>
      </c>
      <c r="D187" s="114">
        <f t="shared" si="1"/>
        <v>6</v>
      </c>
      <c r="E187" s="114" t="s">
        <v>104</v>
      </c>
      <c r="F187" s="114" t="s">
        <v>198</v>
      </c>
      <c r="G187" s="115" t="s">
        <v>199</v>
      </c>
      <c r="H187" s="114" t="s">
        <v>199</v>
      </c>
      <c r="I187" s="114" t="s">
        <v>200</v>
      </c>
      <c r="J187" s="186">
        <v>1</v>
      </c>
      <c r="K187" s="187">
        <v>40</v>
      </c>
      <c r="L187" s="187">
        <v>20</v>
      </c>
      <c r="M187" s="187">
        <v>2.2000000000000002</v>
      </c>
      <c r="N187" s="187">
        <v>603</v>
      </c>
      <c r="O187" s="187">
        <v>690</v>
      </c>
      <c r="P187" s="188">
        <v>1</v>
      </c>
      <c r="Q187" s="186">
        <v>603</v>
      </c>
      <c r="R187" s="186">
        <v>690</v>
      </c>
      <c r="S187" s="184" t="s">
        <v>59</v>
      </c>
    </row>
    <row r="188" spans="1:19">
      <c r="A188" s="111">
        <v>187</v>
      </c>
      <c r="B188" s="121">
        <v>44724</v>
      </c>
      <c r="C188" s="113">
        <f t="shared" si="0"/>
        <v>2022</v>
      </c>
      <c r="D188" s="114">
        <f t="shared" si="1"/>
        <v>6</v>
      </c>
      <c r="E188" s="114" t="s">
        <v>201</v>
      </c>
      <c r="F188" s="114" t="s">
        <v>202</v>
      </c>
      <c r="G188" s="115" t="s">
        <v>203</v>
      </c>
      <c r="H188" s="114" t="s">
        <v>204</v>
      </c>
      <c r="I188" s="114" t="s">
        <v>173</v>
      </c>
      <c r="J188" s="119">
        <v>0</v>
      </c>
      <c r="K188" s="117">
        <v>0</v>
      </c>
      <c r="L188" s="117">
        <v>0</v>
      </c>
      <c r="M188" s="117">
        <v>0</v>
      </c>
      <c r="N188" s="117">
        <v>0</v>
      </c>
      <c r="O188" s="117">
        <v>0</v>
      </c>
      <c r="P188" s="118">
        <v>0</v>
      </c>
      <c r="Q188" s="119">
        <v>0</v>
      </c>
      <c r="R188" s="119">
        <v>0</v>
      </c>
      <c r="S188" s="184" t="s">
        <v>59</v>
      </c>
    </row>
    <row r="189" spans="1:19">
      <c r="A189" s="111">
        <v>188</v>
      </c>
      <c r="B189" s="121">
        <v>44725</v>
      </c>
      <c r="C189" s="113">
        <f t="shared" si="0"/>
        <v>2022</v>
      </c>
      <c r="D189" s="114">
        <f t="shared" si="1"/>
        <v>6</v>
      </c>
      <c r="E189" s="114" t="s">
        <v>30</v>
      </c>
      <c r="F189" s="114" t="s">
        <v>205</v>
      </c>
      <c r="G189" s="115" t="s">
        <v>206</v>
      </c>
      <c r="H189" s="114" t="s">
        <v>207</v>
      </c>
      <c r="I189" s="114" t="s">
        <v>184</v>
      </c>
      <c r="J189" s="186">
        <v>2</v>
      </c>
      <c r="K189" s="187">
        <v>21</v>
      </c>
      <c r="L189" s="187">
        <v>18</v>
      </c>
      <c r="M189" s="187">
        <v>1.5</v>
      </c>
      <c r="N189" s="187">
        <v>188</v>
      </c>
      <c r="O189" s="187">
        <v>296</v>
      </c>
      <c r="P189" s="188">
        <v>0.5</v>
      </c>
      <c r="Q189" s="186">
        <v>375</v>
      </c>
      <c r="R189" s="186">
        <v>592</v>
      </c>
      <c r="S189" s="184" t="s">
        <v>59</v>
      </c>
    </row>
    <row r="190" spans="1:19">
      <c r="A190" s="111">
        <v>189</v>
      </c>
      <c r="B190" s="121">
        <v>44726</v>
      </c>
      <c r="C190" s="113">
        <f t="shared" si="0"/>
        <v>2022</v>
      </c>
      <c r="D190" s="114">
        <f t="shared" si="1"/>
        <v>6</v>
      </c>
      <c r="E190" s="114" t="s">
        <v>10</v>
      </c>
      <c r="F190" s="114" t="s">
        <v>208</v>
      </c>
      <c r="G190" s="115" t="s">
        <v>209</v>
      </c>
      <c r="H190" s="114" t="s">
        <v>210</v>
      </c>
      <c r="I190" s="114" t="s">
        <v>173</v>
      </c>
      <c r="J190" s="186">
        <v>3</v>
      </c>
      <c r="K190" s="187">
        <v>66</v>
      </c>
      <c r="L190" s="187">
        <v>32</v>
      </c>
      <c r="M190" s="187">
        <v>2.2000000000000002</v>
      </c>
      <c r="N190" s="187">
        <v>1894</v>
      </c>
      <c r="O190" s="187">
        <v>2837</v>
      </c>
      <c r="P190" s="188">
        <v>0.33</v>
      </c>
      <c r="Q190" s="186">
        <v>5683</v>
      </c>
      <c r="R190" s="186">
        <v>8510</v>
      </c>
      <c r="S190" s="184" t="s">
        <v>59</v>
      </c>
    </row>
    <row r="191" spans="1:19">
      <c r="A191" s="111">
        <v>190</v>
      </c>
      <c r="B191" s="121">
        <v>44727</v>
      </c>
      <c r="C191" s="113">
        <f t="shared" si="0"/>
        <v>2022</v>
      </c>
      <c r="D191" s="114">
        <f t="shared" si="1"/>
        <v>6</v>
      </c>
      <c r="E191" s="114" t="s">
        <v>10</v>
      </c>
      <c r="F191" s="114" t="s">
        <v>211</v>
      </c>
      <c r="G191" s="115" t="s">
        <v>212</v>
      </c>
      <c r="H191" s="114" t="s">
        <v>213</v>
      </c>
      <c r="I191" s="114" t="s">
        <v>173</v>
      </c>
      <c r="J191" s="119">
        <v>0</v>
      </c>
      <c r="K191" s="117">
        <v>0</v>
      </c>
      <c r="L191" s="117">
        <v>0</v>
      </c>
      <c r="M191" s="117">
        <v>0</v>
      </c>
      <c r="N191" s="117">
        <v>0</v>
      </c>
      <c r="O191" s="117">
        <v>0</v>
      </c>
      <c r="P191" s="118">
        <v>0</v>
      </c>
      <c r="Q191" s="119">
        <v>0</v>
      </c>
      <c r="R191" s="119">
        <v>0</v>
      </c>
      <c r="S191" s="184" t="s">
        <v>59</v>
      </c>
    </row>
    <row r="192" spans="1:19">
      <c r="A192" s="111">
        <v>191</v>
      </c>
      <c r="B192" s="121">
        <v>44728</v>
      </c>
      <c r="C192" s="113">
        <f t="shared" si="0"/>
        <v>2022</v>
      </c>
      <c r="D192" s="114">
        <f t="shared" si="1"/>
        <v>6</v>
      </c>
      <c r="E192" s="114" t="s">
        <v>10</v>
      </c>
      <c r="F192" s="114" t="s">
        <v>214</v>
      </c>
      <c r="G192" s="115" t="s">
        <v>215</v>
      </c>
      <c r="H192" s="114" t="s">
        <v>216</v>
      </c>
      <c r="I192" s="114" t="s">
        <v>184</v>
      </c>
      <c r="J192" s="119">
        <v>0</v>
      </c>
      <c r="K192" s="117">
        <v>0</v>
      </c>
      <c r="L192" s="117">
        <v>0</v>
      </c>
      <c r="M192" s="117">
        <v>0</v>
      </c>
      <c r="N192" s="117">
        <v>0</v>
      </c>
      <c r="O192" s="117">
        <v>0</v>
      </c>
      <c r="P192" s="118">
        <v>0</v>
      </c>
      <c r="Q192" s="119">
        <v>0</v>
      </c>
      <c r="R192" s="119">
        <v>0</v>
      </c>
      <c r="S192" s="184" t="s">
        <v>59</v>
      </c>
    </row>
    <row r="193" spans="1:19">
      <c r="A193" s="111">
        <v>192</v>
      </c>
      <c r="B193" s="121">
        <v>44729</v>
      </c>
      <c r="C193" s="113">
        <f t="shared" si="0"/>
        <v>2022</v>
      </c>
      <c r="D193" s="114">
        <f t="shared" si="1"/>
        <v>6</v>
      </c>
      <c r="E193" s="114" t="s">
        <v>9</v>
      </c>
      <c r="F193" s="114" t="s">
        <v>217</v>
      </c>
      <c r="G193" s="115" t="s">
        <v>218</v>
      </c>
      <c r="H193" s="114" t="s">
        <v>219</v>
      </c>
      <c r="I193" s="114" t="s">
        <v>184</v>
      </c>
      <c r="J193" s="186">
        <v>4</v>
      </c>
      <c r="K193" s="187">
        <v>64</v>
      </c>
      <c r="L193" s="187">
        <v>26</v>
      </c>
      <c r="M193" s="187">
        <v>2.6</v>
      </c>
      <c r="N193" s="187">
        <v>2290</v>
      </c>
      <c r="O193" s="187">
        <v>3413</v>
      </c>
      <c r="P193" s="188">
        <v>0.25</v>
      </c>
      <c r="Q193" s="186">
        <v>9161</v>
      </c>
      <c r="R193" s="186">
        <v>13653</v>
      </c>
      <c r="S193" s="184" t="s">
        <v>59</v>
      </c>
    </row>
    <row r="194" spans="1:19">
      <c r="A194" s="111">
        <v>193</v>
      </c>
      <c r="B194" s="121">
        <v>44730</v>
      </c>
      <c r="C194" s="113">
        <f t="shared" si="0"/>
        <v>2022</v>
      </c>
      <c r="D194" s="114">
        <f t="shared" si="1"/>
        <v>6</v>
      </c>
      <c r="E194" s="114" t="s">
        <v>11</v>
      </c>
      <c r="F194" s="114" t="s">
        <v>220</v>
      </c>
      <c r="G194" s="115" t="s">
        <v>221</v>
      </c>
      <c r="H194" s="114" t="s">
        <v>222</v>
      </c>
      <c r="I194" s="114" t="s">
        <v>184</v>
      </c>
      <c r="J194" s="186">
        <v>2</v>
      </c>
      <c r="K194" s="187">
        <v>35</v>
      </c>
      <c r="L194" s="187">
        <v>20</v>
      </c>
      <c r="M194" s="187">
        <v>2</v>
      </c>
      <c r="N194" s="187">
        <v>450</v>
      </c>
      <c r="O194" s="187">
        <v>659</v>
      </c>
      <c r="P194" s="188">
        <v>1</v>
      </c>
      <c r="Q194" s="186">
        <v>900</v>
      </c>
      <c r="R194" s="186">
        <v>1317</v>
      </c>
      <c r="S194" s="184" t="s">
        <v>59</v>
      </c>
    </row>
    <row r="195" spans="1:19">
      <c r="A195" s="111">
        <v>194</v>
      </c>
      <c r="B195" s="121">
        <v>44731</v>
      </c>
      <c r="C195" s="113">
        <f t="shared" si="0"/>
        <v>2022</v>
      </c>
      <c r="D195" s="114">
        <f t="shared" si="1"/>
        <v>6</v>
      </c>
      <c r="E195" s="114" t="s">
        <v>91</v>
      </c>
      <c r="F195" s="114" t="s">
        <v>178</v>
      </c>
      <c r="G195" s="115" t="s">
        <v>179</v>
      </c>
      <c r="H195" s="114" t="s">
        <v>180</v>
      </c>
      <c r="I195" s="114" t="s">
        <v>173</v>
      </c>
      <c r="J195" s="186">
        <v>1</v>
      </c>
      <c r="K195" s="187">
        <v>31</v>
      </c>
      <c r="L195" s="187">
        <v>19</v>
      </c>
      <c r="M195" s="187">
        <v>1.6</v>
      </c>
      <c r="N195" s="187">
        <v>784</v>
      </c>
      <c r="O195" s="187">
        <v>1151</v>
      </c>
      <c r="P195" s="188">
        <v>1</v>
      </c>
      <c r="Q195" s="186">
        <v>784</v>
      </c>
      <c r="R195" s="186">
        <v>2302</v>
      </c>
      <c r="S195" s="184" t="s">
        <v>59</v>
      </c>
    </row>
    <row r="196" spans="1:19">
      <c r="A196" s="111">
        <v>195</v>
      </c>
      <c r="B196" s="121">
        <v>44732</v>
      </c>
      <c r="C196" s="113">
        <f t="shared" si="0"/>
        <v>2022</v>
      </c>
      <c r="D196" s="114">
        <f t="shared" si="1"/>
        <v>6</v>
      </c>
      <c r="E196" s="114" t="s">
        <v>23</v>
      </c>
      <c r="F196" s="114" t="s">
        <v>223</v>
      </c>
      <c r="G196" s="115" t="s">
        <v>175</v>
      </c>
      <c r="H196" s="114" t="s">
        <v>176</v>
      </c>
      <c r="I196" s="114" t="s">
        <v>173</v>
      </c>
      <c r="J196" s="186">
        <v>4</v>
      </c>
      <c r="K196" s="187">
        <v>70</v>
      </c>
      <c r="L196" s="187">
        <v>32</v>
      </c>
      <c r="M196" s="187">
        <v>2.2999999999999998</v>
      </c>
      <c r="N196" s="187">
        <v>1326</v>
      </c>
      <c r="O196" s="187">
        <v>1927</v>
      </c>
      <c r="P196" s="188">
        <v>0.5</v>
      </c>
      <c r="Q196" s="186">
        <v>5302</v>
      </c>
      <c r="R196" s="186">
        <v>7708</v>
      </c>
      <c r="S196" s="184" t="s">
        <v>59</v>
      </c>
    </row>
    <row r="197" spans="1:19">
      <c r="A197" s="111">
        <v>196</v>
      </c>
      <c r="B197" s="121">
        <v>44733</v>
      </c>
      <c r="C197" s="113">
        <f t="shared" si="0"/>
        <v>2022</v>
      </c>
      <c r="D197" s="114">
        <f t="shared" si="1"/>
        <v>6</v>
      </c>
      <c r="E197" s="114" t="s">
        <v>23</v>
      </c>
      <c r="F197" s="114" t="s">
        <v>224</v>
      </c>
      <c r="G197" s="115" t="s">
        <v>107</v>
      </c>
      <c r="H197" s="114" t="s">
        <v>107</v>
      </c>
      <c r="I197" s="114" t="s">
        <v>107</v>
      </c>
      <c r="J197" s="119">
        <v>0</v>
      </c>
      <c r="K197" s="117">
        <v>0</v>
      </c>
      <c r="L197" s="117">
        <v>0</v>
      </c>
      <c r="M197" s="117">
        <v>0</v>
      </c>
      <c r="N197" s="117">
        <v>0</v>
      </c>
      <c r="O197" s="117">
        <v>0</v>
      </c>
      <c r="P197" s="118">
        <v>0</v>
      </c>
      <c r="Q197" s="119">
        <v>0</v>
      </c>
      <c r="R197" s="119">
        <v>0</v>
      </c>
      <c r="S197" s="184" t="s">
        <v>59</v>
      </c>
    </row>
    <row r="198" spans="1:19">
      <c r="A198" s="111">
        <v>197</v>
      </c>
      <c r="B198" s="121">
        <v>44734</v>
      </c>
      <c r="C198" s="113">
        <f t="shared" si="0"/>
        <v>2022</v>
      </c>
      <c r="D198" s="114">
        <f t="shared" si="1"/>
        <v>6</v>
      </c>
      <c r="E198" s="114" t="s">
        <v>15</v>
      </c>
      <c r="F198" s="114" t="s">
        <v>225</v>
      </c>
      <c r="G198" s="115" t="s">
        <v>226</v>
      </c>
      <c r="H198" s="114" t="s">
        <v>227</v>
      </c>
      <c r="I198" s="114" t="s">
        <v>173</v>
      </c>
      <c r="J198" s="186">
        <v>4</v>
      </c>
      <c r="K198" s="187">
        <v>42</v>
      </c>
      <c r="L198" s="187">
        <v>23</v>
      </c>
      <c r="M198" s="187">
        <v>1.9</v>
      </c>
      <c r="N198" s="187">
        <v>848</v>
      </c>
      <c r="O198" s="187">
        <v>1134</v>
      </c>
      <c r="P198" s="188">
        <v>0.75</v>
      </c>
      <c r="Q198" s="186">
        <v>3392</v>
      </c>
      <c r="R198" s="186">
        <v>4534</v>
      </c>
      <c r="S198" s="184" t="s">
        <v>59</v>
      </c>
    </row>
    <row r="199" spans="1:19">
      <c r="A199" s="111">
        <v>198</v>
      </c>
      <c r="B199" s="121">
        <v>44735</v>
      </c>
      <c r="C199" s="113">
        <f t="shared" si="0"/>
        <v>2022</v>
      </c>
      <c r="D199" s="114">
        <f t="shared" si="1"/>
        <v>6</v>
      </c>
      <c r="E199" s="114" t="s">
        <v>84</v>
      </c>
      <c r="F199" s="114" t="s">
        <v>228</v>
      </c>
      <c r="G199" s="115" t="s">
        <v>229</v>
      </c>
      <c r="H199" s="114" t="s">
        <v>230</v>
      </c>
      <c r="I199" s="114" t="s">
        <v>184</v>
      </c>
      <c r="J199" s="186">
        <v>4</v>
      </c>
      <c r="K199" s="187">
        <v>29</v>
      </c>
      <c r="L199" s="187">
        <v>21</v>
      </c>
      <c r="M199" s="187">
        <v>1.5</v>
      </c>
      <c r="N199" s="187">
        <v>349</v>
      </c>
      <c r="O199" s="187">
        <v>488</v>
      </c>
      <c r="P199" s="188">
        <v>0.25</v>
      </c>
      <c r="Q199" s="186">
        <v>1394</v>
      </c>
      <c r="R199" s="186">
        <v>1952</v>
      </c>
      <c r="S199" s="184" t="s">
        <v>59</v>
      </c>
    </row>
    <row r="200" spans="1:19">
      <c r="A200" s="111">
        <v>199</v>
      </c>
      <c r="B200" s="121">
        <v>44736</v>
      </c>
      <c r="C200" s="113">
        <f t="shared" si="0"/>
        <v>2022</v>
      </c>
      <c r="D200" s="114">
        <f t="shared" si="1"/>
        <v>6</v>
      </c>
      <c r="E200" s="114" t="s">
        <v>84</v>
      </c>
      <c r="F200" s="114" t="s">
        <v>231</v>
      </c>
      <c r="G200" s="115" t="s">
        <v>232</v>
      </c>
      <c r="H200" s="114" t="s">
        <v>233</v>
      </c>
      <c r="I200" s="114" t="s">
        <v>184</v>
      </c>
      <c r="J200" s="119">
        <v>0</v>
      </c>
      <c r="K200" s="117">
        <v>0</v>
      </c>
      <c r="L200" s="117">
        <v>0</v>
      </c>
      <c r="M200" s="117">
        <v>0</v>
      </c>
      <c r="N200" s="117">
        <v>0</v>
      </c>
      <c r="O200" s="117">
        <v>0</v>
      </c>
      <c r="P200" s="118">
        <v>0</v>
      </c>
      <c r="Q200" s="119">
        <v>0</v>
      </c>
      <c r="R200" s="119">
        <v>0</v>
      </c>
      <c r="S200" s="184" t="s">
        <v>59</v>
      </c>
    </row>
    <row r="201" spans="1:19">
      <c r="A201" s="111">
        <v>200</v>
      </c>
      <c r="B201" s="121">
        <v>44737</v>
      </c>
      <c r="C201" s="113">
        <f t="shared" si="0"/>
        <v>2022</v>
      </c>
      <c r="D201" s="114">
        <f t="shared" si="1"/>
        <v>6</v>
      </c>
      <c r="E201" s="114" t="s">
        <v>22</v>
      </c>
      <c r="F201" s="114" t="s">
        <v>174</v>
      </c>
      <c r="G201" s="115" t="s">
        <v>175</v>
      </c>
      <c r="H201" s="114" t="s">
        <v>176</v>
      </c>
      <c r="I201" s="114" t="s">
        <v>173</v>
      </c>
      <c r="J201" s="186">
        <v>4</v>
      </c>
      <c r="K201" s="187">
        <v>79</v>
      </c>
      <c r="L201" s="187">
        <v>34</v>
      </c>
      <c r="M201" s="187">
        <v>2.4</v>
      </c>
      <c r="N201" s="187">
        <v>2241</v>
      </c>
      <c r="O201" s="187">
        <v>3462</v>
      </c>
      <c r="P201" s="188">
        <v>0.75</v>
      </c>
      <c r="Q201" s="186">
        <v>8964</v>
      </c>
      <c r="R201" s="186">
        <v>13848</v>
      </c>
      <c r="S201" s="184" t="s">
        <v>59</v>
      </c>
    </row>
    <row r="202" spans="1:19">
      <c r="A202" s="111">
        <v>201</v>
      </c>
      <c r="B202" s="121">
        <v>44738</v>
      </c>
      <c r="C202" s="113">
        <f t="shared" si="0"/>
        <v>2022</v>
      </c>
      <c r="D202" s="114">
        <f t="shared" si="1"/>
        <v>6</v>
      </c>
      <c r="E202" s="114" t="s">
        <v>22</v>
      </c>
      <c r="F202" s="114" t="s">
        <v>177</v>
      </c>
      <c r="G202" s="115" t="s">
        <v>175</v>
      </c>
      <c r="H202" s="114" t="s">
        <v>176</v>
      </c>
      <c r="I202" s="114" t="s">
        <v>173</v>
      </c>
      <c r="J202" s="119">
        <v>0</v>
      </c>
      <c r="K202" s="117">
        <v>0</v>
      </c>
      <c r="L202" s="117">
        <v>0</v>
      </c>
      <c r="M202" s="117">
        <v>0</v>
      </c>
      <c r="N202" s="117">
        <v>0</v>
      </c>
      <c r="O202" s="117">
        <v>0</v>
      </c>
      <c r="P202" s="118">
        <v>0</v>
      </c>
      <c r="Q202" s="119">
        <v>0</v>
      </c>
      <c r="R202" s="119">
        <v>0</v>
      </c>
      <c r="S202" s="184" t="s">
        <v>59</v>
      </c>
    </row>
    <row r="203" spans="1:19">
      <c r="A203" s="111">
        <v>202</v>
      </c>
      <c r="B203" s="121">
        <v>44739</v>
      </c>
      <c r="C203" s="113">
        <f t="shared" si="0"/>
        <v>2022</v>
      </c>
      <c r="D203" s="114">
        <f t="shared" si="1"/>
        <v>6</v>
      </c>
      <c r="E203" s="114" t="s">
        <v>22</v>
      </c>
      <c r="F203" s="114" t="s">
        <v>223</v>
      </c>
      <c r="G203" s="115" t="s">
        <v>175</v>
      </c>
      <c r="H203" s="114" t="s">
        <v>176</v>
      </c>
      <c r="I203" s="114" t="s">
        <v>173</v>
      </c>
      <c r="J203" s="119">
        <v>0</v>
      </c>
      <c r="K203" s="117">
        <v>0</v>
      </c>
      <c r="L203" s="117">
        <v>0</v>
      </c>
      <c r="M203" s="117">
        <v>0</v>
      </c>
      <c r="N203" s="117">
        <v>0</v>
      </c>
      <c r="O203" s="117">
        <v>0</v>
      </c>
      <c r="P203" s="118">
        <v>0</v>
      </c>
      <c r="Q203" s="119">
        <v>0</v>
      </c>
      <c r="R203" s="119">
        <v>0</v>
      </c>
      <c r="S203" s="184" t="s">
        <v>59</v>
      </c>
    </row>
    <row r="204" spans="1:19">
      <c r="A204" s="111">
        <v>203</v>
      </c>
      <c r="B204" s="121">
        <v>44740</v>
      </c>
      <c r="C204" s="113">
        <f t="shared" si="0"/>
        <v>2022</v>
      </c>
      <c r="D204" s="114">
        <f t="shared" si="1"/>
        <v>6</v>
      </c>
      <c r="E204" s="114" t="s">
        <v>12</v>
      </c>
      <c r="F204" s="114" t="s">
        <v>220</v>
      </c>
      <c r="G204" s="115" t="s">
        <v>221</v>
      </c>
      <c r="H204" s="114" t="s">
        <v>222</v>
      </c>
      <c r="I204" s="114" t="s">
        <v>184</v>
      </c>
      <c r="J204" s="186">
        <v>2</v>
      </c>
      <c r="K204" s="187">
        <v>37</v>
      </c>
      <c r="L204" s="187">
        <v>20</v>
      </c>
      <c r="M204" s="187">
        <v>2.2000000000000002</v>
      </c>
      <c r="N204" s="187">
        <v>607</v>
      </c>
      <c r="O204" s="187">
        <v>885</v>
      </c>
      <c r="P204" s="188">
        <v>0.5</v>
      </c>
      <c r="Q204" s="186">
        <v>1213</v>
      </c>
      <c r="R204" s="186">
        <v>1769</v>
      </c>
      <c r="S204" s="184" t="s">
        <v>59</v>
      </c>
    </row>
    <row r="205" spans="1:19">
      <c r="A205" s="111">
        <v>204</v>
      </c>
      <c r="B205" s="121">
        <v>44741</v>
      </c>
      <c r="C205" s="113">
        <f t="shared" si="0"/>
        <v>2022</v>
      </c>
      <c r="D205" s="114">
        <f t="shared" si="1"/>
        <v>6</v>
      </c>
      <c r="E205" s="114" t="s">
        <v>12</v>
      </c>
      <c r="F205" s="114" t="s">
        <v>234</v>
      </c>
      <c r="G205" s="115" t="s">
        <v>235</v>
      </c>
      <c r="H205" s="114" t="s">
        <v>236</v>
      </c>
      <c r="I205" s="114" t="s">
        <v>184</v>
      </c>
      <c r="J205" s="186">
        <v>4</v>
      </c>
      <c r="K205" s="187">
        <v>29</v>
      </c>
      <c r="L205" s="187">
        <v>18</v>
      </c>
      <c r="M205" s="187">
        <v>1.8</v>
      </c>
      <c r="N205" s="187">
        <v>533</v>
      </c>
      <c r="O205" s="187">
        <v>814</v>
      </c>
      <c r="P205" s="188">
        <v>0</v>
      </c>
      <c r="Q205" s="186">
        <v>2130</v>
      </c>
      <c r="R205" s="186">
        <v>3256</v>
      </c>
      <c r="S205" s="184" t="s">
        <v>59</v>
      </c>
    </row>
    <row r="206" spans="1:19">
      <c r="A206" s="111">
        <v>205</v>
      </c>
      <c r="B206" s="121">
        <v>44742</v>
      </c>
      <c r="C206" s="113">
        <f t="shared" si="0"/>
        <v>2022</v>
      </c>
      <c r="D206" s="114">
        <f t="shared" si="1"/>
        <v>6</v>
      </c>
      <c r="E206" s="114" t="s">
        <v>12</v>
      </c>
      <c r="F206" s="114" t="s">
        <v>237</v>
      </c>
      <c r="G206" s="115" t="s">
        <v>199</v>
      </c>
      <c r="H206" s="114" t="s">
        <v>199</v>
      </c>
      <c r="I206" s="114" t="s">
        <v>200</v>
      </c>
      <c r="J206" s="119">
        <v>0</v>
      </c>
      <c r="K206" s="117">
        <v>0</v>
      </c>
      <c r="L206" s="117">
        <v>0</v>
      </c>
      <c r="M206" s="117">
        <v>0</v>
      </c>
      <c r="N206" s="117">
        <v>0</v>
      </c>
      <c r="O206" s="117">
        <v>0</v>
      </c>
      <c r="P206" s="118">
        <v>0</v>
      </c>
      <c r="Q206" s="119">
        <v>0</v>
      </c>
      <c r="R206" s="119">
        <v>0</v>
      </c>
      <c r="S206" s="184" t="s">
        <v>59</v>
      </c>
    </row>
    <row r="207" spans="1:19">
      <c r="A207" s="111">
        <v>206</v>
      </c>
      <c r="B207" s="121">
        <v>44713</v>
      </c>
      <c r="C207" s="113">
        <f t="shared" si="0"/>
        <v>2022</v>
      </c>
      <c r="D207" s="114">
        <f t="shared" si="1"/>
        <v>6</v>
      </c>
      <c r="E207" s="114" t="s">
        <v>26</v>
      </c>
      <c r="F207" s="114" t="s">
        <v>238</v>
      </c>
      <c r="G207" s="115" t="s">
        <v>175</v>
      </c>
      <c r="H207" s="114" t="s">
        <v>176</v>
      </c>
      <c r="I207" s="114" t="s">
        <v>173</v>
      </c>
      <c r="J207" s="119">
        <v>0</v>
      </c>
      <c r="K207" s="117">
        <v>0</v>
      </c>
      <c r="L207" s="117">
        <v>0</v>
      </c>
      <c r="M207" s="117">
        <v>0</v>
      </c>
      <c r="N207" s="117">
        <v>0</v>
      </c>
      <c r="O207" s="117">
        <v>0</v>
      </c>
      <c r="P207" s="118">
        <v>0</v>
      </c>
      <c r="Q207" s="119">
        <v>0</v>
      </c>
      <c r="R207" s="119">
        <v>0</v>
      </c>
      <c r="S207" s="184" t="s">
        <v>59</v>
      </c>
    </row>
    <row r="208" spans="1:19">
      <c r="A208" s="111">
        <v>207</v>
      </c>
      <c r="B208" s="121">
        <v>44714</v>
      </c>
      <c r="C208" s="113">
        <f t="shared" si="0"/>
        <v>2022</v>
      </c>
      <c r="D208" s="114">
        <f t="shared" si="1"/>
        <v>6</v>
      </c>
      <c r="E208" s="114" t="s">
        <v>19</v>
      </c>
      <c r="F208" s="114" t="s">
        <v>178</v>
      </c>
      <c r="G208" s="115" t="s">
        <v>179</v>
      </c>
      <c r="H208" s="114" t="s">
        <v>180</v>
      </c>
      <c r="I208" s="114" t="s">
        <v>173</v>
      </c>
      <c r="J208" s="186">
        <v>1</v>
      </c>
      <c r="K208" s="187">
        <v>36</v>
      </c>
      <c r="L208" s="187">
        <v>21</v>
      </c>
      <c r="M208" s="187">
        <v>1.8</v>
      </c>
      <c r="N208" s="187">
        <v>776</v>
      </c>
      <c r="O208" s="187">
        <v>1188</v>
      </c>
      <c r="P208" s="188">
        <v>0</v>
      </c>
      <c r="Q208" s="186">
        <v>776</v>
      </c>
      <c r="R208" s="186">
        <v>1188</v>
      </c>
      <c r="S208" s="184" t="s">
        <v>59</v>
      </c>
    </row>
    <row r="209" spans="1:19">
      <c r="A209" s="111">
        <v>208</v>
      </c>
      <c r="B209" s="121">
        <v>44715</v>
      </c>
      <c r="C209" s="113">
        <f t="shared" si="0"/>
        <v>2022</v>
      </c>
      <c r="D209" s="114">
        <f t="shared" si="1"/>
        <v>6</v>
      </c>
      <c r="E209" s="114" t="s">
        <v>7</v>
      </c>
      <c r="F209" s="114" t="s">
        <v>239</v>
      </c>
      <c r="G209" s="115" t="s">
        <v>240</v>
      </c>
      <c r="H209" s="114" t="s">
        <v>241</v>
      </c>
      <c r="I209" s="114" t="s">
        <v>184</v>
      </c>
      <c r="J209" s="186">
        <v>3</v>
      </c>
      <c r="K209" s="187">
        <v>49</v>
      </c>
      <c r="L209" s="187">
        <v>25</v>
      </c>
      <c r="M209" s="187">
        <v>1.9</v>
      </c>
      <c r="N209" s="187">
        <v>580</v>
      </c>
      <c r="O209" s="187">
        <v>914</v>
      </c>
      <c r="P209" s="188">
        <v>0</v>
      </c>
      <c r="Q209" s="186">
        <v>1741</v>
      </c>
      <c r="R209" s="186">
        <v>2741</v>
      </c>
      <c r="S209" s="184" t="s">
        <v>59</v>
      </c>
    </row>
    <row r="210" spans="1:19">
      <c r="A210" s="111">
        <v>209</v>
      </c>
      <c r="B210" s="121">
        <v>44716</v>
      </c>
      <c r="C210" s="113">
        <f t="shared" si="0"/>
        <v>2022</v>
      </c>
      <c r="D210" s="114">
        <f t="shared" si="1"/>
        <v>6</v>
      </c>
      <c r="E210" s="114" t="s">
        <v>7</v>
      </c>
      <c r="F210" s="114" t="s">
        <v>220</v>
      </c>
      <c r="G210" s="115" t="s">
        <v>221</v>
      </c>
      <c r="H210" s="114" t="s">
        <v>222</v>
      </c>
      <c r="I210" s="114" t="s">
        <v>184</v>
      </c>
      <c r="J210" s="186">
        <v>1</v>
      </c>
      <c r="K210" s="187">
        <v>40</v>
      </c>
      <c r="L210" s="187">
        <v>21</v>
      </c>
      <c r="M210" s="187">
        <v>2.1</v>
      </c>
      <c r="N210" s="187">
        <v>509</v>
      </c>
      <c r="O210" s="187">
        <v>870</v>
      </c>
      <c r="P210" s="188">
        <v>0</v>
      </c>
      <c r="Q210" s="186">
        <v>509</v>
      </c>
      <c r="R210" s="186">
        <v>870</v>
      </c>
      <c r="S210" s="184" t="s">
        <v>59</v>
      </c>
    </row>
    <row r="211" spans="1:19">
      <c r="A211" s="111">
        <v>210</v>
      </c>
      <c r="B211" s="121">
        <v>44717</v>
      </c>
      <c r="C211" s="113">
        <f t="shared" si="0"/>
        <v>2022</v>
      </c>
      <c r="D211" s="114">
        <f t="shared" si="1"/>
        <v>6</v>
      </c>
      <c r="E211" s="114" t="s">
        <v>7</v>
      </c>
      <c r="F211" s="114" t="s">
        <v>242</v>
      </c>
      <c r="G211" s="115" t="s">
        <v>243</v>
      </c>
      <c r="H211" s="114" t="s">
        <v>244</v>
      </c>
      <c r="I211" s="114" t="s">
        <v>184</v>
      </c>
      <c r="J211" s="186">
        <v>5</v>
      </c>
      <c r="K211" s="187">
        <v>64</v>
      </c>
      <c r="L211" s="187">
        <v>27</v>
      </c>
      <c r="M211" s="187">
        <v>2.6</v>
      </c>
      <c r="N211" s="187">
        <v>1264</v>
      </c>
      <c r="O211" s="187">
        <v>1934</v>
      </c>
      <c r="P211" s="188">
        <v>0</v>
      </c>
      <c r="Q211" s="186">
        <v>6318</v>
      </c>
      <c r="R211" s="186">
        <v>9669</v>
      </c>
      <c r="S211" s="184" t="s">
        <v>59</v>
      </c>
    </row>
    <row r="212" spans="1:19">
      <c r="A212" s="111">
        <v>211</v>
      </c>
      <c r="B212" s="121">
        <v>44743</v>
      </c>
      <c r="C212" s="113">
        <f t="shared" si="0"/>
        <v>2022</v>
      </c>
      <c r="D212" s="114">
        <f t="shared" si="1"/>
        <v>7</v>
      </c>
      <c r="E212" s="114" t="s">
        <v>79</v>
      </c>
      <c r="F212" s="114" t="s">
        <v>170</v>
      </c>
      <c r="G212" s="115" t="s">
        <v>171</v>
      </c>
      <c r="H212" s="114" t="s">
        <v>172</v>
      </c>
      <c r="I212" s="114" t="s">
        <v>173</v>
      </c>
      <c r="J212" s="186">
        <v>3</v>
      </c>
      <c r="K212" s="187">
        <v>45</v>
      </c>
      <c r="L212" s="187">
        <v>24</v>
      </c>
      <c r="M212" s="187">
        <v>2.1</v>
      </c>
      <c r="N212" s="187">
        <v>1007</v>
      </c>
      <c r="O212" s="187">
        <v>1538</v>
      </c>
      <c r="P212" s="188">
        <v>0.33</v>
      </c>
      <c r="Q212" s="186">
        <v>3020</v>
      </c>
      <c r="R212" s="186">
        <v>4614</v>
      </c>
      <c r="S212" s="184" t="s">
        <v>59</v>
      </c>
    </row>
    <row r="213" spans="1:19">
      <c r="A213" s="111">
        <v>212</v>
      </c>
      <c r="B213" s="121">
        <v>44744</v>
      </c>
      <c r="C213" s="113">
        <f t="shared" si="0"/>
        <v>2022</v>
      </c>
      <c r="D213" s="114">
        <f t="shared" si="1"/>
        <v>7</v>
      </c>
      <c r="E213" s="114" t="s">
        <v>79</v>
      </c>
      <c r="F213" s="114" t="s">
        <v>174</v>
      </c>
      <c r="G213" s="115" t="s">
        <v>175</v>
      </c>
      <c r="H213" s="114" t="s">
        <v>176</v>
      </c>
      <c r="I213" s="114" t="s">
        <v>173</v>
      </c>
      <c r="J213" s="119">
        <v>0</v>
      </c>
      <c r="K213" s="117">
        <v>0</v>
      </c>
      <c r="L213" s="117">
        <v>0</v>
      </c>
      <c r="M213" s="117">
        <v>0</v>
      </c>
      <c r="N213" s="117">
        <v>0</v>
      </c>
      <c r="O213" s="117">
        <v>0</v>
      </c>
      <c r="P213" s="118">
        <v>0</v>
      </c>
      <c r="Q213" s="119">
        <v>0</v>
      </c>
      <c r="R213" s="119">
        <v>0</v>
      </c>
      <c r="S213" s="184" t="s">
        <v>59</v>
      </c>
    </row>
    <row r="214" spans="1:19">
      <c r="A214" s="111">
        <v>213</v>
      </c>
      <c r="B214" s="121">
        <v>44745</v>
      </c>
      <c r="C214" s="113">
        <f t="shared" si="0"/>
        <v>2022</v>
      </c>
      <c r="D214" s="114">
        <f t="shared" si="1"/>
        <v>7</v>
      </c>
      <c r="E214" s="114" t="s">
        <v>79</v>
      </c>
      <c r="F214" s="114" t="s">
        <v>177</v>
      </c>
      <c r="G214" s="115" t="s">
        <v>175</v>
      </c>
      <c r="H214" s="114" t="s">
        <v>176</v>
      </c>
      <c r="I214" s="114" t="s">
        <v>173</v>
      </c>
      <c r="J214" s="186">
        <v>4</v>
      </c>
      <c r="K214" s="187">
        <v>84</v>
      </c>
      <c r="L214" s="187">
        <v>35</v>
      </c>
      <c r="M214" s="187">
        <v>2.6</v>
      </c>
      <c r="N214" s="187">
        <v>1867</v>
      </c>
      <c r="O214" s="187">
        <v>2837</v>
      </c>
      <c r="P214" s="188">
        <v>1</v>
      </c>
      <c r="Q214" s="186">
        <v>7466</v>
      </c>
      <c r="R214" s="186">
        <v>11349</v>
      </c>
      <c r="S214" s="184" t="s">
        <v>59</v>
      </c>
    </row>
    <row r="215" spans="1:19">
      <c r="A215" s="111">
        <v>214</v>
      </c>
      <c r="B215" s="121">
        <v>44746</v>
      </c>
      <c r="C215" s="113">
        <f t="shared" si="0"/>
        <v>2022</v>
      </c>
      <c r="D215" s="114">
        <f t="shared" si="1"/>
        <v>7</v>
      </c>
      <c r="E215" s="114" t="s">
        <v>20</v>
      </c>
      <c r="F215" s="114" t="s">
        <v>178</v>
      </c>
      <c r="G215" s="115" t="s">
        <v>179</v>
      </c>
      <c r="H215" s="114" t="s">
        <v>180</v>
      </c>
      <c r="I215" s="114" t="s">
        <v>173</v>
      </c>
      <c r="J215" s="186">
        <v>1</v>
      </c>
      <c r="K215" s="187">
        <v>43</v>
      </c>
      <c r="L215" s="187">
        <v>23</v>
      </c>
      <c r="M215" s="187">
        <v>2.1</v>
      </c>
      <c r="N215" s="187">
        <v>826</v>
      </c>
      <c r="O215" s="187">
        <v>1222</v>
      </c>
      <c r="P215" s="188">
        <v>0</v>
      </c>
      <c r="Q215" s="186">
        <v>826</v>
      </c>
      <c r="R215" s="186">
        <v>1222</v>
      </c>
      <c r="S215" s="184" t="s">
        <v>59</v>
      </c>
    </row>
    <row r="216" spans="1:19">
      <c r="A216" s="111">
        <v>215</v>
      </c>
      <c r="B216" s="121">
        <v>44747</v>
      </c>
      <c r="C216" s="113">
        <f t="shared" si="0"/>
        <v>2022</v>
      </c>
      <c r="D216" s="114">
        <f t="shared" si="1"/>
        <v>7</v>
      </c>
      <c r="E216" s="114" t="s">
        <v>8</v>
      </c>
      <c r="F216" s="114" t="s">
        <v>181</v>
      </c>
      <c r="G216" s="115" t="s">
        <v>182</v>
      </c>
      <c r="H216" s="114" t="s">
        <v>183</v>
      </c>
      <c r="I216" s="114" t="s">
        <v>184</v>
      </c>
      <c r="J216" s="186">
        <v>3</v>
      </c>
      <c r="K216" s="187">
        <v>44</v>
      </c>
      <c r="L216" s="187">
        <v>27</v>
      </c>
      <c r="M216" s="187">
        <v>1.8</v>
      </c>
      <c r="N216" s="187">
        <v>512</v>
      </c>
      <c r="O216" s="187">
        <v>801</v>
      </c>
      <c r="P216" s="188">
        <v>0</v>
      </c>
      <c r="Q216" s="186">
        <v>1536</v>
      </c>
      <c r="R216" s="186">
        <v>2403</v>
      </c>
      <c r="S216" s="184" t="s">
        <v>59</v>
      </c>
    </row>
    <row r="217" spans="1:19">
      <c r="A217" s="111">
        <v>216</v>
      </c>
      <c r="B217" s="121">
        <v>44748</v>
      </c>
      <c r="C217" s="113">
        <f t="shared" si="0"/>
        <v>2022</v>
      </c>
      <c r="D217" s="114">
        <f t="shared" si="1"/>
        <v>7</v>
      </c>
      <c r="E217" s="114" t="s">
        <v>8</v>
      </c>
      <c r="F217" s="114" t="s">
        <v>185</v>
      </c>
      <c r="G217" s="115" t="s">
        <v>186</v>
      </c>
      <c r="H217" s="114" t="s">
        <v>187</v>
      </c>
      <c r="I217" s="114" t="s">
        <v>184</v>
      </c>
      <c r="J217" s="186">
        <v>4</v>
      </c>
      <c r="K217" s="187">
        <v>53</v>
      </c>
      <c r="L217" s="187">
        <v>27</v>
      </c>
      <c r="M217" s="187">
        <v>2.1</v>
      </c>
      <c r="N217" s="187">
        <v>821</v>
      </c>
      <c r="O217" s="187">
        <v>1206</v>
      </c>
      <c r="P217" s="188">
        <v>0</v>
      </c>
      <c r="Q217" s="186">
        <v>3283</v>
      </c>
      <c r="R217" s="186">
        <v>4825</v>
      </c>
      <c r="S217" s="184" t="s">
        <v>59</v>
      </c>
    </row>
    <row r="218" spans="1:19">
      <c r="A218" s="111">
        <v>217</v>
      </c>
      <c r="B218" s="121">
        <v>44749</v>
      </c>
      <c r="C218" s="113">
        <f t="shared" si="0"/>
        <v>2022</v>
      </c>
      <c r="D218" s="114">
        <f t="shared" si="1"/>
        <v>7</v>
      </c>
      <c r="E218" s="114" t="s">
        <v>8</v>
      </c>
      <c r="F218" s="114" t="s">
        <v>188</v>
      </c>
      <c r="G218" s="115" t="s">
        <v>189</v>
      </c>
      <c r="H218" s="114" t="s">
        <v>190</v>
      </c>
      <c r="I218" s="114" t="s">
        <v>184</v>
      </c>
      <c r="J218" s="186">
        <v>3</v>
      </c>
      <c r="K218" s="187">
        <v>41</v>
      </c>
      <c r="L218" s="187">
        <v>26</v>
      </c>
      <c r="M218" s="187">
        <v>1.7</v>
      </c>
      <c r="N218" s="187">
        <v>711</v>
      </c>
      <c r="O218" s="187">
        <v>1053</v>
      </c>
      <c r="P218" s="188">
        <v>0.33</v>
      </c>
      <c r="Q218" s="186">
        <v>2133</v>
      </c>
      <c r="R218" s="186">
        <v>3160</v>
      </c>
      <c r="S218" s="184" t="s">
        <v>59</v>
      </c>
    </row>
    <row r="219" spans="1:19">
      <c r="A219" s="111">
        <v>218</v>
      </c>
      <c r="B219" s="121">
        <v>44750</v>
      </c>
      <c r="C219" s="113">
        <f t="shared" si="0"/>
        <v>2022</v>
      </c>
      <c r="D219" s="114">
        <f t="shared" si="1"/>
        <v>7</v>
      </c>
      <c r="E219" s="114" t="s">
        <v>8</v>
      </c>
      <c r="F219" s="114" t="s">
        <v>191</v>
      </c>
      <c r="G219" s="115" t="s">
        <v>192</v>
      </c>
      <c r="H219" s="114" t="s">
        <v>193</v>
      </c>
      <c r="I219" s="114" t="s">
        <v>173</v>
      </c>
      <c r="J219" s="186">
        <v>2</v>
      </c>
      <c r="K219" s="187">
        <v>60</v>
      </c>
      <c r="L219" s="187">
        <v>31</v>
      </c>
      <c r="M219" s="187">
        <v>2.1</v>
      </c>
      <c r="N219" s="187">
        <v>680</v>
      </c>
      <c r="O219" s="187">
        <v>1023</v>
      </c>
      <c r="P219" s="188">
        <v>0</v>
      </c>
      <c r="Q219" s="186">
        <v>1360</v>
      </c>
      <c r="R219" s="186">
        <v>2046</v>
      </c>
      <c r="S219" s="184" t="s">
        <v>59</v>
      </c>
    </row>
    <row r="220" spans="1:19">
      <c r="A220" s="111">
        <v>219</v>
      </c>
      <c r="B220" s="121">
        <v>44751</v>
      </c>
      <c r="C220" s="113">
        <f t="shared" si="0"/>
        <v>2022</v>
      </c>
      <c r="D220" s="114">
        <f t="shared" si="1"/>
        <v>7</v>
      </c>
      <c r="E220" s="114" t="s">
        <v>8</v>
      </c>
      <c r="F220" s="114" t="s">
        <v>194</v>
      </c>
      <c r="G220" s="115" t="s">
        <v>107</v>
      </c>
      <c r="H220" s="185" t="s">
        <v>107</v>
      </c>
      <c r="I220" s="185"/>
      <c r="J220" s="186">
        <v>1</v>
      </c>
      <c r="K220" s="187">
        <v>44</v>
      </c>
      <c r="L220" s="187">
        <v>26</v>
      </c>
      <c r="M220" s="187">
        <v>2</v>
      </c>
      <c r="N220" s="187">
        <v>811</v>
      </c>
      <c r="O220" s="187">
        <v>1265</v>
      </c>
      <c r="P220" s="188">
        <v>1</v>
      </c>
      <c r="Q220" s="186">
        <v>811</v>
      </c>
      <c r="R220" s="186">
        <v>1265</v>
      </c>
      <c r="S220" s="184" t="s">
        <v>59</v>
      </c>
    </row>
    <row r="221" spans="1:19">
      <c r="A221" s="111">
        <v>220</v>
      </c>
      <c r="B221" s="121">
        <v>44752</v>
      </c>
      <c r="C221" s="113">
        <f t="shared" si="0"/>
        <v>2022</v>
      </c>
      <c r="D221" s="114">
        <f t="shared" si="1"/>
        <v>7</v>
      </c>
      <c r="E221" s="114" t="s">
        <v>88</v>
      </c>
      <c r="F221" s="114" t="s">
        <v>195</v>
      </c>
      <c r="G221" s="115" t="s">
        <v>196</v>
      </c>
      <c r="H221" s="114" t="s">
        <v>197</v>
      </c>
      <c r="I221" s="114" t="s">
        <v>184</v>
      </c>
      <c r="J221" s="186">
        <v>2</v>
      </c>
      <c r="K221" s="187">
        <v>60</v>
      </c>
      <c r="L221" s="187">
        <v>31</v>
      </c>
      <c r="M221" s="187">
        <v>2.2000000000000002</v>
      </c>
      <c r="N221" s="187">
        <v>824</v>
      </c>
      <c r="O221" s="187">
        <v>1170</v>
      </c>
      <c r="P221" s="188">
        <v>0.5</v>
      </c>
      <c r="Q221" s="186">
        <v>1648</v>
      </c>
      <c r="R221" s="186">
        <v>2340</v>
      </c>
      <c r="S221" s="184" t="s">
        <v>59</v>
      </c>
    </row>
    <row r="222" spans="1:19">
      <c r="A222" s="111">
        <v>221</v>
      </c>
      <c r="B222" s="121">
        <v>44753</v>
      </c>
      <c r="C222" s="113">
        <f t="shared" si="0"/>
        <v>2022</v>
      </c>
      <c r="D222" s="114">
        <f t="shared" si="1"/>
        <v>7</v>
      </c>
      <c r="E222" s="114" t="s">
        <v>104</v>
      </c>
      <c r="F222" s="114" t="s">
        <v>198</v>
      </c>
      <c r="G222" s="115" t="s">
        <v>199</v>
      </c>
      <c r="H222" s="114" t="s">
        <v>199</v>
      </c>
      <c r="I222" s="114" t="s">
        <v>200</v>
      </c>
      <c r="J222" s="119">
        <v>0</v>
      </c>
      <c r="K222" s="117">
        <v>0</v>
      </c>
      <c r="L222" s="117">
        <v>0</v>
      </c>
      <c r="M222" s="117">
        <v>0</v>
      </c>
      <c r="N222" s="117">
        <v>0</v>
      </c>
      <c r="O222" s="117">
        <v>0</v>
      </c>
      <c r="P222" s="118">
        <v>0</v>
      </c>
      <c r="Q222" s="119">
        <v>0</v>
      </c>
      <c r="R222" s="119">
        <v>0</v>
      </c>
      <c r="S222" s="184" t="s">
        <v>59</v>
      </c>
    </row>
    <row r="223" spans="1:19">
      <c r="A223" s="111">
        <v>222</v>
      </c>
      <c r="B223" s="121">
        <v>44754</v>
      </c>
      <c r="C223" s="113">
        <f t="shared" si="0"/>
        <v>2022</v>
      </c>
      <c r="D223" s="114">
        <f t="shared" si="1"/>
        <v>7</v>
      </c>
      <c r="E223" s="114" t="s">
        <v>201</v>
      </c>
      <c r="F223" s="114" t="s">
        <v>202</v>
      </c>
      <c r="G223" s="115" t="s">
        <v>203</v>
      </c>
      <c r="H223" s="114" t="s">
        <v>204</v>
      </c>
      <c r="I223" s="114" t="s">
        <v>173</v>
      </c>
      <c r="J223" s="119">
        <v>0</v>
      </c>
      <c r="K223" s="117">
        <v>0</v>
      </c>
      <c r="L223" s="117">
        <v>0</v>
      </c>
      <c r="M223" s="117">
        <v>0</v>
      </c>
      <c r="N223" s="117">
        <v>0</v>
      </c>
      <c r="O223" s="117">
        <v>0</v>
      </c>
      <c r="P223" s="118">
        <v>0</v>
      </c>
      <c r="Q223" s="119">
        <v>0</v>
      </c>
      <c r="R223" s="119">
        <v>0</v>
      </c>
      <c r="S223" s="184" t="s">
        <v>59</v>
      </c>
    </row>
    <row r="224" spans="1:19">
      <c r="A224" s="111">
        <v>223</v>
      </c>
      <c r="B224" s="121">
        <v>44755</v>
      </c>
      <c r="C224" s="113">
        <f t="shared" si="0"/>
        <v>2022</v>
      </c>
      <c r="D224" s="114">
        <f t="shared" si="1"/>
        <v>7</v>
      </c>
      <c r="E224" s="114" t="s">
        <v>30</v>
      </c>
      <c r="F224" s="114" t="s">
        <v>205</v>
      </c>
      <c r="G224" s="115" t="s">
        <v>206</v>
      </c>
      <c r="H224" s="114" t="s">
        <v>207</v>
      </c>
      <c r="I224" s="114" t="s">
        <v>184</v>
      </c>
      <c r="J224" s="119">
        <v>0</v>
      </c>
      <c r="K224" s="117">
        <v>0</v>
      </c>
      <c r="L224" s="117">
        <v>0</v>
      </c>
      <c r="M224" s="117">
        <v>0</v>
      </c>
      <c r="N224" s="117">
        <v>0</v>
      </c>
      <c r="O224" s="117">
        <v>0</v>
      </c>
      <c r="P224" s="118">
        <v>0</v>
      </c>
      <c r="Q224" s="119">
        <v>0</v>
      </c>
      <c r="R224" s="119">
        <v>0</v>
      </c>
      <c r="S224" s="184" t="s">
        <v>59</v>
      </c>
    </row>
    <row r="225" spans="1:19">
      <c r="A225" s="111">
        <v>224</v>
      </c>
      <c r="B225" s="121">
        <v>44756</v>
      </c>
      <c r="C225" s="113">
        <f t="shared" si="0"/>
        <v>2022</v>
      </c>
      <c r="D225" s="114">
        <f t="shared" si="1"/>
        <v>7</v>
      </c>
      <c r="E225" s="114" t="s">
        <v>10</v>
      </c>
      <c r="F225" s="114" t="s">
        <v>208</v>
      </c>
      <c r="G225" s="115" t="s">
        <v>209</v>
      </c>
      <c r="H225" s="114" t="s">
        <v>210</v>
      </c>
      <c r="I225" s="114" t="s">
        <v>173</v>
      </c>
      <c r="J225" s="186">
        <v>3</v>
      </c>
      <c r="K225" s="187">
        <v>71</v>
      </c>
      <c r="L225" s="187">
        <v>32</v>
      </c>
      <c r="M225" s="187">
        <v>2.2999999999999998</v>
      </c>
      <c r="N225" s="187">
        <v>2105</v>
      </c>
      <c r="O225" s="187">
        <v>3079</v>
      </c>
      <c r="P225" s="188">
        <v>0</v>
      </c>
      <c r="Q225" s="186">
        <v>6316</v>
      </c>
      <c r="R225" s="186">
        <v>9237</v>
      </c>
      <c r="S225" s="184" t="s">
        <v>59</v>
      </c>
    </row>
    <row r="226" spans="1:19">
      <c r="A226" s="111">
        <v>225</v>
      </c>
      <c r="B226" s="121">
        <v>44757</v>
      </c>
      <c r="C226" s="113">
        <f t="shared" si="0"/>
        <v>2022</v>
      </c>
      <c r="D226" s="114">
        <f t="shared" si="1"/>
        <v>7</v>
      </c>
      <c r="E226" s="114" t="s">
        <v>10</v>
      </c>
      <c r="F226" s="114" t="s">
        <v>211</v>
      </c>
      <c r="G226" s="115" t="s">
        <v>212</v>
      </c>
      <c r="H226" s="114" t="s">
        <v>213</v>
      </c>
      <c r="I226" s="114" t="s">
        <v>173</v>
      </c>
      <c r="J226" s="119">
        <v>0</v>
      </c>
      <c r="K226" s="117">
        <v>0</v>
      </c>
      <c r="L226" s="117">
        <v>0</v>
      </c>
      <c r="M226" s="117">
        <v>0</v>
      </c>
      <c r="N226" s="117">
        <v>0</v>
      </c>
      <c r="O226" s="117">
        <v>0</v>
      </c>
      <c r="P226" s="118">
        <v>0</v>
      </c>
      <c r="Q226" s="119">
        <v>0</v>
      </c>
      <c r="R226" s="119">
        <v>0</v>
      </c>
      <c r="S226" s="184" t="s">
        <v>59</v>
      </c>
    </row>
    <row r="227" spans="1:19">
      <c r="A227" s="111">
        <v>226</v>
      </c>
      <c r="B227" s="121">
        <v>44758</v>
      </c>
      <c r="C227" s="113">
        <f t="shared" si="0"/>
        <v>2022</v>
      </c>
      <c r="D227" s="114">
        <f t="shared" si="1"/>
        <v>7</v>
      </c>
      <c r="E227" s="114" t="s">
        <v>10</v>
      </c>
      <c r="F227" s="114" t="s">
        <v>214</v>
      </c>
      <c r="G227" s="115" t="s">
        <v>215</v>
      </c>
      <c r="H227" s="114" t="s">
        <v>216</v>
      </c>
      <c r="I227" s="114" t="s">
        <v>184</v>
      </c>
      <c r="J227" s="119">
        <v>0</v>
      </c>
      <c r="K227" s="117">
        <v>0</v>
      </c>
      <c r="L227" s="117">
        <v>0</v>
      </c>
      <c r="M227" s="117">
        <v>0</v>
      </c>
      <c r="N227" s="117">
        <v>0</v>
      </c>
      <c r="O227" s="117">
        <v>0</v>
      </c>
      <c r="P227" s="118">
        <v>0</v>
      </c>
      <c r="Q227" s="119">
        <v>0</v>
      </c>
      <c r="R227" s="119">
        <v>0</v>
      </c>
      <c r="S227" s="184" t="s">
        <v>59</v>
      </c>
    </row>
    <row r="228" spans="1:19">
      <c r="A228" s="111">
        <v>227</v>
      </c>
      <c r="B228" s="121">
        <v>44759</v>
      </c>
      <c r="C228" s="113">
        <f t="shared" si="0"/>
        <v>2022</v>
      </c>
      <c r="D228" s="114">
        <f t="shared" si="1"/>
        <v>7</v>
      </c>
      <c r="E228" s="114" t="s">
        <v>9</v>
      </c>
      <c r="F228" s="114" t="s">
        <v>217</v>
      </c>
      <c r="G228" s="115" t="s">
        <v>218</v>
      </c>
      <c r="H228" s="114" t="s">
        <v>219</v>
      </c>
      <c r="I228" s="114" t="s">
        <v>184</v>
      </c>
      <c r="J228" s="186">
        <v>4</v>
      </c>
      <c r="K228" s="187">
        <v>68</v>
      </c>
      <c r="L228" s="187">
        <v>28</v>
      </c>
      <c r="M228" s="187">
        <v>2.6</v>
      </c>
      <c r="N228" s="187">
        <v>2344</v>
      </c>
      <c r="O228" s="187">
        <v>3584</v>
      </c>
      <c r="P228" s="188">
        <v>0.5</v>
      </c>
      <c r="Q228" s="186">
        <v>9376</v>
      </c>
      <c r="R228" s="186">
        <v>14334</v>
      </c>
      <c r="S228" s="184" t="s">
        <v>59</v>
      </c>
    </row>
    <row r="229" spans="1:19">
      <c r="A229" s="111">
        <v>228</v>
      </c>
      <c r="B229" s="121">
        <v>44760</v>
      </c>
      <c r="C229" s="113">
        <f t="shared" si="0"/>
        <v>2022</v>
      </c>
      <c r="D229" s="114">
        <f t="shared" si="1"/>
        <v>7</v>
      </c>
      <c r="E229" s="114" t="s">
        <v>11</v>
      </c>
      <c r="F229" s="114" t="s">
        <v>220</v>
      </c>
      <c r="G229" s="115" t="s">
        <v>221</v>
      </c>
      <c r="H229" s="114" t="s">
        <v>222</v>
      </c>
      <c r="I229" s="114" t="s">
        <v>184</v>
      </c>
      <c r="J229" s="186">
        <v>1</v>
      </c>
      <c r="K229" s="187">
        <v>52</v>
      </c>
      <c r="L229" s="187">
        <v>26</v>
      </c>
      <c r="M229" s="187">
        <v>2.2999999999999998</v>
      </c>
      <c r="N229" s="187">
        <v>528</v>
      </c>
      <c r="O229" s="187">
        <v>765</v>
      </c>
      <c r="P229" s="188">
        <v>1</v>
      </c>
      <c r="Q229" s="186">
        <v>528</v>
      </c>
      <c r="R229" s="186">
        <v>765</v>
      </c>
      <c r="S229" s="184" t="s">
        <v>59</v>
      </c>
    </row>
    <row r="230" spans="1:19">
      <c r="A230" s="111">
        <v>229</v>
      </c>
      <c r="B230" s="121">
        <v>44761</v>
      </c>
      <c r="C230" s="113">
        <f t="shared" si="0"/>
        <v>2022</v>
      </c>
      <c r="D230" s="114">
        <f t="shared" si="1"/>
        <v>7</v>
      </c>
      <c r="E230" s="114" t="s">
        <v>91</v>
      </c>
      <c r="F230" s="114" t="s">
        <v>178</v>
      </c>
      <c r="G230" s="115" t="s">
        <v>179</v>
      </c>
      <c r="H230" s="114" t="s">
        <v>180</v>
      </c>
      <c r="I230" s="114" t="s">
        <v>173</v>
      </c>
      <c r="J230" s="186">
        <v>2</v>
      </c>
      <c r="K230" s="187">
        <v>53</v>
      </c>
      <c r="L230" s="187">
        <v>24</v>
      </c>
      <c r="M230" s="187">
        <v>2.4</v>
      </c>
      <c r="N230" s="187">
        <v>805</v>
      </c>
      <c r="O230" s="187">
        <v>1155</v>
      </c>
      <c r="P230" s="188">
        <v>0.5</v>
      </c>
      <c r="Q230" s="186">
        <v>1609</v>
      </c>
      <c r="R230" s="186">
        <v>3464</v>
      </c>
      <c r="S230" s="184" t="s">
        <v>59</v>
      </c>
    </row>
    <row r="231" spans="1:19">
      <c r="A231" s="111">
        <v>230</v>
      </c>
      <c r="B231" s="121">
        <v>44762</v>
      </c>
      <c r="C231" s="113">
        <f t="shared" si="0"/>
        <v>2022</v>
      </c>
      <c r="D231" s="114">
        <f t="shared" si="1"/>
        <v>7</v>
      </c>
      <c r="E231" s="114" t="s">
        <v>23</v>
      </c>
      <c r="F231" s="114" t="s">
        <v>223</v>
      </c>
      <c r="G231" s="115" t="s">
        <v>175</v>
      </c>
      <c r="H231" s="114" t="s">
        <v>176</v>
      </c>
      <c r="I231" s="114" t="s">
        <v>173</v>
      </c>
      <c r="J231" s="186">
        <v>5</v>
      </c>
      <c r="K231" s="187">
        <v>66</v>
      </c>
      <c r="L231" s="187">
        <v>31</v>
      </c>
      <c r="M231" s="187">
        <v>2.2999999999999998</v>
      </c>
      <c r="N231" s="187">
        <v>1384</v>
      </c>
      <c r="O231" s="187">
        <v>2014</v>
      </c>
      <c r="P231" s="188">
        <v>0</v>
      </c>
      <c r="Q231" s="186">
        <v>6920</v>
      </c>
      <c r="R231" s="186">
        <v>10068</v>
      </c>
      <c r="S231" s="184" t="s">
        <v>59</v>
      </c>
    </row>
    <row r="232" spans="1:19">
      <c r="A232" s="111">
        <v>231</v>
      </c>
      <c r="B232" s="121">
        <v>44763</v>
      </c>
      <c r="C232" s="113">
        <f t="shared" si="0"/>
        <v>2022</v>
      </c>
      <c r="D232" s="114">
        <f t="shared" si="1"/>
        <v>7</v>
      </c>
      <c r="E232" s="114" t="s">
        <v>23</v>
      </c>
      <c r="F232" s="114" t="s">
        <v>224</v>
      </c>
      <c r="G232" s="115" t="s">
        <v>107</v>
      </c>
      <c r="H232" s="114" t="s">
        <v>107</v>
      </c>
      <c r="I232" s="114" t="s">
        <v>107</v>
      </c>
      <c r="J232" s="119">
        <v>0</v>
      </c>
      <c r="K232" s="117">
        <v>0</v>
      </c>
      <c r="L232" s="117">
        <v>0</v>
      </c>
      <c r="M232" s="117">
        <v>0</v>
      </c>
      <c r="N232" s="117">
        <v>0</v>
      </c>
      <c r="O232" s="117">
        <v>0</v>
      </c>
      <c r="P232" s="118">
        <v>0</v>
      </c>
      <c r="Q232" s="119">
        <v>0</v>
      </c>
      <c r="R232" s="119">
        <v>0</v>
      </c>
      <c r="S232" s="184" t="s">
        <v>59</v>
      </c>
    </row>
    <row r="233" spans="1:19">
      <c r="A233" s="111">
        <v>232</v>
      </c>
      <c r="B233" s="121">
        <v>44764</v>
      </c>
      <c r="C233" s="113">
        <f t="shared" si="0"/>
        <v>2022</v>
      </c>
      <c r="D233" s="114">
        <f t="shared" si="1"/>
        <v>7</v>
      </c>
      <c r="E233" s="114" t="s">
        <v>15</v>
      </c>
      <c r="F233" s="114" t="s">
        <v>225</v>
      </c>
      <c r="G233" s="115" t="s">
        <v>226</v>
      </c>
      <c r="H233" s="114" t="s">
        <v>227</v>
      </c>
      <c r="I233" s="114" t="s">
        <v>173</v>
      </c>
      <c r="J233" s="186">
        <v>4</v>
      </c>
      <c r="K233" s="187">
        <v>43</v>
      </c>
      <c r="L233" s="187">
        <v>24</v>
      </c>
      <c r="M233" s="187">
        <v>1.9</v>
      </c>
      <c r="N233" s="187">
        <v>829</v>
      </c>
      <c r="O233" s="187">
        <v>1052</v>
      </c>
      <c r="P233" s="188">
        <v>0</v>
      </c>
      <c r="Q233" s="186">
        <v>3316</v>
      </c>
      <c r="R233" s="186">
        <v>4207</v>
      </c>
      <c r="S233" s="184" t="s">
        <v>59</v>
      </c>
    </row>
    <row r="234" spans="1:19">
      <c r="A234" s="111">
        <v>233</v>
      </c>
      <c r="B234" s="121">
        <v>44765</v>
      </c>
      <c r="C234" s="113">
        <f t="shared" si="0"/>
        <v>2022</v>
      </c>
      <c r="D234" s="114">
        <f t="shared" si="1"/>
        <v>7</v>
      </c>
      <c r="E234" s="114" t="s">
        <v>84</v>
      </c>
      <c r="F234" s="114" t="s">
        <v>228</v>
      </c>
      <c r="G234" s="115" t="s">
        <v>229</v>
      </c>
      <c r="H234" s="114" t="s">
        <v>230</v>
      </c>
      <c r="I234" s="114" t="s">
        <v>184</v>
      </c>
      <c r="J234" s="186">
        <v>3</v>
      </c>
      <c r="K234" s="187">
        <v>48</v>
      </c>
      <c r="L234" s="187">
        <v>27</v>
      </c>
      <c r="M234" s="187">
        <v>1.9</v>
      </c>
      <c r="N234" s="187">
        <v>623</v>
      </c>
      <c r="O234" s="187">
        <v>842</v>
      </c>
      <c r="P234" s="188">
        <v>0.67</v>
      </c>
      <c r="Q234" s="186">
        <v>1869</v>
      </c>
      <c r="R234" s="186">
        <v>2527</v>
      </c>
      <c r="S234" s="184" t="s">
        <v>59</v>
      </c>
    </row>
    <row r="235" spans="1:19">
      <c r="A235" s="111">
        <v>234</v>
      </c>
      <c r="B235" s="121">
        <v>44766</v>
      </c>
      <c r="C235" s="113">
        <f t="shared" si="0"/>
        <v>2022</v>
      </c>
      <c r="D235" s="114">
        <f t="shared" si="1"/>
        <v>7</v>
      </c>
      <c r="E235" s="114" t="s">
        <v>84</v>
      </c>
      <c r="F235" s="114" t="s">
        <v>231</v>
      </c>
      <c r="G235" s="115" t="s">
        <v>232</v>
      </c>
      <c r="H235" s="114" t="s">
        <v>233</v>
      </c>
      <c r="I235" s="114" t="s">
        <v>184</v>
      </c>
      <c r="J235" s="119">
        <v>0</v>
      </c>
      <c r="K235" s="117">
        <v>0</v>
      </c>
      <c r="L235" s="117">
        <v>0</v>
      </c>
      <c r="M235" s="117">
        <v>0</v>
      </c>
      <c r="N235" s="117">
        <v>0</v>
      </c>
      <c r="O235" s="117">
        <v>0</v>
      </c>
      <c r="P235" s="118">
        <v>0</v>
      </c>
      <c r="Q235" s="119">
        <v>0</v>
      </c>
      <c r="R235" s="119">
        <v>0</v>
      </c>
      <c r="S235" s="184" t="s">
        <v>59</v>
      </c>
    </row>
    <row r="236" spans="1:19">
      <c r="A236" s="111">
        <v>235</v>
      </c>
      <c r="B236" s="121">
        <v>44767</v>
      </c>
      <c r="C236" s="113">
        <f t="shared" si="0"/>
        <v>2022</v>
      </c>
      <c r="D236" s="114">
        <f t="shared" si="1"/>
        <v>7</v>
      </c>
      <c r="E236" s="114" t="s">
        <v>22</v>
      </c>
      <c r="F236" s="114" t="s">
        <v>174</v>
      </c>
      <c r="G236" s="115" t="s">
        <v>175</v>
      </c>
      <c r="H236" s="114" t="s">
        <v>176</v>
      </c>
      <c r="I236" s="114" t="s">
        <v>173</v>
      </c>
      <c r="J236" s="186">
        <v>4</v>
      </c>
      <c r="K236" s="187">
        <v>74</v>
      </c>
      <c r="L236" s="187">
        <v>36</v>
      </c>
      <c r="M236" s="187">
        <v>2.2000000000000002</v>
      </c>
      <c r="N236" s="187">
        <v>2072</v>
      </c>
      <c r="O236" s="187">
        <v>3273</v>
      </c>
      <c r="P236" s="188">
        <v>0</v>
      </c>
      <c r="Q236" s="186">
        <v>8289</v>
      </c>
      <c r="R236" s="186">
        <v>13091</v>
      </c>
      <c r="S236" s="184" t="s">
        <v>59</v>
      </c>
    </row>
    <row r="237" spans="1:19">
      <c r="A237" s="111">
        <v>236</v>
      </c>
      <c r="B237" s="121">
        <v>44768</v>
      </c>
      <c r="C237" s="113">
        <f t="shared" si="0"/>
        <v>2022</v>
      </c>
      <c r="D237" s="114">
        <f t="shared" si="1"/>
        <v>7</v>
      </c>
      <c r="E237" s="114" t="s">
        <v>22</v>
      </c>
      <c r="F237" s="114" t="s">
        <v>177</v>
      </c>
      <c r="G237" s="115" t="s">
        <v>175</v>
      </c>
      <c r="H237" s="114" t="s">
        <v>176</v>
      </c>
      <c r="I237" s="114" t="s">
        <v>173</v>
      </c>
      <c r="J237" s="119">
        <v>0</v>
      </c>
      <c r="K237" s="117">
        <v>0</v>
      </c>
      <c r="L237" s="117">
        <v>0</v>
      </c>
      <c r="M237" s="117">
        <v>0</v>
      </c>
      <c r="N237" s="117">
        <v>0</v>
      </c>
      <c r="O237" s="117">
        <v>0</v>
      </c>
      <c r="P237" s="118">
        <v>0</v>
      </c>
      <c r="Q237" s="119">
        <v>0</v>
      </c>
      <c r="R237" s="119">
        <v>0</v>
      </c>
      <c r="S237" s="184" t="s">
        <v>59</v>
      </c>
    </row>
    <row r="238" spans="1:19">
      <c r="A238" s="111">
        <v>237</v>
      </c>
      <c r="B238" s="121">
        <v>44769</v>
      </c>
      <c r="C238" s="113">
        <f t="shared" si="0"/>
        <v>2022</v>
      </c>
      <c r="D238" s="114">
        <f t="shared" si="1"/>
        <v>7</v>
      </c>
      <c r="E238" s="114" t="s">
        <v>22</v>
      </c>
      <c r="F238" s="114" t="s">
        <v>223</v>
      </c>
      <c r="G238" s="115" t="s">
        <v>175</v>
      </c>
      <c r="H238" s="114" t="s">
        <v>176</v>
      </c>
      <c r="I238" s="114" t="s">
        <v>173</v>
      </c>
      <c r="J238" s="119">
        <v>0</v>
      </c>
      <c r="K238" s="117">
        <v>0</v>
      </c>
      <c r="L238" s="117">
        <v>0</v>
      </c>
      <c r="M238" s="117">
        <v>0</v>
      </c>
      <c r="N238" s="117">
        <v>0</v>
      </c>
      <c r="O238" s="117">
        <v>0</v>
      </c>
      <c r="P238" s="118">
        <v>0</v>
      </c>
      <c r="Q238" s="119">
        <v>0</v>
      </c>
      <c r="R238" s="119">
        <v>0</v>
      </c>
      <c r="S238" s="184" t="s">
        <v>59</v>
      </c>
    </row>
    <row r="239" spans="1:19">
      <c r="A239" s="111">
        <v>238</v>
      </c>
      <c r="B239" s="121">
        <v>44770</v>
      </c>
      <c r="C239" s="113">
        <f t="shared" si="0"/>
        <v>2022</v>
      </c>
      <c r="D239" s="114">
        <f t="shared" si="1"/>
        <v>7</v>
      </c>
      <c r="E239" s="114" t="s">
        <v>12</v>
      </c>
      <c r="F239" s="114" t="s">
        <v>220</v>
      </c>
      <c r="G239" s="115" t="s">
        <v>221</v>
      </c>
      <c r="H239" s="114" t="s">
        <v>222</v>
      </c>
      <c r="I239" s="114" t="s">
        <v>184</v>
      </c>
      <c r="J239" s="186">
        <v>1</v>
      </c>
      <c r="K239" s="187">
        <v>34</v>
      </c>
      <c r="L239" s="187">
        <v>18</v>
      </c>
      <c r="M239" s="187">
        <v>2.1</v>
      </c>
      <c r="N239" s="187">
        <v>723</v>
      </c>
      <c r="O239" s="187">
        <v>1082</v>
      </c>
      <c r="P239" s="188">
        <v>0</v>
      </c>
      <c r="Q239" s="186">
        <v>723</v>
      </c>
      <c r="R239" s="186">
        <v>1082</v>
      </c>
      <c r="S239" s="184" t="s">
        <v>59</v>
      </c>
    </row>
    <row r="240" spans="1:19">
      <c r="A240" s="111">
        <v>239</v>
      </c>
      <c r="B240" s="121">
        <v>44771</v>
      </c>
      <c r="C240" s="113">
        <f t="shared" si="0"/>
        <v>2022</v>
      </c>
      <c r="D240" s="114">
        <f t="shared" si="1"/>
        <v>7</v>
      </c>
      <c r="E240" s="114" t="s">
        <v>12</v>
      </c>
      <c r="F240" s="114" t="s">
        <v>234</v>
      </c>
      <c r="G240" s="115" t="s">
        <v>235</v>
      </c>
      <c r="H240" s="114" t="s">
        <v>236</v>
      </c>
      <c r="I240" s="114" t="s">
        <v>184</v>
      </c>
      <c r="J240" s="186">
        <v>3</v>
      </c>
      <c r="K240" s="187">
        <v>38</v>
      </c>
      <c r="L240" s="187">
        <v>20</v>
      </c>
      <c r="M240" s="187">
        <v>2.1</v>
      </c>
      <c r="N240" s="187">
        <v>602</v>
      </c>
      <c r="O240" s="187">
        <v>881</v>
      </c>
      <c r="P240" s="188">
        <v>0.33</v>
      </c>
      <c r="Q240" s="186">
        <v>1805</v>
      </c>
      <c r="R240" s="186">
        <v>2644</v>
      </c>
      <c r="S240" s="184" t="s">
        <v>59</v>
      </c>
    </row>
    <row r="241" spans="1:19">
      <c r="A241" s="111">
        <v>240</v>
      </c>
      <c r="B241" s="121">
        <v>44772</v>
      </c>
      <c r="C241" s="113">
        <f t="shared" si="0"/>
        <v>2022</v>
      </c>
      <c r="D241" s="114">
        <f t="shared" si="1"/>
        <v>7</v>
      </c>
      <c r="E241" s="114" t="s">
        <v>12</v>
      </c>
      <c r="F241" s="114" t="s">
        <v>237</v>
      </c>
      <c r="G241" s="115" t="s">
        <v>199</v>
      </c>
      <c r="H241" s="114" t="s">
        <v>199</v>
      </c>
      <c r="I241" s="114" t="s">
        <v>200</v>
      </c>
      <c r="J241" s="119">
        <v>0</v>
      </c>
      <c r="K241" s="117">
        <v>0</v>
      </c>
      <c r="L241" s="117">
        <v>0</v>
      </c>
      <c r="M241" s="117">
        <v>0</v>
      </c>
      <c r="N241" s="117">
        <v>0</v>
      </c>
      <c r="O241" s="117">
        <v>0</v>
      </c>
      <c r="P241" s="118">
        <v>0</v>
      </c>
      <c r="Q241" s="119">
        <v>0</v>
      </c>
      <c r="R241" s="119">
        <v>0</v>
      </c>
      <c r="S241" s="184" t="s">
        <v>59</v>
      </c>
    </row>
    <row r="242" spans="1:19">
      <c r="A242" s="111">
        <v>241</v>
      </c>
      <c r="B242" s="121">
        <v>44773</v>
      </c>
      <c r="C242" s="113">
        <f t="shared" si="0"/>
        <v>2022</v>
      </c>
      <c r="D242" s="114">
        <f t="shared" si="1"/>
        <v>7</v>
      </c>
      <c r="E242" s="114" t="s">
        <v>26</v>
      </c>
      <c r="F242" s="114" t="s">
        <v>238</v>
      </c>
      <c r="G242" s="115" t="s">
        <v>175</v>
      </c>
      <c r="H242" s="114" t="s">
        <v>176</v>
      </c>
      <c r="I242" s="114" t="s">
        <v>173</v>
      </c>
      <c r="J242" s="119">
        <v>0</v>
      </c>
      <c r="K242" s="117">
        <v>0</v>
      </c>
      <c r="L242" s="117">
        <v>0</v>
      </c>
      <c r="M242" s="117">
        <v>0</v>
      </c>
      <c r="N242" s="117">
        <v>0</v>
      </c>
      <c r="O242" s="117">
        <v>0</v>
      </c>
      <c r="P242" s="118">
        <v>0</v>
      </c>
      <c r="Q242" s="119">
        <v>0</v>
      </c>
      <c r="R242" s="119">
        <v>0</v>
      </c>
      <c r="S242" s="184" t="s">
        <v>59</v>
      </c>
    </row>
    <row r="243" spans="1:19">
      <c r="A243" s="111">
        <v>242</v>
      </c>
      <c r="B243" s="121">
        <v>44743</v>
      </c>
      <c r="C243" s="113">
        <f t="shared" si="0"/>
        <v>2022</v>
      </c>
      <c r="D243" s="114">
        <f t="shared" si="1"/>
        <v>7</v>
      </c>
      <c r="E243" s="114" t="s">
        <v>19</v>
      </c>
      <c r="F243" s="114" t="s">
        <v>178</v>
      </c>
      <c r="G243" s="115" t="s">
        <v>179</v>
      </c>
      <c r="H243" s="114" t="s">
        <v>180</v>
      </c>
      <c r="I243" s="114" t="s">
        <v>173</v>
      </c>
      <c r="J243" s="186">
        <v>1</v>
      </c>
      <c r="K243" s="187">
        <v>38</v>
      </c>
      <c r="L243" s="187">
        <v>23</v>
      </c>
      <c r="M243" s="187">
        <v>1.9</v>
      </c>
      <c r="N243" s="187">
        <v>519</v>
      </c>
      <c r="O243" s="187">
        <v>790</v>
      </c>
      <c r="P243" s="188">
        <v>0</v>
      </c>
      <c r="Q243" s="186">
        <v>519</v>
      </c>
      <c r="R243" s="186">
        <v>790</v>
      </c>
      <c r="S243" s="184" t="s">
        <v>59</v>
      </c>
    </row>
    <row r="244" spans="1:19">
      <c r="A244" s="111">
        <v>243</v>
      </c>
      <c r="B244" s="121">
        <v>44744</v>
      </c>
      <c r="C244" s="113">
        <f t="shared" si="0"/>
        <v>2022</v>
      </c>
      <c r="D244" s="114">
        <f t="shared" si="1"/>
        <v>7</v>
      </c>
      <c r="E244" s="114" t="s">
        <v>7</v>
      </c>
      <c r="F244" s="114" t="s">
        <v>239</v>
      </c>
      <c r="G244" s="115" t="s">
        <v>240</v>
      </c>
      <c r="H244" s="114" t="s">
        <v>241</v>
      </c>
      <c r="I244" s="114" t="s">
        <v>184</v>
      </c>
      <c r="J244" s="186">
        <v>5</v>
      </c>
      <c r="K244" s="187">
        <v>39</v>
      </c>
      <c r="L244" s="187">
        <v>21</v>
      </c>
      <c r="M244" s="187">
        <v>2</v>
      </c>
      <c r="N244" s="187">
        <v>618</v>
      </c>
      <c r="O244" s="187">
        <v>941</v>
      </c>
      <c r="P244" s="188">
        <v>0</v>
      </c>
      <c r="Q244" s="186">
        <v>3092</v>
      </c>
      <c r="R244" s="186">
        <v>4704</v>
      </c>
      <c r="S244" s="184" t="s">
        <v>59</v>
      </c>
    </row>
    <row r="245" spans="1:19">
      <c r="A245" s="111">
        <v>244</v>
      </c>
      <c r="B245" s="121">
        <v>44745</v>
      </c>
      <c r="C245" s="113">
        <f t="shared" si="0"/>
        <v>2022</v>
      </c>
      <c r="D245" s="114">
        <f t="shared" si="1"/>
        <v>7</v>
      </c>
      <c r="E245" s="114" t="s">
        <v>7</v>
      </c>
      <c r="F245" s="114" t="s">
        <v>220</v>
      </c>
      <c r="G245" s="115" t="s">
        <v>221</v>
      </c>
      <c r="H245" s="114" t="s">
        <v>222</v>
      </c>
      <c r="I245" s="114" t="s">
        <v>184</v>
      </c>
      <c r="J245" s="186">
        <v>3</v>
      </c>
      <c r="K245" s="187">
        <v>59</v>
      </c>
      <c r="L245" s="187">
        <v>36</v>
      </c>
      <c r="M245" s="187">
        <v>1.8</v>
      </c>
      <c r="N245" s="187">
        <v>687</v>
      </c>
      <c r="O245" s="187">
        <v>1017</v>
      </c>
      <c r="P245" s="188">
        <v>0.33</v>
      </c>
      <c r="Q245" s="186">
        <v>2062</v>
      </c>
      <c r="R245" s="186">
        <v>3050</v>
      </c>
      <c r="S245" s="184" t="s">
        <v>59</v>
      </c>
    </row>
    <row r="246" spans="1:19">
      <c r="A246" s="111">
        <v>245</v>
      </c>
      <c r="B246" s="121">
        <v>44746</v>
      </c>
      <c r="C246" s="113">
        <f t="shared" si="0"/>
        <v>2022</v>
      </c>
      <c r="D246" s="114">
        <f t="shared" si="1"/>
        <v>7</v>
      </c>
      <c r="E246" s="114" t="s">
        <v>7</v>
      </c>
      <c r="F246" s="114" t="s">
        <v>242</v>
      </c>
      <c r="G246" s="115" t="s">
        <v>243</v>
      </c>
      <c r="H246" s="114" t="s">
        <v>244</v>
      </c>
      <c r="I246" s="114" t="s">
        <v>184</v>
      </c>
      <c r="J246" s="186">
        <v>2</v>
      </c>
      <c r="K246" s="187">
        <v>49</v>
      </c>
      <c r="L246" s="187">
        <v>21</v>
      </c>
      <c r="M246" s="187">
        <v>2.5</v>
      </c>
      <c r="N246" s="187">
        <v>1162</v>
      </c>
      <c r="O246" s="187">
        <v>1856</v>
      </c>
      <c r="P246" s="188">
        <v>0</v>
      </c>
      <c r="Q246" s="186">
        <v>2324</v>
      </c>
      <c r="R246" s="186">
        <v>3712</v>
      </c>
      <c r="S246" s="184" t="s">
        <v>59</v>
      </c>
    </row>
    <row r="247" spans="1:19">
      <c r="A247" s="111">
        <v>246</v>
      </c>
      <c r="B247" s="121">
        <v>44774</v>
      </c>
      <c r="C247" s="113">
        <f t="shared" si="0"/>
        <v>2022</v>
      </c>
      <c r="D247" s="114">
        <f t="shared" si="1"/>
        <v>8</v>
      </c>
      <c r="E247" s="114" t="s">
        <v>79</v>
      </c>
      <c r="F247" s="114" t="s">
        <v>170</v>
      </c>
      <c r="G247" s="115" t="s">
        <v>171</v>
      </c>
      <c r="H247" s="114" t="s">
        <v>172</v>
      </c>
      <c r="I247" s="114" t="s">
        <v>173</v>
      </c>
      <c r="J247" s="186">
        <v>3</v>
      </c>
      <c r="K247" s="187">
        <v>59</v>
      </c>
      <c r="L247" s="187">
        <v>32</v>
      </c>
      <c r="M247" s="187">
        <v>2.2000000000000002</v>
      </c>
      <c r="N247" s="187">
        <v>881</v>
      </c>
      <c r="O247" s="187">
        <v>1291</v>
      </c>
      <c r="P247" s="188">
        <v>0.33</v>
      </c>
      <c r="Q247" s="186">
        <v>2644</v>
      </c>
      <c r="R247" s="186">
        <v>3872</v>
      </c>
      <c r="S247" s="184" t="s">
        <v>59</v>
      </c>
    </row>
    <row r="248" spans="1:19">
      <c r="A248" s="111">
        <v>247</v>
      </c>
      <c r="B248" s="121">
        <v>44775</v>
      </c>
      <c r="C248" s="113">
        <f t="shared" si="0"/>
        <v>2022</v>
      </c>
      <c r="D248" s="114">
        <f t="shared" si="1"/>
        <v>8</v>
      </c>
      <c r="E248" s="114" t="s">
        <v>79</v>
      </c>
      <c r="F248" s="114" t="s">
        <v>174</v>
      </c>
      <c r="G248" s="115" t="s">
        <v>175</v>
      </c>
      <c r="H248" s="114" t="s">
        <v>176</v>
      </c>
      <c r="I248" s="114" t="s">
        <v>173</v>
      </c>
      <c r="J248" s="119">
        <v>0</v>
      </c>
      <c r="K248" s="117">
        <v>0</v>
      </c>
      <c r="L248" s="117">
        <v>0</v>
      </c>
      <c r="M248" s="117">
        <v>0</v>
      </c>
      <c r="N248" s="117">
        <v>0</v>
      </c>
      <c r="O248" s="117">
        <v>0</v>
      </c>
      <c r="P248" s="118">
        <v>0</v>
      </c>
      <c r="Q248" s="119">
        <v>0</v>
      </c>
      <c r="R248" s="119">
        <v>0</v>
      </c>
      <c r="S248" s="184" t="s">
        <v>59</v>
      </c>
    </row>
    <row r="249" spans="1:19">
      <c r="A249" s="111">
        <v>248</v>
      </c>
      <c r="B249" s="121">
        <v>44776</v>
      </c>
      <c r="C249" s="113">
        <f t="shared" si="0"/>
        <v>2022</v>
      </c>
      <c r="D249" s="114">
        <f t="shared" si="1"/>
        <v>8</v>
      </c>
      <c r="E249" s="114" t="s">
        <v>79</v>
      </c>
      <c r="F249" s="114" t="s">
        <v>177</v>
      </c>
      <c r="G249" s="115" t="s">
        <v>175</v>
      </c>
      <c r="H249" s="114" t="s">
        <v>176</v>
      </c>
      <c r="I249" s="114" t="s">
        <v>173</v>
      </c>
      <c r="J249" s="186">
        <v>5</v>
      </c>
      <c r="K249" s="187">
        <v>92</v>
      </c>
      <c r="L249" s="187">
        <v>36</v>
      </c>
      <c r="M249" s="187">
        <v>2.7</v>
      </c>
      <c r="N249" s="187">
        <v>1893</v>
      </c>
      <c r="O249" s="187">
        <v>2831</v>
      </c>
      <c r="P249" s="188">
        <v>1</v>
      </c>
      <c r="Q249" s="186">
        <v>9467</v>
      </c>
      <c r="R249" s="186">
        <v>14157</v>
      </c>
      <c r="S249" s="184" t="s">
        <v>59</v>
      </c>
    </row>
    <row r="250" spans="1:19">
      <c r="A250" s="111">
        <v>249</v>
      </c>
      <c r="B250" s="121">
        <v>44777</v>
      </c>
      <c r="C250" s="113">
        <f t="shared" si="0"/>
        <v>2022</v>
      </c>
      <c r="D250" s="114">
        <f t="shared" si="1"/>
        <v>8</v>
      </c>
      <c r="E250" s="114" t="s">
        <v>20</v>
      </c>
      <c r="F250" s="114" t="s">
        <v>178</v>
      </c>
      <c r="G250" s="115" t="s">
        <v>179</v>
      </c>
      <c r="H250" s="114" t="s">
        <v>180</v>
      </c>
      <c r="I250" s="114" t="s">
        <v>173</v>
      </c>
      <c r="J250" s="186">
        <v>2</v>
      </c>
      <c r="K250" s="187">
        <v>39</v>
      </c>
      <c r="L250" s="187">
        <v>27</v>
      </c>
      <c r="M250" s="187">
        <v>1.6</v>
      </c>
      <c r="N250" s="187">
        <v>822</v>
      </c>
      <c r="O250" s="187">
        <v>1233</v>
      </c>
      <c r="P250" s="188">
        <v>0</v>
      </c>
      <c r="Q250" s="186">
        <v>1644</v>
      </c>
      <c r="R250" s="186">
        <v>2466</v>
      </c>
      <c r="S250" s="184" t="s">
        <v>59</v>
      </c>
    </row>
    <row r="251" spans="1:19">
      <c r="A251" s="111">
        <v>250</v>
      </c>
      <c r="B251" s="121">
        <v>44778</v>
      </c>
      <c r="C251" s="113">
        <f t="shared" si="0"/>
        <v>2022</v>
      </c>
      <c r="D251" s="114">
        <f t="shared" si="1"/>
        <v>8</v>
      </c>
      <c r="E251" s="114" t="s">
        <v>8</v>
      </c>
      <c r="F251" s="114" t="s">
        <v>181</v>
      </c>
      <c r="G251" s="115" t="s">
        <v>182</v>
      </c>
      <c r="H251" s="114" t="s">
        <v>183</v>
      </c>
      <c r="I251" s="114" t="s">
        <v>184</v>
      </c>
      <c r="J251" s="186">
        <v>3</v>
      </c>
      <c r="K251" s="187">
        <v>49</v>
      </c>
      <c r="L251" s="187">
        <v>31</v>
      </c>
      <c r="M251" s="187">
        <v>2</v>
      </c>
      <c r="N251" s="187">
        <v>413</v>
      </c>
      <c r="O251" s="187">
        <v>648</v>
      </c>
      <c r="P251" s="188">
        <v>1</v>
      </c>
      <c r="Q251" s="186">
        <v>1239</v>
      </c>
      <c r="R251" s="186">
        <v>1945</v>
      </c>
      <c r="S251" s="184" t="s">
        <v>59</v>
      </c>
    </row>
    <row r="252" spans="1:19">
      <c r="A252" s="111">
        <v>251</v>
      </c>
      <c r="B252" s="121">
        <v>44779</v>
      </c>
      <c r="C252" s="113">
        <f t="shared" si="0"/>
        <v>2022</v>
      </c>
      <c r="D252" s="114">
        <f t="shared" si="1"/>
        <v>8</v>
      </c>
      <c r="E252" s="114" t="s">
        <v>8</v>
      </c>
      <c r="F252" s="114" t="s">
        <v>185</v>
      </c>
      <c r="G252" s="115" t="s">
        <v>186</v>
      </c>
      <c r="H252" s="114" t="s">
        <v>187</v>
      </c>
      <c r="I252" s="114" t="s">
        <v>184</v>
      </c>
      <c r="J252" s="186">
        <v>3</v>
      </c>
      <c r="K252" s="187">
        <v>69</v>
      </c>
      <c r="L252" s="187">
        <v>32</v>
      </c>
      <c r="M252" s="187">
        <v>2.4</v>
      </c>
      <c r="N252" s="187">
        <v>911</v>
      </c>
      <c r="O252" s="187">
        <v>1328</v>
      </c>
      <c r="P252" s="188">
        <v>0</v>
      </c>
      <c r="Q252" s="186">
        <v>2733</v>
      </c>
      <c r="R252" s="186">
        <v>3984</v>
      </c>
      <c r="S252" s="184" t="s">
        <v>59</v>
      </c>
    </row>
    <row r="253" spans="1:19">
      <c r="A253" s="111">
        <v>252</v>
      </c>
      <c r="B253" s="121">
        <v>44780</v>
      </c>
      <c r="C253" s="113">
        <f t="shared" si="0"/>
        <v>2022</v>
      </c>
      <c r="D253" s="114">
        <f t="shared" si="1"/>
        <v>8</v>
      </c>
      <c r="E253" s="114" t="s">
        <v>8</v>
      </c>
      <c r="F253" s="114" t="s">
        <v>188</v>
      </c>
      <c r="G253" s="115" t="s">
        <v>189</v>
      </c>
      <c r="H253" s="114" t="s">
        <v>190</v>
      </c>
      <c r="I253" s="114" t="s">
        <v>184</v>
      </c>
      <c r="J253" s="186">
        <v>3</v>
      </c>
      <c r="K253" s="187">
        <v>41</v>
      </c>
      <c r="L253" s="187">
        <v>26</v>
      </c>
      <c r="M253" s="187">
        <v>1.7</v>
      </c>
      <c r="N253" s="187">
        <v>711</v>
      </c>
      <c r="O253" s="187">
        <v>1053</v>
      </c>
      <c r="P253" s="188">
        <v>0.33</v>
      </c>
      <c r="Q253" s="186">
        <v>2133</v>
      </c>
      <c r="R253" s="186">
        <v>3160</v>
      </c>
      <c r="S253" s="184" t="s">
        <v>59</v>
      </c>
    </row>
    <row r="254" spans="1:19">
      <c r="A254" s="111">
        <v>253</v>
      </c>
      <c r="B254" s="121">
        <v>44781</v>
      </c>
      <c r="C254" s="113">
        <f t="shared" si="0"/>
        <v>2022</v>
      </c>
      <c r="D254" s="114">
        <f t="shared" si="1"/>
        <v>8</v>
      </c>
      <c r="E254" s="114" t="s">
        <v>8</v>
      </c>
      <c r="F254" s="114" t="s">
        <v>191</v>
      </c>
      <c r="G254" s="115" t="s">
        <v>192</v>
      </c>
      <c r="H254" s="114" t="s">
        <v>193</v>
      </c>
      <c r="I254" s="114" t="s">
        <v>173</v>
      </c>
      <c r="J254" s="186">
        <v>4</v>
      </c>
      <c r="K254" s="187">
        <v>56</v>
      </c>
      <c r="L254" s="187">
        <v>30</v>
      </c>
      <c r="M254" s="187">
        <v>2.1</v>
      </c>
      <c r="N254" s="187">
        <v>625</v>
      </c>
      <c r="O254" s="187">
        <v>940</v>
      </c>
      <c r="P254" s="188">
        <v>0.25</v>
      </c>
      <c r="Q254" s="186">
        <v>2501</v>
      </c>
      <c r="R254" s="186">
        <v>3760</v>
      </c>
      <c r="S254" s="184" t="s">
        <v>59</v>
      </c>
    </row>
    <row r="255" spans="1:19">
      <c r="A255" s="111">
        <v>254</v>
      </c>
      <c r="B255" s="121">
        <v>44782</v>
      </c>
      <c r="C255" s="113">
        <f t="shared" si="0"/>
        <v>2022</v>
      </c>
      <c r="D255" s="114">
        <f t="shared" si="1"/>
        <v>8</v>
      </c>
      <c r="E255" s="114" t="s">
        <v>8</v>
      </c>
      <c r="F255" s="114" t="s">
        <v>194</v>
      </c>
      <c r="G255" s="115" t="s">
        <v>107</v>
      </c>
      <c r="H255" s="185" t="s">
        <v>107</v>
      </c>
      <c r="I255" s="185"/>
      <c r="J255" s="119">
        <v>0</v>
      </c>
      <c r="K255" s="117">
        <v>0</v>
      </c>
      <c r="L255" s="117">
        <v>0</v>
      </c>
      <c r="M255" s="117">
        <v>0</v>
      </c>
      <c r="N255" s="117">
        <v>0</v>
      </c>
      <c r="O255" s="117">
        <v>0</v>
      </c>
      <c r="P255" s="118">
        <v>0</v>
      </c>
      <c r="Q255" s="119">
        <v>0</v>
      </c>
      <c r="R255" s="119">
        <v>0</v>
      </c>
      <c r="S255" s="184" t="s">
        <v>59</v>
      </c>
    </row>
    <row r="256" spans="1:19">
      <c r="A256" s="111">
        <v>255</v>
      </c>
      <c r="B256" s="121">
        <v>44783</v>
      </c>
      <c r="C256" s="113">
        <f t="shared" si="0"/>
        <v>2022</v>
      </c>
      <c r="D256" s="114">
        <f t="shared" si="1"/>
        <v>8</v>
      </c>
      <c r="E256" s="114" t="s">
        <v>88</v>
      </c>
      <c r="F256" s="114" t="s">
        <v>195</v>
      </c>
      <c r="G256" s="115" t="s">
        <v>196</v>
      </c>
      <c r="H256" s="114" t="s">
        <v>197</v>
      </c>
      <c r="I256" s="114" t="s">
        <v>184</v>
      </c>
      <c r="J256" s="186">
        <v>4</v>
      </c>
      <c r="K256" s="187">
        <v>41</v>
      </c>
      <c r="L256" s="187">
        <v>22</v>
      </c>
      <c r="M256" s="187">
        <v>2.1</v>
      </c>
      <c r="N256" s="187">
        <v>725</v>
      </c>
      <c r="O256" s="187">
        <v>1033</v>
      </c>
      <c r="P256" s="188">
        <v>0</v>
      </c>
      <c r="Q256" s="186">
        <v>2901</v>
      </c>
      <c r="R256" s="186">
        <v>4130</v>
      </c>
      <c r="S256" s="184" t="s">
        <v>59</v>
      </c>
    </row>
    <row r="257" spans="1:19">
      <c r="A257" s="111">
        <v>256</v>
      </c>
      <c r="B257" s="121">
        <v>44784</v>
      </c>
      <c r="C257" s="113">
        <f t="shared" ref="C257:C511" si="2">YEAR(B257)</f>
        <v>2022</v>
      </c>
      <c r="D257" s="114">
        <f t="shared" ref="D257:D511" si="3">MONTH(B257)</f>
        <v>8</v>
      </c>
      <c r="E257" s="114" t="s">
        <v>104</v>
      </c>
      <c r="F257" s="114" t="s">
        <v>198</v>
      </c>
      <c r="G257" s="115" t="s">
        <v>199</v>
      </c>
      <c r="H257" s="114" t="s">
        <v>199</v>
      </c>
      <c r="I257" s="114" t="s">
        <v>200</v>
      </c>
      <c r="J257" s="119">
        <v>0</v>
      </c>
      <c r="K257" s="117">
        <v>0</v>
      </c>
      <c r="L257" s="117">
        <v>0</v>
      </c>
      <c r="M257" s="117">
        <v>0</v>
      </c>
      <c r="N257" s="117">
        <v>0</v>
      </c>
      <c r="O257" s="117">
        <v>0</v>
      </c>
      <c r="P257" s="118">
        <v>0</v>
      </c>
      <c r="Q257" s="119">
        <v>0</v>
      </c>
      <c r="R257" s="119">
        <v>0</v>
      </c>
      <c r="S257" s="184" t="s">
        <v>59</v>
      </c>
    </row>
    <row r="258" spans="1:19">
      <c r="A258" s="111">
        <v>257</v>
      </c>
      <c r="B258" s="121">
        <v>44785</v>
      </c>
      <c r="C258" s="113">
        <f t="shared" si="2"/>
        <v>2022</v>
      </c>
      <c r="D258" s="114">
        <f t="shared" si="3"/>
        <v>8</v>
      </c>
      <c r="E258" s="114" t="s">
        <v>201</v>
      </c>
      <c r="F258" s="114" t="s">
        <v>202</v>
      </c>
      <c r="G258" s="115" t="s">
        <v>203</v>
      </c>
      <c r="H258" s="114" t="s">
        <v>204</v>
      </c>
      <c r="I258" s="114" t="s">
        <v>173</v>
      </c>
      <c r="J258" s="186">
        <v>1</v>
      </c>
      <c r="K258" s="187">
        <v>26</v>
      </c>
      <c r="L258" s="187">
        <v>30</v>
      </c>
      <c r="M258" s="187">
        <v>1.2</v>
      </c>
      <c r="N258" s="187">
        <v>226</v>
      </c>
      <c r="O258" s="187">
        <v>273</v>
      </c>
      <c r="P258" s="188">
        <v>0</v>
      </c>
      <c r="Q258" s="186">
        <v>226</v>
      </c>
      <c r="R258" s="186">
        <v>273</v>
      </c>
      <c r="S258" s="184" t="s">
        <v>59</v>
      </c>
    </row>
    <row r="259" spans="1:19">
      <c r="A259" s="111">
        <v>258</v>
      </c>
      <c r="B259" s="121">
        <v>44786</v>
      </c>
      <c r="C259" s="113">
        <f t="shared" si="2"/>
        <v>2022</v>
      </c>
      <c r="D259" s="114">
        <f t="shared" si="3"/>
        <v>8</v>
      </c>
      <c r="E259" s="114" t="s">
        <v>30</v>
      </c>
      <c r="F259" s="114" t="s">
        <v>205</v>
      </c>
      <c r="G259" s="115" t="s">
        <v>206</v>
      </c>
      <c r="H259" s="114" t="s">
        <v>207</v>
      </c>
      <c r="I259" s="114" t="s">
        <v>184</v>
      </c>
      <c r="J259" s="186">
        <v>1</v>
      </c>
      <c r="K259" s="187">
        <v>33</v>
      </c>
      <c r="L259" s="187">
        <v>26</v>
      </c>
      <c r="M259" s="187">
        <v>1.4</v>
      </c>
      <c r="N259" s="187">
        <v>217</v>
      </c>
      <c r="O259" s="187">
        <v>385</v>
      </c>
      <c r="P259" s="188">
        <v>1</v>
      </c>
      <c r="Q259" s="186">
        <v>217</v>
      </c>
      <c r="R259" s="186">
        <v>385</v>
      </c>
      <c r="S259" s="184" t="s">
        <v>59</v>
      </c>
    </row>
    <row r="260" spans="1:19">
      <c r="A260" s="111">
        <v>259</v>
      </c>
      <c r="B260" s="121">
        <v>44787</v>
      </c>
      <c r="C260" s="113">
        <f t="shared" si="2"/>
        <v>2022</v>
      </c>
      <c r="D260" s="114">
        <f t="shared" si="3"/>
        <v>8</v>
      </c>
      <c r="E260" s="114" t="s">
        <v>10</v>
      </c>
      <c r="F260" s="114" t="s">
        <v>208</v>
      </c>
      <c r="G260" s="115" t="s">
        <v>209</v>
      </c>
      <c r="H260" s="114" t="s">
        <v>210</v>
      </c>
      <c r="I260" s="114" t="s">
        <v>173</v>
      </c>
      <c r="J260" s="186">
        <v>5</v>
      </c>
      <c r="K260" s="187">
        <v>69</v>
      </c>
      <c r="L260" s="187">
        <v>31</v>
      </c>
      <c r="M260" s="187">
        <v>2.4</v>
      </c>
      <c r="N260" s="187">
        <v>1599</v>
      </c>
      <c r="O260" s="187">
        <v>2444</v>
      </c>
      <c r="P260" s="188">
        <v>0.2</v>
      </c>
      <c r="Q260" s="186">
        <v>7993</v>
      </c>
      <c r="R260" s="186">
        <v>12222</v>
      </c>
      <c r="S260" s="184" t="s">
        <v>59</v>
      </c>
    </row>
    <row r="261" spans="1:19">
      <c r="A261" s="111">
        <v>260</v>
      </c>
      <c r="B261" s="121">
        <v>44788</v>
      </c>
      <c r="C261" s="113">
        <f t="shared" si="2"/>
        <v>2022</v>
      </c>
      <c r="D261" s="114">
        <f t="shared" si="3"/>
        <v>8</v>
      </c>
      <c r="E261" s="114" t="s">
        <v>10</v>
      </c>
      <c r="F261" s="114" t="s">
        <v>211</v>
      </c>
      <c r="G261" s="115" t="s">
        <v>212</v>
      </c>
      <c r="H261" s="114" t="s">
        <v>213</v>
      </c>
      <c r="I261" s="114" t="s">
        <v>173</v>
      </c>
      <c r="J261" s="119">
        <v>0</v>
      </c>
      <c r="K261" s="117">
        <v>0</v>
      </c>
      <c r="L261" s="117">
        <v>0</v>
      </c>
      <c r="M261" s="117">
        <v>0</v>
      </c>
      <c r="N261" s="117">
        <v>0</v>
      </c>
      <c r="O261" s="117">
        <v>0</v>
      </c>
      <c r="P261" s="118">
        <v>0</v>
      </c>
      <c r="Q261" s="119">
        <v>0</v>
      </c>
      <c r="R261" s="119">
        <v>0</v>
      </c>
      <c r="S261" s="184" t="s">
        <v>59</v>
      </c>
    </row>
    <row r="262" spans="1:19">
      <c r="A262" s="111">
        <v>261</v>
      </c>
      <c r="B262" s="121">
        <v>44789</v>
      </c>
      <c r="C262" s="113">
        <f t="shared" si="2"/>
        <v>2022</v>
      </c>
      <c r="D262" s="114">
        <f t="shared" si="3"/>
        <v>8</v>
      </c>
      <c r="E262" s="114" t="s">
        <v>10</v>
      </c>
      <c r="F262" s="114" t="s">
        <v>214</v>
      </c>
      <c r="G262" s="115" t="s">
        <v>215</v>
      </c>
      <c r="H262" s="114" t="s">
        <v>216</v>
      </c>
      <c r="I262" s="114" t="s">
        <v>184</v>
      </c>
      <c r="J262" s="119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8">
        <v>0</v>
      </c>
      <c r="Q262" s="119">
        <v>0</v>
      </c>
      <c r="R262" s="119">
        <v>0</v>
      </c>
      <c r="S262" s="184" t="s">
        <v>59</v>
      </c>
    </row>
    <row r="263" spans="1:19">
      <c r="A263" s="111">
        <v>262</v>
      </c>
      <c r="B263" s="121">
        <v>44790</v>
      </c>
      <c r="C263" s="113">
        <f t="shared" si="2"/>
        <v>2022</v>
      </c>
      <c r="D263" s="114">
        <f t="shared" si="3"/>
        <v>8</v>
      </c>
      <c r="E263" s="114" t="s">
        <v>9</v>
      </c>
      <c r="F263" s="114" t="s">
        <v>217</v>
      </c>
      <c r="G263" s="115" t="s">
        <v>218</v>
      </c>
      <c r="H263" s="114" t="s">
        <v>219</v>
      </c>
      <c r="I263" s="114" t="s">
        <v>184</v>
      </c>
      <c r="J263" s="186">
        <v>5</v>
      </c>
      <c r="K263" s="187">
        <v>81</v>
      </c>
      <c r="L263" s="187">
        <v>32</v>
      </c>
      <c r="M263" s="187">
        <v>2.7</v>
      </c>
      <c r="N263" s="187">
        <v>2261</v>
      </c>
      <c r="O263" s="187">
        <v>3432</v>
      </c>
      <c r="P263" s="188">
        <v>0.2</v>
      </c>
      <c r="Q263" s="186">
        <v>11307</v>
      </c>
      <c r="R263" s="186">
        <v>17162</v>
      </c>
      <c r="S263" s="184" t="s">
        <v>59</v>
      </c>
    </row>
    <row r="264" spans="1:19">
      <c r="A264" s="111">
        <v>263</v>
      </c>
      <c r="B264" s="121">
        <v>44791</v>
      </c>
      <c r="C264" s="113">
        <f t="shared" si="2"/>
        <v>2022</v>
      </c>
      <c r="D264" s="114">
        <f t="shared" si="3"/>
        <v>8</v>
      </c>
      <c r="E264" s="114" t="s">
        <v>11</v>
      </c>
      <c r="F264" s="114" t="s">
        <v>220</v>
      </c>
      <c r="G264" s="115" t="s">
        <v>221</v>
      </c>
      <c r="H264" s="114" t="s">
        <v>222</v>
      </c>
      <c r="I264" s="114" t="s">
        <v>184</v>
      </c>
      <c r="J264" s="186">
        <v>2</v>
      </c>
      <c r="K264" s="187">
        <v>46</v>
      </c>
      <c r="L264" s="187">
        <v>25</v>
      </c>
      <c r="M264" s="187">
        <v>2</v>
      </c>
      <c r="N264" s="187">
        <v>518</v>
      </c>
      <c r="O264" s="187">
        <v>804</v>
      </c>
      <c r="P264" s="188">
        <v>1</v>
      </c>
      <c r="Q264" s="186">
        <v>1035</v>
      </c>
      <c r="R264" s="186">
        <v>1608</v>
      </c>
      <c r="S264" s="184" t="s">
        <v>59</v>
      </c>
    </row>
    <row r="265" spans="1:19">
      <c r="A265" s="111">
        <v>264</v>
      </c>
      <c r="B265" s="121">
        <v>44792</v>
      </c>
      <c r="C265" s="113">
        <f t="shared" si="2"/>
        <v>2022</v>
      </c>
      <c r="D265" s="114">
        <f t="shared" si="3"/>
        <v>8</v>
      </c>
      <c r="E265" s="114" t="s">
        <v>91</v>
      </c>
      <c r="F265" s="114" t="s">
        <v>178</v>
      </c>
      <c r="G265" s="115" t="s">
        <v>179</v>
      </c>
      <c r="H265" s="114" t="s">
        <v>180</v>
      </c>
      <c r="I265" s="114" t="s">
        <v>173</v>
      </c>
      <c r="J265" s="186">
        <v>1</v>
      </c>
      <c r="K265" s="187">
        <v>40</v>
      </c>
      <c r="L265" s="187">
        <v>19</v>
      </c>
      <c r="M265" s="187">
        <v>2.2000000000000002</v>
      </c>
      <c r="N265" s="187">
        <v>787</v>
      </c>
      <c r="O265" s="187">
        <v>1064</v>
      </c>
      <c r="P265" s="188">
        <v>1</v>
      </c>
      <c r="Q265" s="186">
        <v>787</v>
      </c>
      <c r="R265" s="186">
        <v>2128</v>
      </c>
      <c r="S265" s="184" t="s">
        <v>59</v>
      </c>
    </row>
    <row r="266" spans="1:19">
      <c r="A266" s="111">
        <v>265</v>
      </c>
      <c r="B266" s="121">
        <v>44793</v>
      </c>
      <c r="C266" s="113">
        <f t="shared" si="2"/>
        <v>2022</v>
      </c>
      <c r="D266" s="114">
        <f t="shared" si="3"/>
        <v>8</v>
      </c>
      <c r="E266" s="114" t="s">
        <v>23</v>
      </c>
      <c r="F266" s="114" t="s">
        <v>223</v>
      </c>
      <c r="G266" s="115" t="s">
        <v>175</v>
      </c>
      <c r="H266" s="114" t="s">
        <v>176</v>
      </c>
      <c r="I266" s="114" t="s">
        <v>173</v>
      </c>
      <c r="J266" s="186">
        <v>5</v>
      </c>
      <c r="K266" s="187">
        <v>67</v>
      </c>
      <c r="L266" s="187">
        <v>32</v>
      </c>
      <c r="M266" s="187">
        <v>2.2999999999999998</v>
      </c>
      <c r="N266" s="187">
        <v>1357</v>
      </c>
      <c r="O266" s="187">
        <v>2040</v>
      </c>
      <c r="P266" s="188">
        <v>0.6</v>
      </c>
      <c r="Q266" s="186">
        <v>6786</v>
      </c>
      <c r="R266" s="186">
        <v>10198</v>
      </c>
      <c r="S266" s="184" t="s">
        <v>59</v>
      </c>
    </row>
    <row r="267" spans="1:19">
      <c r="A267" s="111">
        <v>266</v>
      </c>
      <c r="B267" s="121">
        <v>44794</v>
      </c>
      <c r="C267" s="113">
        <f t="shared" si="2"/>
        <v>2022</v>
      </c>
      <c r="D267" s="114">
        <f t="shared" si="3"/>
        <v>8</v>
      </c>
      <c r="E267" s="114" t="s">
        <v>23</v>
      </c>
      <c r="F267" s="114" t="s">
        <v>224</v>
      </c>
      <c r="G267" s="115" t="s">
        <v>107</v>
      </c>
      <c r="H267" s="114" t="s">
        <v>107</v>
      </c>
      <c r="I267" s="114" t="s">
        <v>107</v>
      </c>
      <c r="J267" s="186">
        <v>1</v>
      </c>
      <c r="K267" s="187">
        <v>83</v>
      </c>
      <c r="L267" s="187">
        <v>37</v>
      </c>
      <c r="M267" s="187">
        <v>2.4</v>
      </c>
      <c r="N267" s="187">
        <v>1864</v>
      </c>
      <c r="O267" s="187">
        <v>2663</v>
      </c>
      <c r="P267" s="188">
        <v>0</v>
      </c>
      <c r="Q267" s="186">
        <v>1864</v>
      </c>
      <c r="R267" s="186">
        <v>2663</v>
      </c>
      <c r="S267" s="184" t="s">
        <v>59</v>
      </c>
    </row>
    <row r="268" spans="1:19">
      <c r="A268" s="111">
        <v>267</v>
      </c>
      <c r="B268" s="121">
        <v>44795</v>
      </c>
      <c r="C268" s="113">
        <f t="shared" si="2"/>
        <v>2022</v>
      </c>
      <c r="D268" s="114">
        <f t="shared" si="3"/>
        <v>8</v>
      </c>
      <c r="E268" s="114" t="s">
        <v>15</v>
      </c>
      <c r="F268" s="114" t="s">
        <v>225</v>
      </c>
      <c r="G268" s="115" t="s">
        <v>226</v>
      </c>
      <c r="H268" s="114" t="s">
        <v>227</v>
      </c>
      <c r="I268" s="114" t="s">
        <v>173</v>
      </c>
      <c r="J268" s="186">
        <v>5</v>
      </c>
      <c r="K268" s="187">
        <v>45</v>
      </c>
      <c r="L268" s="187">
        <v>25</v>
      </c>
      <c r="M268" s="187">
        <v>2</v>
      </c>
      <c r="N268" s="187">
        <v>735</v>
      </c>
      <c r="O268" s="187">
        <v>1031</v>
      </c>
      <c r="P268" s="188">
        <v>0.6</v>
      </c>
      <c r="Q268" s="186">
        <v>3677</v>
      </c>
      <c r="R268" s="186">
        <v>5156</v>
      </c>
      <c r="S268" s="184" t="s">
        <v>59</v>
      </c>
    </row>
    <row r="269" spans="1:19">
      <c r="A269" s="111">
        <v>268</v>
      </c>
      <c r="B269" s="121">
        <v>44796</v>
      </c>
      <c r="C269" s="113">
        <f t="shared" si="2"/>
        <v>2022</v>
      </c>
      <c r="D269" s="114">
        <f t="shared" si="3"/>
        <v>8</v>
      </c>
      <c r="E269" s="114" t="s">
        <v>84</v>
      </c>
      <c r="F269" s="114" t="s">
        <v>228</v>
      </c>
      <c r="G269" s="115" t="s">
        <v>229</v>
      </c>
      <c r="H269" s="114" t="s">
        <v>230</v>
      </c>
      <c r="I269" s="114" t="s">
        <v>184</v>
      </c>
      <c r="J269" s="186">
        <v>5</v>
      </c>
      <c r="K269" s="187">
        <v>30</v>
      </c>
      <c r="L269" s="187">
        <v>18</v>
      </c>
      <c r="M269" s="187">
        <v>1.9</v>
      </c>
      <c r="N269" s="187">
        <v>406</v>
      </c>
      <c r="O269" s="187">
        <v>587</v>
      </c>
      <c r="P269" s="188">
        <v>0.8</v>
      </c>
      <c r="Q269" s="186">
        <v>2032</v>
      </c>
      <c r="R269" s="186">
        <v>2935</v>
      </c>
      <c r="S269" s="184" t="s">
        <v>59</v>
      </c>
    </row>
    <row r="270" spans="1:19">
      <c r="A270" s="111">
        <v>269</v>
      </c>
      <c r="B270" s="121">
        <v>44797</v>
      </c>
      <c r="C270" s="113">
        <f t="shared" si="2"/>
        <v>2022</v>
      </c>
      <c r="D270" s="114">
        <f t="shared" si="3"/>
        <v>8</v>
      </c>
      <c r="E270" s="114" t="s">
        <v>84</v>
      </c>
      <c r="F270" s="114" t="s">
        <v>231</v>
      </c>
      <c r="G270" s="115" t="s">
        <v>232</v>
      </c>
      <c r="H270" s="114" t="s">
        <v>233</v>
      </c>
      <c r="I270" s="114" t="s">
        <v>184</v>
      </c>
      <c r="J270" s="119">
        <v>0</v>
      </c>
      <c r="K270" s="117">
        <v>0</v>
      </c>
      <c r="L270" s="117">
        <v>0</v>
      </c>
      <c r="M270" s="117">
        <v>0</v>
      </c>
      <c r="N270" s="117">
        <v>0</v>
      </c>
      <c r="O270" s="117">
        <v>0</v>
      </c>
      <c r="P270" s="118">
        <v>0</v>
      </c>
      <c r="Q270" s="119">
        <v>0</v>
      </c>
      <c r="R270" s="119">
        <v>0</v>
      </c>
      <c r="S270" s="184" t="s">
        <v>59</v>
      </c>
    </row>
    <row r="271" spans="1:19">
      <c r="A271" s="111">
        <v>270</v>
      </c>
      <c r="B271" s="121">
        <v>44798</v>
      </c>
      <c r="C271" s="113">
        <f t="shared" si="2"/>
        <v>2022</v>
      </c>
      <c r="D271" s="114">
        <f t="shared" si="3"/>
        <v>8</v>
      </c>
      <c r="E271" s="114" t="s">
        <v>22</v>
      </c>
      <c r="F271" s="114" t="s">
        <v>174</v>
      </c>
      <c r="G271" s="115" t="s">
        <v>175</v>
      </c>
      <c r="H271" s="114" t="s">
        <v>176</v>
      </c>
      <c r="I271" s="114" t="s">
        <v>173</v>
      </c>
      <c r="J271" s="186">
        <v>4</v>
      </c>
      <c r="K271" s="187">
        <v>86</v>
      </c>
      <c r="L271" s="187">
        <v>38</v>
      </c>
      <c r="M271" s="187">
        <v>2.4</v>
      </c>
      <c r="N271" s="187">
        <v>1940</v>
      </c>
      <c r="O271" s="187">
        <v>2974</v>
      </c>
      <c r="P271" s="188">
        <v>0.75</v>
      </c>
      <c r="Q271" s="186">
        <v>7759</v>
      </c>
      <c r="R271" s="186">
        <v>11895</v>
      </c>
      <c r="S271" s="184" t="s">
        <v>59</v>
      </c>
    </row>
    <row r="272" spans="1:19">
      <c r="A272" s="111">
        <v>271</v>
      </c>
      <c r="B272" s="121">
        <v>44799</v>
      </c>
      <c r="C272" s="113">
        <f t="shared" si="2"/>
        <v>2022</v>
      </c>
      <c r="D272" s="114">
        <f t="shared" si="3"/>
        <v>8</v>
      </c>
      <c r="E272" s="114" t="s">
        <v>22</v>
      </c>
      <c r="F272" s="114" t="s">
        <v>177</v>
      </c>
      <c r="G272" s="115" t="s">
        <v>175</v>
      </c>
      <c r="H272" s="114" t="s">
        <v>176</v>
      </c>
      <c r="I272" s="114" t="s">
        <v>173</v>
      </c>
      <c r="J272" s="119">
        <v>0</v>
      </c>
      <c r="K272" s="117">
        <v>0</v>
      </c>
      <c r="L272" s="117">
        <v>0</v>
      </c>
      <c r="M272" s="117">
        <v>0</v>
      </c>
      <c r="N272" s="117">
        <v>0</v>
      </c>
      <c r="O272" s="117">
        <v>0</v>
      </c>
      <c r="P272" s="118">
        <v>0</v>
      </c>
      <c r="Q272" s="119">
        <v>0</v>
      </c>
      <c r="R272" s="119">
        <v>0</v>
      </c>
      <c r="S272" s="184" t="s">
        <v>59</v>
      </c>
    </row>
    <row r="273" spans="1:19">
      <c r="A273" s="111">
        <v>272</v>
      </c>
      <c r="B273" s="121">
        <v>44800</v>
      </c>
      <c r="C273" s="113">
        <f t="shared" si="2"/>
        <v>2022</v>
      </c>
      <c r="D273" s="114">
        <f t="shared" si="3"/>
        <v>8</v>
      </c>
      <c r="E273" s="114" t="s">
        <v>22</v>
      </c>
      <c r="F273" s="114" t="s">
        <v>223</v>
      </c>
      <c r="G273" s="115" t="s">
        <v>175</v>
      </c>
      <c r="H273" s="114" t="s">
        <v>176</v>
      </c>
      <c r="I273" s="114" t="s">
        <v>173</v>
      </c>
      <c r="J273" s="119">
        <v>0</v>
      </c>
      <c r="K273" s="117">
        <v>0</v>
      </c>
      <c r="L273" s="117">
        <v>0</v>
      </c>
      <c r="M273" s="117">
        <v>0</v>
      </c>
      <c r="N273" s="117">
        <v>0</v>
      </c>
      <c r="O273" s="117">
        <v>0</v>
      </c>
      <c r="P273" s="118">
        <v>0</v>
      </c>
      <c r="Q273" s="119">
        <v>0</v>
      </c>
      <c r="R273" s="119">
        <v>0</v>
      </c>
      <c r="S273" s="184" t="s">
        <v>59</v>
      </c>
    </row>
    <row r="274" spans="1:19">
      <c r="A274" s="111">
        <v>273</v>
      </c>
      <c r="B274" s="121">
        <v>44801</v>
      </c>
      <c r="C274" s="113">
        <f t="shared" si="2"/>
        <v>2022</v>
      </c>
      <c r="D274" s="114">
        <f t="shared" si="3"/>
        <v>8</v>
      </c>
      <c r="E274" s="114" t="s">
        <v>12</v>
      </c>
      <c r="F274" s="114" t="s">
        <v>220</v>
      </c>
      <c r="G274" s="115" t="s">
        <v>221</v>
      </c>
      <c r="H274" s="114" t="s">
        <v>222</v>
      </c>
      <c r="I274" s="114" t="s">
        <v>184</v>
      </c>
      <c r="J274" s="186">
        <v>2</v>
      </c>
      <c r="K274" s="187">
        <v>41</v>
      </c>
      <c r="L274" s="187">
        <v>22</v>
      </c>
      <c r="M274" s="187">
        <v>2.1</v>
      </c>
      <c r="N274" s="187">
        <v>668</v>
      </c>
      <c r="O274" s="187">
        <v>1034</v>
      </c>
      <c r="P274" s="188">
        <v>0</v>
      </c>
      <c r="Q274" s="186">
        <v>1336</v>
      </c>
      <c r="R274" s="186">
        <v>2067</v>
      </c>
      <c r="S274" s="184" t="s">
        <v>59</v>
      </c>
    </row>
    <row r="275" spans="1:19">
      <c r="A275" s="111">
        <v>274</v>
      </c>
      <c r="B275" s="121">
        <v>44802</v>
      </c>
      <c r="C275" s="113">
        <f t="shared" si="2"/>
        <v>2022</v>
      </c>
      <c r="D275" s="114">
        <f t="shared" si="3"/>
        <v>8</v>
      </c>
      <c r="E275" s="114" t="s">
        <v>12</v>
      </c>
      <c r="F275" s="114" t="s">
        <v>234</v>
      </c>
      <c r="G275" s="115" t="s">
        <v>235</v>
      </c>
      <c r="H275" s="114" t="s">
        <v>236</v>
      </c>
      <c r="I275" s="114" t="s">
        <v>184</v>
      </c>
      <c r="J275" s="186">
        <v>5</v>
      </c>
      <c r="K275" s="187">
        <v>34</v>
      </c>
      <c r="L275" s="187">
        <v>19</v>
      </c>
      <c r="M275" s="187">
        <v>1.9</v>
      </c>
      <c r="N275" s="187">
        <v>614</v>
      </c>
      <c r="O275" s="187">
        <v>926</v>
      </c>
      <c r="P275" s="188">
        <v>0.4</v>
      </c>
      <c r="Q275" s="186">
        <v>3071</v>
      </c>
      <c r="R275" s="186">
        <v>4629</v>
      </c>
      <c r="S275" s="184" t="s">
        <v>59</v>
      </c>
    </row>
    <row r="276" spans="1:19">
      <c r="A276" s="111">
        <v>275</v>
      </c>
      <c r="B276" s="121">
        <v>44803</v>
      </c>
      <c r="C276" s="113">
        <f t="shared" si="2"/>
        <v>2022</v>
      </c>
      <c r="D276" s="114">
        <f t="shared" si="3"/>
        <v>8</v>
      </c>
      <c r="E276" s="114" t="s">
        <v>12</v>
      </c>
      <c r="F276" s="114" t="s">
        <v>237</v>
      </c>
      <c r="G276" s="115" t="s">
        <v>199</v>
      </c>
      <c r="H276" s="114" t="s">
        <v>199</v>
      </c>
      <c r="I276" s="114" t="s">
        <v>200</v>
      </c>
      <c r="J276" s="119">
        <v>0</v>
      </c>
      <c r="K276" s="117">
        <v>0</v>
      </c>
      <c r="L276" s="117">
        <v>0</v>
      </c>
      <c r="M276" s="117">
        <v>0</v>
      </c>
      <c r="N276" s="117">
        <v>0</v>
      </c>
      <c r="O276" s="117">
        <v>0</v>
      </c>
      <c r="P276" s="118">
        <v>0</v>
      </c>
      <c r="Q276" s="119">
        <v>0</v>
      </c>
      <c r="R276" s="119">
        <v>0</v>
      </c>
      <c r="S276" s="184" t="s">
        <v>59</v>
      </c>
    </row>
    <row r="277" spans="1:19">
      <c r="A277" s="111">
        <v>276</v>
      </c>
      <c r="B277" s="121">
        <v>44804</v>
      </c>
      <c r="C277" s="113">
        <f t="shared" si="2"/>
        <v>2022</v>
      </c>
      <c r="D277" s="114">
        <f t="shared" si="3"/>
        <v>8</v>
      </c>
      <c r="E277" s="114" t="s">
        <v>26</v>
      </c>
      <c r="F277" s="114" t="s">
        <v>238</v>
      </c>
      <c r="G277" s="115" t="s">
        <v>175</v>
      </c>
      <c r="H277" s="114" t="s">
        <v>176</v>
      </c>
      <c r="I277" s="114" t="s">
        <v>173</v>
      </c>
      <c r="J277" s="119">
        <v>0</v>
      </c>
      <c r="K277" s="117">
        <v>0</v>
      </c>
      <c r="L277" s="117">
        <v>0</v>
      </c>
      <c r="M277" s="117">
        <v>0</v>
      </c>
      <c r="N277" s="117">
        <v>0</v>
      </c>
      <c r="O277" s="117">
        <v>0</v>
      </c>
      <c r="P277" s="118">
        <v>0</v>
      </c>
      <c r="Q277" s="119">
        <v>0</v>
      </c>
      <c r="R277" s="119">
        <v>0</v>
      </c>
      <c r="S277" s="184" t="s">
        <v>59</v>
      </c>
    </row>
    <row r="278" spans="1:19">
      <c r="A278" s="111">
        <v>277</v>
      </c>
      <c r="B278" s="121">
        <v>44774</v>
      </c>
      <c r="C278" s="113">
        <f t="shared" si="2"/>
        <v>2022</v>
      </c>
      <c r="D278" s="114">
        <f t="shared" si="3"/>
        <v>8</v>
      </c>
      <c r="E278" s="114" t="s">
        <v>19</v>
      </c>
      <c r="F278" s="114" t="s">
        <v>178</v>
      </c>
      <c r="G278" s="115" t="s">
        <v>179</v>
      </c>
      <c r="H278" s="114" t="s">
        <v>180</v>
      </c>
      <c r="I278" s="114" t="s">
        <v>173</v>
      </c>
      <c r="J278" s="186">
        <v>2</v>
      </c>
      <c r="K278" s="187">
        <v>46</v>
      </c>
      <c r="L278" s="187">
        <v>22</v>
      </c>
      <c r="M278" s="187">
        <v>2.2000000000000002</v>
      </c>
      <c r="N278" s="187">
        <v>883</v>
      </c>
      <c r="O278" s="187">
        <v>1251</v>
      </c>
      <c r="P278" s="188">
        <v>0</v>
      </c>
      <c r="Q278" s="186">
        <v>1766</v>
      </c>
      <c r="R278" s="186">
        <v>2502</v>
      </c>
      <c r="S278" s="184" t="s">
        <v>59</v>
      </c>
    </row>
    <row r="279" spans="1:19">
      <c r="A279" s="111">
        <v>278</v>
      </c>
      <c r="B279" s="121">
        <v>44775</v>
      </c>
      <c r="C279" s="113">
        <f t="shared" si="2"/>
        <v>2022</v>
      </c>
      <c r="D279" s="114">
        <f t="shared" si="3"/>
        <v>8</v>
      </c>
      <c r="E279" s="114" t="s">
        <v>7</v>
      </c>
      <c r="F279" s="114" t="s">
        <v>239</v>
      </c>
      <c r="G279" s="115" t="s">
        <v>240</v>
      </c>
      <c r="H279" s="114" t="s">
        <v>241</v>
      </c>
      <c r="I279" s="114" t="s">
        <v>184</v>
      </c>
      <c r="J279" s="186">
        <v>5</v>
      </c>
      <c r="K279" s="187">
        <v>40</v>
      </c>
      <c r="L279" s="187">
        <v>23</v>
      </c>
      <c r="M279" s="187">
        <v>1.9</v>
      </c>
      <c r="N279" s="187">
        <v>643</v>
      </c>
      <c r="O279" s="187">
        <v>971</v>
      </c>
      <c r="P279" s="188">
        <v>0</v>
      </c>
      <c r="Q279" s="186">
        <v>3213</v>
      </c>
      <c r="R279" s="186">
        <v>4855</v>
      </c>
      <c r="S279" s="184" t="s">
        <v>59</v>
      </c>
    </row>
    <row r="280" spans="1:19">
      <c r="A280" s="111">
        <v>279</v>
      </c>
      <c r="B280" s="121">
        <v>44776</v>
      </c>
      <c r="C280" s="113">
        <f t="shared" si="2"/>
        <v>2022</v>
      </c>
      <c r="D280" s="114">
        <f t="shared" si="3"/>
        <v>8</v>
      </c>
      <c r="E280" s="114" t="s">
        <v>7</v>
      </c>
      <c r="F280" s="114" t="s">
        <v>220</v>
      </c>
      <c r="G280" s="115" t="s">
        <v>221</v>
      </c>
      <c r="H280" s="114" t="s">
        <v>222</v>
      </c>
      <c r="I280" s="114" t="s">
        <v>184</v>
      </c>
      <c r="J280" s="186">
        <v>1</v>
      </c>
      <c r="K280" s="187">
        <v>58</v>
      </c>
      <c r="L280" s="187">
        <v>30</v>
      </c>
      <c r="M280" s="187">
        <v>2.1</v>
      </c>
      <c r="N280" s="187">
        <v>861</v>
      </c>
      <c r="O280" s="187">
        <v>1303</v>
      </c>
      <c r="P280" s="188">
        <v>0</v>
      </c>
      <c r="Q280" s="186">
        <v>861</v>
      </c>
      <c r="R280" s="186">
        <v>1303</v>
      </c>
      <c r="S280" s="184" t="s">
        <v>59</v>
      </c>
    </row>
    <row r="281" spans="1:19">
      <c r="A281" s="111">
        <v>280</v>
      </c>
      <c r="B281" s="121">
        <v>44777</v>
      </c>
      <c r="C281" s="113">
        <f t="shared" si="2"/>
        <v>2022</v>
      </c>
      <c r="D281" s="114">
        <f t="shared" si="3"/>
        <v>8</v>
      </c>
      <c r="E281" s="114" t="s">
        <v>7</v>
      </c>
      <c r="F281" s="114" t="s">
        <v>242</v>
      </c>
      <c r="G281" s="115" t="s">
        <v>243</v>
      </c>
      <c r="H281" s="114" t="s">
        <v>244</v>
      </c>
      <c r="I281" s="114" t="s">
        <v>184</v>
      </c>
      <c r="J281" s="186">
        <v>5</v>
      </c>
      <c r="K281" s="187">
        <v>77</v>
      </c>
      <c r="L281" s="187">
        <v>30</v>
      </c>
      <c r="M281" s="187">
        <v>2.9</v>
      </c>
      <c r="N281" s="187">
        <v>1299</v>
      </c>
      <c r="O281" s="187">
        <v>2031</v>
      </c>
      <c r="P281" s="188">
        <v>0.4</v>
      </c>
      <c r="Q281" s="186">
        <v>6496</v>
      </c>
      <c r="R281" s="186">
        <v>10154</v>
      </c>
      <c r="S281" s="184" t="s">
        <v>59</v>
      </c>
    </row>
    <row r="282" spans="1:19">
      <c r="A282" s="111">
        <v>281</v>
      </c>
      <c r="B282" s="121">
        <v>44805</v>
      </c>
      <c r="C282" s="113">
        <f t="shared" si="2"/>
        <v>2022</v>
      </c>
      <c r="D282" s="114">
        <f t="shared" si="3"/>
        <v>9</v>
      </c>
      <c r="E282" s="114" t="s">
        <v>79</v>
      </c>
      <c r="F282" s="114" t="s">
        <v>170</v>
      </c>
      <c r="G282" s="115" t="s">
        <v>171</v>
      </c>
      <c r="H282" s="114" t="s">
        <v>172</v>
      </c>
      <c r="I282" s="114" t="s">
        <v>173</v>
      </c>
      <c r="J282" s="186">
        <v>3</v>
      </c>
      <c r="K282" s="187">
        <v>49</v>
      </c>
      <c r="L282" s="187">
        <v>35</v>
      </c>
      <c r="M282" s="187">
        <v>1.8</v>
      </c>
      <c r="N282" s="187">
        <v>431</v>
      </c>
      <c r="O282" s="187">
        <v>626</v>
      </c>
      <c r="P282" s="188">
        <v>0</v>
      </c>
      <c r="Q282" s="186">
        <v>1294</v>
      </c>
      <c r="R282" s="186">
        <v>1879</v>
      </c>
      <c r="S282" s="184" t="s">
        <v>59</v>
      </c>
    </row>
    <row r="283" spans="1:19">
      <c r="A283" s="111">
        <v>282</v>
      </c>
      <c r="B283" s="121">
        <v>44806</v>
      </c>
      <c r="C283" s="113">
        <f t="shared" si="2"/>
        <v>2022</v>
      </c>
      <c r="D283" s="114">
        <f t="shared" si="3"/>
        <v>9</v>
      </c>
      <c r="E283" s="114" t="s">
        <v>79</v>
      </c>
      <c r="F283" s="114" t="s">
        <v>174</v>
      </c>
      <c r="G283" s="115" t="s">
        <v>175</v>
      </c>
      <c r="H283" s="114" t="s">
        <v>176</v>
      </c>
      <c r="I283" s="114" t="s">
        <v>173</v>
      </c>
      <c r="J283" s="186">
        <v>1</v>
      </c>
      <c r="K283" s="187">
        <v>86</v>
      </c>
      <c r="L283" s="187">
        <v>35</v>
      </c>
      <c r="M283" s="187">
        <v>2.7</v>
      </c>
      <c r="N283" s="187">
        <v>1995</v>
      </c>
      <c r="O283" s="187">
        <v>2882</v>
      </c>
      <c r="P283" s="188">
        <v>1</v>
      </c>
      <c r="Q283" s="186">
        <v>1995</v>
      </c>
      <c r="R283" s="186">
        <v>2882</v>
      </c>
      <c r="S283" s="184" t="s">
        <v>59</v>
      </c>
    </row>
    <row r="284" spans="1:19">
      <c r="A284" s="111">
        <v>283</v>
      </c>
      <c r="B284" s="121">
        <v>44807</v>
      </c>
      <c r="C284" s="113">
        <f t="shared" si="2"/>
        <v>2022</v>
      </c>
      <c r="D284" s="114">
        <f t="shared" si="3"/>
        <v>9</v>
      </c>
      <c r="E284" s="114" t="s">
        <v>79</v>
      </c>
      <c r="F284" s="114" t="s">
        <v>177</v>
      </c>
      <c r="G284" s="115" t="s">
        <v>175</v>
      </c>
      <c r="H284" s="114" t="s">
        <v>176</v>
      </c>
      <c r="I284" s="114" t="s">
        <v>173</v>
      </c>
      <c r="J284" s="186">
        <v>4</v>
      </c>
      <c r="K284" s="187">
        <v>94</v>
      </c>
      <c r="L284" s="187">
        <v>37</v>
      </c>
      <c r="M284" s="187">
        <v>2.7</v>
      </c>
      <c r="N284" s="187">
        <v>1911</v>
      </c>
      <c r="O284" s="187">
        <v>2762</v>
      </c>
      <c r="P284" s="188">
        <v>1</v>
      </c>
      <c r="Q284" s="186">
        <v>7645</v>
      </c>
      <c r="R284" s="186">
        <v>11046</v>
      </c>
      <c r="S284" s="184" t="s">
        <v>59</v>
      </c>
    </row>
    <row r="285" spans="1:19">
      <c r="A285" s="111">
        <v>284</v>
      </c>
      <c r="B285" s="121">
        <v>44808</v>
      </c>
      <c r="C285" s="113">
        <f t="shared" si="2"/>
        <v>2022</v>
      </c>
      <c r="D285" s="114">
        <f t="shared" si="3"/>
        <v>9</v>
      </c>
      <c r="E285" s="114" t="s">
        <v>20</v>
      </c>
      <c r="F285" s="114" t="s">
        <v>178</v>
      </c>
      <c r="G285" s="115" t="s">
        <v>179</v>
      </c>
      <c r="H285" s="114" t="s">
        <v>180</v>
      </c>
      <c r="I285" s="114" t="s">
        <v>173</v>
      </c>
      <c r="J285" s="186">
        <v>1</v>
      </c>
      <c r="K285" s="187">
        <v>41</v>
      </c>
      <c r="L285" s="187">
        <v>23</v>
      </c>
      <c r="M285" s="187">
        <v>2</v>
      </c>
      <c r="N285" s="187">
        <v>909</v>
      </c>
      <c r="O285" s="187">
        <v>1254</v>
      </c>
      <c r="P285" s="188">
        <v>0</v>
      </c>
      <c r="Q285" s="186">
        <v>909</v>
      </c>
      <c r="R285" s="186">
        <v>1254</v>
      </c>
      <c r="S285" s="184" t="s">
        <v>59</v>
      </c>
    </row>
    <row r="286" spans="1:19">
      <c r="A286" s="111">
        <v>285</v>
      </c>
      <c r="B286" s="121">
        <v>44809</v>
      </c>
      <c r="C286" s="113">
        <f t="shared" si="2"/>
        <v>2022</v>
      </c>
      <c r="D286" s="114">
        <f t="shared" si="3"/>
        <v>9</v>
      </c>
      <c r="E286" s="114" t="s">
        <v>8</v>
      </c>
      <c r="F286" s="114" t="s">
        <v>181</v>
      </c>
      <c r="G286" s="115" t="s">
        <v>182</v>
      </c>
      <c r="H286" s="114" t="s">
        <v>183</v>
      </c>
      <c r="I286" s="114" t="s">
        <v>184</v>
      </c>
      <c r="J286" s="186">
        <v>4</v>
      </c>
      <c r="K286" s="187">
        <v>39</v>
      </c>
      <c r="L286" s="187">
        <v>25</v>
      </c>
      <c r="M286" s="187">
        <v>1.8</v>
      </c>
      <c r="N286" s="187">
        <v>349</v>
      </c>
      <c r="O286" s="187">
        <v>529</v>
      </c>
      <c r="P286" s="188">
        <v>0.5</v>
      </c>
      <c r="Q286" s="186">
        <v>1394</v>
      </c>
      <c r="R286" s="186">
        <v>2115</v>
      </c>
      <c r="S286" s="184" t="s">
        <v>59</v>
      </c>
    </row>
    <row r="287" spans="1:19">
      <c r="A287" s="111">
        <v>286</v>
      </c>
      <c r="B287" s="121">
        <v>44810</v>
      </c>
      <c r="C287" s="113">
        <f t="shared" si="2"/>
        <v>2022</v>
      </c>
      <c r="D287" s="114">
        <f t="shared" si="3"/>
        <v>9</v>
      </c>
      <c r="E287" s="114" t="s">
        <v>8</v>
      </c>
      <c r="F287" s="114" t="s">
        <v>185</v>
      </c>
      <c r="G287" s="115" t="s">
        <v>186</v>
      </c>
      <c r="H287" s="114" t="s">
        <v>187</v>
      </c>
      <c r="I287" s="114" t="s">
        <v>184</v>
      </c>
      <c r="J287" s="186">
        <v>2</v>
      </c>
      <c r="K287" s="187">
        <v>66</v>
      </c>
      <c r="L287" s="187">
        <v>37</v>
      </c>
      <c r="M287" s="187">
        <v>2</v>
      </c>
      <c r="N287" s="187">
        <v>925</v>
      </c>
      <c r="O287" s="187">
        <v>1333</v>
      </c>
      <c r="P287" s="188">
        <v>0.5</v>
      </c>
      <c r="Q287" s="186">
        <v>1850</v>
      </c>
      <c r="R287" s="186">
        <v>2665</v>
      </c>
      <c r="S287" s="184" t="s">
        <v>59</v>
      </c>
    </row>
    <row r="288" spans="1:19">
      <c r="A288" s="111">
        <v>287</v>
      </c>
      <c r="B288" s="121">
        <v>44811</v>
      </c>
      <c r="C288" s="113">
        <f t="shared" si="2"/>
        <v>2022</v>
      </c>
      <c r="D288" s="114">
        <f t="shared" si="3"/>
        <v>9</v>
      </c>
      <c r="E288" s="114" t="s">
        <v>8</v>
      </c>
      <c r="F288" s="114" t="s">
        <v>188</v>
      </c>
      <c r="G288" s="115" t="s">
        <v>189</v>
      </c>
      <c r="H288" s="114" t="s">
        <v>190</v>
      </c>
      <c r="I288" s="114" t="s">
        <v>184</v>
      </c>
      <c r="J288" s="186">
        <v>3</v>
      </c>
      <c r="K288" s="187">
        <v>50</v>
      </c>
      <c r="L288" s="187">
        <v>25</v>
      </c>
      <c r="M288" s="187">
        <v>2.1</v>
      </c>
      <c r="N288" s="187">
        <v>787</v>
      </c>
      <c r="O288" s="187">
        <v>1214</v>
      </c>
      <c r="P288" s="188">
        <v>0</v>
      </c>
      <c r="Q288" s="186">
        <v>2361</v>
      </c>
      <c r="R288" s="186">
        <v>3643</v>
      </c>
      <c r="S288" s="184" t="s">
        <v>59</v>
      </c>
    </row>
    <row r="289" spans="1:19">
      <c r="A289" s="111">
        <v>288</v>
      </c>
      <c r="B289" s="121">
        <v>44812</v>
      </c>
      <c r="C289" s="113">
        <f t="shared" si="2"/>
        <v>2022</v>
      </c>
      <c r="D289" s="114">
        <f t="shared" si="3"/>
        <v>9</v>
      </c>
      <c r="E289" s="114" t="s">
        <v>8</v>
      </c>
      <c r="F289" s="114" t="s">
        <v>191</v>
      </c>
      <c r="G289" s="115" t="s">
        <v>192</v>
      </c>
      <c r="H289" s="114" t="s">
        <v>193</v>
      </c>
      <c r="I289" s="114" t="s">
        <v>173</v>
      </c>
      <c r="J289" s="186">
        <v>2</v>
      </c>
      <c r="K289" s="187">
        <v>63</v>
      </c>
      <c r="L289" s="187">
        <v>30</v>
      </c>
      <c r="M289" s="187">
        <v>2.2999999999999998</v>
      </c>
      <c r="N289" s="187">
        <v>644</v>
      </c>
      <c r="O289" s="187">
        <v>917</v>
      </c>
      <c r="P289" s="188">
        <v>0</v>
      </c>
      <c r="Q289" s="186">
        <v>1287</v>
      </c>
      <c r="R289" s="186">
        <v>1833</v>
      </c>
      <c r="S289" s="184" t="s">
        <v>59</v>
      </c>
    </row>
    <row r="290" spans="1:19">
      <c r="A290" s="111">
        <v>289</v>
      </c>
      <c r="B290" s="121">
        <v>44813</v>
      </c>
      <c r="C290" s="113">
        <f t="shared" si="2"/>
        <v>2022</v>
      </c>
      <c r="D290" s="114">
        <f t="shared" si="3"/>
        <v>9</v>
      </c>
      <c r="E290" s="114" t="s">
        <v>8</v>
      </c>
      <c r="F290" s="114" t="s">
        <v>194</v>
      </c>
      <c r="G290" s="115" t="s">
        <v>107</v>
      </c>
      <c r="H290" s="185" t="s">
        <v>107</v>
      </c>
      <c r="I290" s="185"/>
      <c r="J290" s="119">
        <v>0</v>
      </c>
      <c r="K290" s="117">
        <v>0</v>
      </c>
      <c r="L290" s="117">
        <v>0</v>
      </c>
      <c r="M290" s="117">
        <v>0</v>
      </c>
      <c r="N290" s="117">
        <v>0</v>
      </c>
      <c r="O290" s="117">
        <v>0</v>
      </c>
      <c r="P290" s="118">
        <v>0</v>
      </c>
      <c r="Q290" s="119">
        <v>0</v>
      </c>
      <c r="R290" s="119">
        <v>0</v>
      </c>
      <c r="S290" s="184" t="s">
        <v>59</v>
      </c>
    </row>
    <row r="291" spans="1:19">
      <c r="A291" s="111">
        <v>290</v>
      </c>
      <c r="B291" s="121">
        <v>44814</v>
      </c>
      <c r="C291" s="113">
        <f t="shared" si="2"/>
        <v>2022</v>
      </c>
      <c r="D291" s="114">
        <f t="shared" si="3"/>
        <v>9</v>
      </c>
      <c r="E291" s="114" t="s">
        <v>88</v>
      </c>
      <c r="F291" s="114" t="s">
        <v>195</v>
      </c>
      <c r="G291" s="115" t="s">
        <v>196</v>
      </c>
      <c r="H291" s="114" t="s">
        <v>197</v>
      </c>
      <c r="I291" s="114" t="s">
        <v>184</v>
      </c>
      <c r="J291" s="186">
        <v>2</v>
      </c>
      <c r="K291" s="187">
        <v>40</v>
      </c>
      <c r="L291" s="187">
        <v>24</v>
      </c>
      <c r="M291" s="187">
        <v>1.8</v>
      </c>
      <c r="N291" s="187">
        <v>584</v>
      </c>
      <c r="O291" s="187">
        <v>793</v>
      </c>
      <c r="P291" s="188">
        <v>0</v>
      </c>
      <c r="Q291" s="186">
        <v>1167</v>
      </c>
      <c r="R291" s="186">
        <v>1585</v>
      </c>
      <c r="S291" s="184" t="s">
        <v>59</v>
      </c>
    </row>
    <row r="292" spans="1:19">
      <c r="A292" s="111">
        <v>291</v>
      </c>
      <c r="B292" s="121">
        <v>44815</v>
      </c>
      <c r="C292" s="113">
        <f t="shared" si="2"/>
        <v>2022</v>
      </c>
      <c r="D292" s="114">
        <f t="shared" si="3"/>
        <v>9</v>
      </c>
      <c r="E292" s="114" t="s">
        <v>104</v>
      </c>
      <c r="F292" s="114" t="s">
        <v>198</v>
      </c>
      <c r="G292" s="115" t="s">
        <v>199</v>
      </c>
      <c r="H292" s="114" t="s">
        <v>199</v>
      </c>
      <c r="I292" s="114" t="s">
        <v>200</v>
      </c>
      <c r="J292" s="186">
        <v>1</v>
      </c>
      <c r="K292" s="187">
        <v>47</v>
      </c>
      <c r="L292" s="187">
        <v>25</v>
      </c>
      <c r="M292" s="187">
        <v>2.2999999999999998</v>
      </c>
      <c r="N292" s="187">
        <v>631</v>
      </c>
      <c r="O292" s="187">
        <v>645</v>
      </c>
      <c r="P292" s="188">
        <v>1</v>
      </c>
      <c r="Q292" s="186">
        <v>631</v>
      </c>
      <c r="R292" s="186">
        <v>645</v>
      </c>
      <c r="S292" s="184" t="s">
        <v>59</v>
      </c>
    </row>
    <row r="293" spans="1:19">
      <c r="A293" s="111">
        <v>292</v>
      </c>
      <c r="B293" s="121">
        <v>44816</v>
      </c>
      <c r="C293" s="113">
        <f t="shared" si="2"/>
        <v>2022</v>
      </c>
      <c r="D293" s="114">
        <f t="shared" si="3"/>
        <v>9</v>
      </c>
      <c r="E293" s="114" t="s">
        <v>201</v>
      </c>
      <c r="F293" s="114" t="s">
        <v>202</v>
      </c>
      <c r="G293" s="115" t="s">
        <v>203</v>
      </c>
      <c r="H293" s="114" t="s">
        <v>204</v>
      </c>
      <c r="I293" s="114" t="s">
        <v>173</v>
      </c>
      <c r="J293" s="119">
        <v>0</v>
      </c>
      <c r="K293" s="117">
        <v>0</v>
      </c>
      <c r="L293" s="117">
        <v>0</v>
      </c>
      <c r="M293" s="117">
        <v>0</v>
      </c>
      <c r="N293" s="117">
        <v>0</v>
      </c>
      <c r="O293" s="117">
        <v>0</v>
      </c>
      <c r="P293" s="118">
        <v>0</v>
      </c>
      <c r="Q293" s="119">
        <v>0</v>
      </c>
      <c r="R293" s="119">
        <v>0</v>
      </c>
      <c r="S293" s="184" t="s">
        <v>59</v>
      </c>
    </row>
    <row r="294" spans="1:19">
      <c r="A294" s="111">
        <v>293</v>
      </c>
      <c r="B294" s="121">
        <v>44817</v>
      </c>
      <c r="C294" s="113">
        <f t="shared" si="2"/>
        <v>2022</v>
      </c>
      <c r="D294" s="114">
        <f t="shared" si="3"/>
        <v>9</v>
      </c>
      <c r="E294" s="114" t="s">
        <v>30</v>
      </c>
      <c r="F294" s="114" t="s">
        <v>205</v>
      </c>
      <c r="G294" s="115" t="s">
        <v>206</v>
      </c>
      <c r="H294" s="114" t="s">
        <v>207</v>
      </c>
      <c r="I294" s="114" t="s">
        <v>184</v>
      </c>
      <c r="J294" s="119">
        <v>0</v>
      </c>
      <c r="K294" s="117">
        <v>0</v>
      </c>
      <c r="L294" s="117">
        <v>0</v>
      </c>
      <c r="M294" s="117">
        <v>0</v>
      </c>
      <c r="N294" s="117">
        <v>0</v>
      </c>
      <c r="O294" s="117">
        <v>0</v>
      </c>
      <c r="P294" s="118">
        <v>0</v>
      </c>
      <c r="Q294" s="119">
        <v>0</v>
      </c>
      <c r="R294" s="119">
        <v>0</v>
      </c>
      <c r="S294" s="184" t="s">
        <v>59</v>
      </c>
    </row>
    <row r="295" spans="1:19">
      <c r="A295" s="111">
        <v>294</v>
      </c>
      <c r="B295" s="121">
        <v>44818</v>
      </c>
      <c r="C295" s="113">
        <f t="shared" si="2"/>
        <v>2022</v>
      </c>
      <c r="D295" s="114">
        <f t="shared" si="3"/>
        <v>9</v>
      </c>
      <c r="E295" s="114" t="s">
        <v>10</v>
      </c>
      <c r="F295" s="114" t="s">
        <v>208</v>
      </c>
      <c r="G295" s="115" t="s">
        <v>209</v>
      </c>
      <c r="H295" s="114" t="s">
        <v>210</v>
      </c>
      <c r="I295" s="114" t="s">
        <v>173</v>
      </c>
      <c r="J295" s="186">
        <v>4</v>
      </c>
      <c r="K295" s="187">
        <v>63</v>
      </c>
      <c r="L295" s="187">
        <v>29</v>
      </c>
      <c r="M295" s="187">
        <v>2.4</v>
      </c>
      <c r="N295" s="187">
        <v>1243</v>
      </c>
      <c r="O295" s="187">
        <v>1864</v>
      </c>
      <c r="P295" s="188">
        <v>0.25</v>
      </c>
      <c r="Q295" s="186">
        <v>4970</v>
      </c>
      <c r="R295" s="186">
        <v>7457</v>
      </c>
      <c r="S295" s="184" t="s">
        <v>59</v>
      </c>
    </row>
    <row r="296" spans="1:19">
      <c r="A296" s="111">
        <v>295</v>
      </c>
      <c r="B296" s="121">
        <v>44819</v>
      </c>
      <c r="C296" s="113">
        <f t="shared" si="2"/>
        <v>2022</v>
      </c>
      <c r="D296" s="114">
        <f t="shared" si="3"/>
        <v>9</v>
      </c>
      <c r="E296" s="114" t="s">
        <v>10</v>
      </c>
      <c r="F296" s="114" t="s">
        <v>211</v>
      </c>
      <c r="G296" s="115" t="s">
        <v>212</v>
      </c>
      <c r="H296" s="114" t="s">
        <v>213</v>
      </c>
      <c r="I296" s="114" t="s">
        <v>173</v>
      </c>
      <c r="J296" s="119">
        <v>0</v>
      </c>
      <c r="K296" s="117">
        <v>0</v>
      </c>
      <c r="L296" s="117">
        <v>0</v>
      </c>
      <c r="M296" s="117">
        <v>0</v>
      </c>
      <c r="N296" s="117">
        <v>0</v>
      </c>
      <c r="O296" s="117">
        <v>0</v>
      </c>
      <c r="P296" s="118">
        <v>0</v>
      </c>
      <c r="Q296" s="119">
        <v>0</v>
      </c>
      <c r="R296" s="119">
        <v>0</v>
      </c>
      <c r="S296" s="184" t="s">
        <v>59</v>
      </c>
    </row>
    <row r="297" spans="1:19">
      <c r="A297" s="111">
        <v>296</v>
      </c>
      <c r="B297" s="121">
        <v>44820</v>
      </c>
      <c r="C297" s="113">
        <f t="shared" si="2"/>
        <v>2022</v>
      </c>
      <c r="D297" s="114">
        <f t="shared" si="3"/>
        <v>9</v>
      </c>
      <c r="E297" s="114" t="s">
        <v>10</v>
      </c>
      <c r="F297" s="114" t="s">
        <v>214</v>
      </c>
      <c r="G297" s="115" t="s">
        <v>215</v>
      </c>
      <c r="H297" s="114" t="s">
        <v>216</v>
      </c>
      <c r="I297" s="114" t="s">
        <v>184</v>
      </c>
      <c r="J297" s="119">
        <v>0</v>
      </c>
      <c r="K297" s="117">
        <v>0</v>
      </c>
      <c r="L297" s="117">
        <v>0</v>
      </c>
      <c r="M297" s="117">
        <v>0</v>
      </c>
      <c r="N297" s="117">
        <v>0</v>
      </c>
      <c r="O297" s="117">
        <v>0</v>
      </c>
      <c r="P297" s="118">
        <v>0</v>
      </c>
      <c r="Q297" s="119">
        <v>0</v>
      </c>
      <c r="R297" s="119">
        <v>0</v>
      </c>
      <c r="S297" s="184" t="s">
        <v>59</v>
      </c>
    </row>
    <row r="298" spans="1:19">
      <c r="A298" s="111">
        <v>297</v>
      </c>
      <c r="B298" s="121">
        <v>44821</v>
      </c>
      <c r="C298" s="113">
        <f t="shared" si="2"/>
        <v>2022</v>
      </c>
      <c r="D298" s="114">
        <f t="shared" si="3"/>
        <v>9</v>
      </c>
      <c r="E298" s="114" t="s">
        <v>9</v>
      </c>
      <c r="F298" s="114" t="s">
        <v>217</v>
      </c>
      <c r="G298" s="115" t="s">
        <v>218</v>
      </c>
      <c r="H298" s="114" t="s">
        <v>219</v>
      </c>
      <c r="I298" s="114" t="s">
        <v>184</v>
      </c>
      <c r="J298" s="186">
        <v>4</v>
      </c>
      <c r="K298" s="187">
        <v>80</v>
      </c>
      <c r="L298" s="187">
        <v>32</v>
      </c>
      <c r="M298" s="187">
        <v>2.7</v>
      </c>
      <c r="N298" s="187">
        <v>2242</v>
      </c>
      <c r="O298" s="187">
        <v>3310</v>
      </c>
      <c r="P298" s="188">
        <v>0.5</v>
      </c>
      <c r="Q298" s="186">
        <v>8969</v>
      </c>
      <c r="R298" s="186">
        <v>13238</v>
      </c>
      <c r="S298" s="184" t="s">
        <v>59</v>
      </c>
    </row>
    <row r="299" spans="1:19">
      <c r="A299" s="111">
        <v>298</v>
      </c>
      <c r="B299" s="121">
        <v>44822</v>
      </c>
      <c r="C299" s="113">
        <f t="shared" si="2"/>
        <v>2022</v>
      </c>
      <c r="D299" s="114">
        <f t="shared" si="3"/>
        <v>9</v>
      </c>
      <c r="E299" s="114" t="s">
        <v>11</v>
      </c>
      <c r="F299" s="114" t="s">
        <v>220</v>
      </c>
      <c r="G299" s="115" t="s">
        <v>221</v>
      </c>
      <c r="H299" s="114" t="s">
        <v>222</v>
      </c>
      <c r="I299" s="114" t="s">
        <v>184</v>
      </c>
      <c r="J299" s="186">
        <v>1</v>
      </c>
      <c r="K299" s="187">
        <v>38</v>
      </c>
      <c r="L299" s="187">
        <v>26</v>
      </c>
      <c r="M299" s="187">
        <v>1.6</v>
      </c>
      <c r="N299" s="187">
        <v>539</v>
      </c>
      <c r="O299" s="187">
        <v>820</v>
      </c>
      <c r="P299" s="188">
        <v>1</v>
      </c>
      <c r="Q299" s="186">
        <v>539</v>
      </c>
      <c r="R299" s="186">
        <v>820</v>
      </c>
      <c r="S299" s="184" t="s">
        <v>59</v>
      </c>
    </row>
    <row r="300" spans="1:19">
      <c r="A300" s="111">
        <v>299</v>
      </c>
      <c r="B300" s="121">
        <v>44823</v>
      </c>
      <c r="C300" s="113">
        <f t="shared" si="2"/>
        <v>2022</v>
      </c>
      <c r="D300" s="114">
        <f t="shared" si="3"/>
        <v>9</v>
      </c>
      <c r="E300" s="114" t="s">
        <v>91</v>
      </c>
      <c r="F300" s="114" t="s">
        <v>178</v>
      </c>
      <c r="G300" s="115" t="s">
        <v>179</v>
      </c>
      <c r="H300" s="114" t="s">
        <v>180</v>
      </c>
      <c r="I300" s="114" t="s">
        <v>173</v>
      </c>
      <c r="J300" s="186">
        <v>2</v>
      </c>
      <c r="K300" s="187">
        <v>53</v>
      </c>
      <c r="L300" s="187">
        <v>30</v>
      </c>
      <c r="M300" s="187">
        <v>2.1</v>
      </c>
      <c r="N300" s="187">
        <v>677</v>
      </c>
      <c r="O300" s="187">
        <v>988</v>
      </c>
      <c r="P300" s="188">
        <v>0.5</v>
      </c>
      <c r="Q300" s="186">
        <v>1353</v>
      </c>
      <c r="R300" s="186">
        <v>2963</v>
      </c>
      <c r="S300" s="184" t="s">
        <v>59</v>
      </c>
    </row>
    <row r="301" spans="1:19">
      <c r="A301" s="111">
        <v>300</v>
      </c>
      <c r="B301" s="121">
        <v>44824</v>
      </c>
      <c r="C301" s="113">
        <f t="shared" si="2"/>
        <v>2022</v>
      </c>
      <c r="D301" s="114">
        <f t="shared" si="3"/>
        <v>9</v>
      </c>
      <c r="E301" s="114" t="s">
        <v>23</v>
      </c>
      <c r="F301" s="114" t="s">
        <v>223</v>
      </c>
      <c r="G301" s="115" t="s">
        <v>175</v>
      </c>
      <c r="H301" s="114" t="s">
        <v>176</v>
      </c>
      <c r="I301" s="114" t="s">
        <v>173</v>
      </c>
      <c r="J301" s="186">
        <v>4</v>
      </c>
      <c r="K301" s="187">
        <v>75</v>
      </c>
      <c r="L301" s="187">
        <v>33</v>
      </c>
      <c r="M301" s="187">
        <v>2.5</v>
      </c>
      <c r="N301" s="187">
        <v>1338</v>
      </c>
      <c r="O301" s="187">
        <v>1939</v>
      </c>
      <c r="P301" s="188">
        <v>1</v>
      </c>
      <c r="Q301" s="186">
        <v>5350</v>
      </c>
      <c r="R301" s="186">
        <v>7754</v>
      </c>
      <c r="S301" s="184" t="s">
        <v>59</v>
      </c>
    </row>
    <row r="302" spans="1:19">
      <c r="A302" s="111">
        <v>301</v>
      </c>
      <c r="B302" s="121">
        <v>44825</v>
      </c>
      <c r="C302" s="113">
        <f t="shared" si="2"/>
        <v>2022</v>
      </c>
      <c r="D302" s="114">
        <f t="shared" si="3"/>
        <v>9</v>
      </c>
      <c r="E302" s="114" t="s">
        <v>23</v>
      </c>
      <c r="F302" s="114" t="s">
        <v>224</v>
      </c>
      <c r="G302" s="115" t="s">
        <v>107</v>
      </c>
      <c r="H302" s="114" t="s">
        <v>107</v>
      </c>
      <c r="I302" s="114" t="s">
        <v>107</v>
      </c>
      <c r="J302" s="119">
        <v>0</v>
      </c>
      <c r="K302" s="117">
        <v>0</v>
      </c>
      <c r="L302" s="117">
        <v>0</v>
      </c>
      <c r="M302" s="117">
        <v>0</v>
      </c>
      <c r="N302" s="117">
        <v>0</v>
      </c>
      <c r="O302" s="117">
        <v>0</v>
      </c>
      <c r="P302" s="118">
        <v>0</v>
      </c>
      <c r="Q302" s="119">
        <v>0</v>
      </c>
      <c r="R302" s="119">
        <v>0</v>
      </c>
      <c r="S302" s="184" t="s">
        <v>59</v>
      </c>
    </row>
    <row r="303" spans="1:19">
      <c r="A303" s="111">
        <v>302</v>
      </c>
      <c r="B303" s="121">
        <v>44826</v>
      </c>
      <c r="C303" s="113">
        <f t="shared" si="2"/>
        <v>2022</v>
      </c>
      <c r="D303" s="114">
        <f t="shared" si="3"/>
        <v>9</v>
      </c>
      <c r="E303" s="114" t="s">
        <v>15</v>
      </c>
      <c r="F303" s="114" t="s">
        <v>225</v>
      </c>
      <c r="G303" s="115" t="s">
        <v>226</v>
      </c>
      <c r="H303" s="114" t="s">
        <v>227</v>
      </c>
      <c r="I303" s="114" t="s">
        <v>173</v>
      </c>
      <c r="J303" s="186">
        <v>4</v>
      </c>
      <c r="K303" s="187">
        <v>43</v>
      </c>
      <c r="L303" s="187">
        <v>23</v>
      </c>
      <c r="M303" s="187">
        <v>2.1</v>
      </c>
      <c r="N303" s="187">
        <v>814</v>
      </c>
      <c r="O303" s="187">
        <v>1086</v>
      </c>
      <c r="P303" s="188">
        <v>0.75</v>
      </c>
      <c r="Q303" s="186">
        <v>3255</v>
      </c>
      <c r="R303" s="186">
        <v>4343</v>
      </c>
      <c r="S303" s="184" t="s">
        <v>59</v>
      </c>
    </row>
    <row r="304" spans="1:19">
      <c r="A304" s="111">
        <v>303</v>
      </c>
      <c r="B304" s="121">
        <v>44827</v>
      </c>
      <c r="C304" s="113">
        <f t="shared" si="2"/>
        <v>2022</v>
      </c>
      <c r="D304" s="114">
        <f t="shared" si="3"/>
        <v>9</v>
      </c>
      <c r="E304" s="114" t="s">
        <v>84</v>
      </c>
      <c r="F304" s="114" t="s">
        <v>228</v>
      </c>
      <c r="G304" s="115" t="s">
        <v>229</v>
      </c>
      <c r="H304" s="114" t="s">
        <v>230</v>
      </c>
      <c r="I304" s="114" t="s">
        <v>184</v>
      </c>
      <c r="J304" s="186">
        <v>4</v>
      </c>
      <c r="K304" s="187">
        <v>44</v>
      </c>
      <c r="L304" s="187">
        <v>29</v>
      </c>
      <c r="M304" s="187">
        <v>1.7</v>
      </c>
      <c r="N304" s="187">
        <v>451</v>
      </c>
      <c r="O304" s="187">
        <v>613</v>
      </c>
      <c r="P304" s="188">
        <v>0.5</v>
      </c>
      <c r="Q304" s="186">
        <v>1804</v>
      </c>
      <c r="R304" s="186">
        <v>2451</v>
      </c>
      <c r="S304" s="184" t="s">
        <v>59</v>
      </c>
    </row>
    <row r="305" spans="1:19">
      <c r="A305" s="111">
        <v>304</v>
      </c>
      <c r="B305" s="121">
        <v>44828</v>
      </c>
      <c r="C305" s="113">
        <f t="shared" si="2"/>
        <v>2022</v>
      </c>
      <c r="D305" s="114">
        <f t="shared" si="3"/>
        <v>9</v>
      </c>
      <c r="E305" s="114" t="s">
        <v>84</v>
      </c>
      <c r="F305" s="114" t="s">
        <v>231</v>
      </c>
      <c r="G305" s="115" t="s">
        <v>232</v>
      </c>
      <c r="H305" s="114" t="s">
        <v>233</v>
      </c>
      <c r="I305" s="114" t="s">
        <v>184</v>
      </c>
      <c r="J305" s="119">
        <v>0</v>
      </c>
      <c r="K305" s="117">
        <v>0</v>
      </c>
      <c r="L305" s="117">
        <v>0</v>
      </c>
      <c r="M305" s="117">
        <v>0</v>
      </c>
      <c r="N305" s="117">
        <v>0</v>
      </c>
      <c r="O305" s="117">
        <v>0</v>
      </c>
      <c r="P305" s="118">
        <v>0</v>
      </c>
      <c r="Q305" s="119">
        <v>0</v>
      </c>
      <c r="R305" s="119">
        <v>0</v>
      </c>
      <c r="S305" s="184" t="s">
        <v>59</v>
      </c>
    </row>
    <row r="306" spans="1:19">
      <c r="A306" s="111">
        <v>305</v>
      </c>
      <c r="B306" s="121">
        <v>44829</v>
      </c>
      <c r="C306" s="113">
        <f t="shared" si="2"/>
        <v>2022</v>
      </c>
      <c r="D306" s="114">
        <f t="shared" si="3"/>
        <v>9</v>
      </c>
      <c r="E306" s="114" t="s">
        <v>22</v>
      </c>
      <c r="F306" s="114" t="s">
        <v>174</v>
      </c>
      <c r="G306" s="115" t="s">
        <v>175</v>
      </c>
      <c r="H306" s="114" t="s">
        <v>176</v>
      </c>
      <c r="I306" s="114" t="s">
        <v>173</v>
      </c>
      <c r="J306" s="186">
        <v>4</v>
      </c>
      <c r="K306" s="187">
        <v>83</v>
      </c>
      <c r="L306" s="187">
        <v>34</v>
      </c>
      <c r="M306" s="187">
        <v>2.6</v>
      </c>
      <c r="N306" s="187">
        <v>2299</v>
      </c>
      <c r="O306" s="187">
        <v>3290</v>
      </c>
      <c r="P306" s="188">
        <v>0.5</v>
      </c>
      <c r="Q306" s="186">
        <v>9194</v>
      </c>
      <c r="R306" s="186">
        <v>13161</v>
      </c>
      <c r="S306" s="184" t="s">
        <v>59</v>
      </c>
    </row>
    <row r="307" spans="1:19">
      <c r="A307" s="111">
        <v>306</v>
      </c>
      <c r="B307" s="121">
        <v>44830</v>
      </c>
      <c r="C307" s="113">
        <f t="shared" si="2"/>
        <v>2022</v>
      </c>
      <c r="D307" s="114">
        <f t="shared" si="3"/>
        <v>9</v>
      </c>
      <c r="E307" s="114" t="s">
        <v>22</v>
      </c>
      <c r="F307" s="114" t="s">
        <v>177</v>
      </c>
      <c r="G307" s="115" t="s">
        <v>175</v>
      </c>
      <c r="H307" s="114" t="s">
        <v>176</v>
      </c>
      <c r="I307" s="114" t="s">
        <v>173</v>
      </c>
      <c r="J307" s="119">
        <v>0</v>
      </c>
      <c r="K307" s="117">
        <v>0</v>
      </c>
      <c r="L307" s="117">
        <v>0</v>
      </c>
      <c r="M307" s="117">
        <v>0</v>
      </c>
      <c r="N307" s="117">
        <v>0</v>
      </c>
      <c r="O307" s="117">
        <v>0</v>
      </c>
      <c r="P307" s="118">
        <v>0</v>
      </c>
      <c r="Q307" s="119">
        <v>0</v>
      </c>
      <c r="R307" s="119">
        <v>0</v>
      </c>
      <c r="S307" s="184" t="s">
        <v>59</v>
      </c>
    </row>
    <row r="308" spans="1:19">
      <c r="A308" s="111">
        <v>307</v>
      </c>
      <c r="B308" s="121">
        <v>44831</v>
      </c>
      <c r="C308" s="113">
        <f t="shared" si="2"/>
        <v>2022</v>
      </c>
      <c r="D308" s="114">
        <f t="shared" si="3"/>
        <v>9</v>
      </c>
      <c r="E308" s="114" t="s">
        <v>22</v>
      </c>
      <c r="F308" s="114" t="s">
        <v>223</v>
      </c>
      <c r="G308" s="115" t="s">
        <v>175</v>
      </c>
      <c r="H308" s="114" t="s">
        <v>176</v>
      </c>
      <c r="I308" s="114" t="s">
        <v>173</v>
      </c>
      <c r="J308" s="119">
        <v>0</v>
      </c>
      <c r="K308" s="117">
        <v>0</v>
      </c>
      <c r="L308" s="117">
        <v>0</v>
      </c>
      <c r="M308" s="117">
        <v>0</v>
      </c>
      <c r="N308" s="117">
        <v>0</v>
      </c>
      <c r="O308" s="117">
        <v>0</v>
      </c>
      <c r="P308" s="118">
        <v>0</v>
      </c>
      <c r="Q308" s="119">
        <v>0</v>
      </c>
      <c r="R308" s="119">
        <v>0</v>
      </c>
      <c r="S308" s="184" t="s">
        <v>59</v>
      </c>
    </row>
    <row r="309" spans="1:19">
      <c r="A309" s="111">
        <v>308</v>
      </c>
      <c r="B309" s="121">
        <v>44832</v>
      </c>
      <c r="C309" s="113">
        <f t="shared" si="2"/>
        <v>2022</v>
      </c>
      <c r="D309" s="114">
        <f t="shared" si="3"/>
        <v>9</v>
      </c>
      <c r="E309" s="114" t="s">
        <v>12</v>
      </c>
      <c r="F309" s="114" t="s">
        <v>220</v>
      </c>
      <c r="G309" s="115" t="s">
        <v>221</v>
      </c>
      <c r="H309" s="114" t="s">
        <v>222</v>
      </c>
      <c r="I309" s="114" t="s">
        <v>184</v>
      </c>
      <c r="J309" s="186">
        <v>1</v>
      </c>
      <c r="K309" s="187">
        <v>35</v>
      </c>
      <c r="L309" s="187">
        <v>18</v>
      </c>
      <c r="M309" s="187">
        <v>2.2000000000000002</v>
      </c>
      <c r="N309" s="187">
        <v>635</v>
      </c>
      <c r="O309" s="187">
        <v>881</v>
      </c>
      <c r="P309" s="188">
        <v>0</v>
      </c>
      <c r="Q309" s="186">
        <v>635</v>
      </c>
      <c r="R309" s="186">
        <v>881</v>
      </c>
      <c r="S309" s="184" t="s">
        <v>59</v>
      </c>
    </row>
    <row r="310" spans="1:19">
      <c r="A310" s="111">
        <v>309</v>
      </c>
      <c r="B310" s="121">
        <v>44833</v>
      </c>
      <c r="C310" s="113">
        <f t="shared" si="2"/>
        <v>2022</v>
      </c>
      <c r="D310" s="114">
        <f t="shared" si="3"/>
        <v>9</v>
      </c>
      <c r="E310" s="114" t="s">
        <v>12</v>
      </c>
      <c r="F310" s="114" t="s">
        <v>234</v>
      </c>
      <c r="G310" s="115" t="s">
        <v>235</v>
      </c>
      <c r="H310" s="114" t="s">
        <v>236</v>
      </c>
      <c r="I310" s="114" t="s">
        <v>184</v>
      </c>
      <c r="J310" s="186">
        <v>5</v>
      </c>
      <c r="K310" s="187">
        <v>34</v>
      </c>
      <c r="L310" s="187">
        <v>19</v>
      </c>
      <c r="M310" s="187">
        <v>1.9</v>
      </c>
      <c r="N310" s="187">
        <v>614</v>
      </c>
      <c r="O310" s="187">
        <v>926</v>
      </c>
      <c r="P310" s="188">
        <v>0.4</v>
      </c>
      <c r="Q310" s="186">
        <v>3071</v>
      </c>
      <c r="R310" s="186">
        <v>4629</v>
      </c>
      <c r="S310" s="184" t="s">
        <v>59</v>
      </c>
    </row>
    <row r="311" spans="1:19">
      <c r="A311" s="111">
        <v>310</v>
      </c>
      <c r="B311" s="121">
        <v>44834</v>
      </c>
      <c r="C311" s="113">
        <f t="shared" si="2"/>
        <v>2022</v>
      </c>
      <c r="D311" s="114">
        <f t="shared" si="3"/>
        <v>9</v>
      </c>
      <c r="E311" s="114" t="s">
        <v>12</v>
      </c>
      <c r="F311" s="114" t="s">
        <v>237</v>
      </c>
      <c r="G311" s="115" t="s">
        <v>199</v>
      </c>
      <c r="H311" s="114" t="s">
        <v>199</v>
      </c>
      <c r="I311" s="114" t="s">
        <v>200</v>
      </c>
      <c r="J311" s="119">
        <v>0</v>
      </c>
      <c r="K311" s="117">
        <v>0</v>
      </c>
      <c r="L311" s="117">
        <v>0</v>
      </c>
      <c r="M311" s="117">
        <v>0</v>
      </c>
      <c r="N311" s="117">
        <v>0</v>
      </c>
      <c r="O311" s="117">
        <v>0</v>
      </c>
      <c r="P311" s="118">
        <v>0</v>
      </c>
      <c r="Q311" s="119">
        <v>0</v>
      </c>
      <c r="R311" s="119">
        <v>0</v>
      </c>
      <c r="S311" s="184" t="s">
        <v>59</v>
      </c>
    </row>
    <row r="312" spans="1:19">
      <c r="A312" s="111">
        <v>311</v>
      </c>
      <c r="B312" s="121">
        <v>44805</v>
      </c>
      <c r="C312" s="113">
        <f t="shared" si="2"/>
        <v>2022</v>
      </c>
      <c r="D312" s="114">
        <f t="shared" si="3"/>
        <v>9</v>
      </c>
      <c r="E312" s="114" t="s">
        <v>26</v>
      </c>
      <c r="F312" s="114" t="s">
        <v>238</v>
      </c>
      <c r="G312" s="115" t="s">
        <v>175</v>
      </c>
      <c r="H312" s="114" t="s">
        <v>176</v>
      </c>
      <c r="I312" s="114" t="s">
        <v>173</v>
      </c>
      <c r="J312" s="119">
        <v>0</v>
      </c>
      <c r="K312" s="117">
        <v>0</v>
      </c>
      <c r="L312" s="117">
        <v>0</v>
      </c>
      <c r="M312" s="117">
        <v>0</v>
      </c>
      <c r="N312" s="117">
        <v>0</v>
      </c>
      <c r="O312" s="117">
        <v>0</v>
      </c>
      <c r="P312" s="118">
        <v>0</v>
      </c>
      <c r="Q312" s="119">
        <v>0</v>
      </c>
      <c r="R312" s="119">
        <v>0</v>
      </c>
      <c r="S312" s="184" t="s">
        <v>59</v>
      </c>
    </row>
    <row r="313" spans="1:19">
      <c r="A313" s="111">
        <v>312</v>
      </c>
      <c r="B313" s="121">
        <v>44806</v>
      </c>
      <c r="C313" s="113">
        <f t="shared" si="2"/>
        <v>2022</v>
      </c>
      <c r="D313" s="114">
        <f t="shared" si="3"/>
        <v>9</v>
      </c>
      <c r="E313" s="114" t="s">
        <v>19</v>
      </c>
      <c r="F313" s="114" t="s">
        <v>178</v>
      </c>
      <c r="G313" s="115" t="s">
        <v>179</v>
      </c>
      <c r="H313" s="114" t="s">
        <v>180</v>
      </c>
      <c r="I313" s="114" t="s">
        <v>173</v>
      </c>
      <c r="J313" s="186">
        <v>1</v>
      </c>
      <c r="K313" s="187">
        <v>43</v>
      </c>
      <c r="L313" s="187">
        <v>25</v>
      </c>
      <c r="M313" s="187">
        <v>1.8</v>
      </c>
      <c r="N313" s="187">
        <v>833</v>
      </c>
      <c r="O313" s="187">
        <v>1128</v>
      </c>
      <c r="P313" s="188">
        <v>0</v>
      </c>
      <c r="Q313" s="186">
        <v>833</v>
      </c>
      <c r="R313" s="186">
        <v>1128</v>
      </c>
      <c r="S313" s="184" t="s">
        <v>59</v>
      </c>
    </row>
    <row r="314" spans="1:19">
      <c r="A314" s="111">
        <v>313</v>
      </c>
      <c r="B314" s="121">
        <v>44807</v>
      </c>
      <c r="C314" s="113">
        <f t="shared" si="2"/>
        <v>2022</v>
      </c>
      <c r="D314" s="114">
        <f t="shared" si="3"/>
        <v>9</v>
      </c>
      <c r="E314" s="114" t="s">
        <v>7</v>
      </c>
      <c r="F314" s="114" t="s">
        <v>239</v>
      </c>
      <c r="G314" s="115" t="s">
        <v>240</v>
      </c>
      <c r="H314" s="114" t="s">
        <v>241</v>
      </c>
      <c r="I314" s="114" t="s">
        <v>184</v>
      </c>
      <c r="J314" s="186">
        <v>4</v>
      </c>
      <c r="K314" s="187">
        <v>38</v>
      </c>
      <c r="L314" s="187">
        <v>23</v>
      </c>
      <c r="M314" s="187">
        <v>1.9</v>
      </c>
      <c r="N314" s="187">
        <v>425</v>
      </c>
      <c r="O314" s="187">
        <v>663</v>
      </c>
      <c r="P314" s="188">
        <v>0.5</v>
      </c>
      <c r="Q314" s="186">
        <v>1698</v>
      </c>
      <c r="R314" s="186">
        <v>2650</v>
      </c>
      <c r="S314" s="184" t="s">
        <v>59</v>
      </c>
    </row>
    <row r="315" spans="1:19">
      <c r="A315" s="111">
        <v>314</v>
      </c>
      <c r="B315" s="121">
        <v>44808</v>
      </c>
      <c r="C315" s="113">
        <f t="shared" si="2"/>
        <v>2022</v>
      </c>
      <c r="D315" s="114">
        <f t="shared" si="3"/>
        <v>9</v>
      </c>
      <c r="E315" s="114" t="s">
        <v>7</v>
      </c>
      <c r="F315" s="114" t="s">
        <v>220</v>
      </c>
      <c r="G315" s="115" t="s">
        <v>221</v>
      </c>
      <c r="H315" s="114" t="s">
        <v>222</v>
      </c>
      <c r="I315" s="114" t="s">
        <v>184</v>
      </c>
      <c r="J315" s="186">
        <v>1</v>
      </c>
      <c r="K315" s="187">
        <v>44</v>
      </c>
      <c r="L315" s="187">
        <v>26</v>
      </c>
      <c r="M315" s="187">
        <v>1.9</v>
      </c>
      <c r="N315" s="187">
        <v>795</v>
      </c>
      <c r="O315" s="187">
        <v>1290</v>
      </c>
      <c r="P315" s="188">
        <v>0</v>
      </c>
      <c r="Q315" s="186">
        <v>795</v>
      </c>
      <c r="R315" s="186">
        <v>1290</v>
      </c>
      <c r="S315" s="184" t="s">
        <v>59</v>
      </c>
    </row>
    <row r="316" spans="1:19">
      <c r="A316" s="111">
        <v>315</v>
      </c>
      <c r="B316" s="121">
        <v>44809</v>
      </c>
      <c r="C316" s="113">
        <f t="shared" si="2"/>
        <v>2022</v>
      </c>
      <c r="D316" s="114">
        <f t="shared" si="3"/>
        <v>9</v>
      </c>
      <c r="E316" s="114" t="s">
        <v>7</v>
      </c>
      <c r="F316" s="114" t="s">
        <v>242</v>
      </c>
      <c r="G316" s="115" t="s">
        <v>243</v>
      </c>
      <c r="H316" s="114" t="s">
        <v>244</v>
      </c>
      <c r="I316" s="114" t="s">
        <v>184</v>
      </c>
      <c r="J316" s="186">
        <v>4</v>
      </c>
      <c r="K316" s="187">
        <v>64</v>
      </c>
      <c r="L316" s="187">
        <v>30</v>
      </c>
      <c r="M316" s="187">
        <v>2.4</v>
      </c>
      <c r="N316" s="187">
        <v>868</v>
      </c>
      <c r="O316" s="187">
        <v>1469</v>
      </c>
      <c r="P316" s="188">
        <v>0.5</v>
      </c>
      <c r="Q316" s="186">
        <v>3473</v>
      </c>
      <c r="R316" s="186">
        <v>5874</v>
      </c>
      <c r="S316" s="184" t="s">
        <v>59</v>
      </c>
    </row>
    <row r="317" spans="1:19">
      <c r="A317" s="111">
        <v>316</v>
      </c>
      <c r="B317" s="124">
        <v>44835</v>
      </c>
      <c r="C317" s="113">
        <f t="shared" si="2"/>
        <v>2022</v>
      </c>
      <c r="D317" s="114">
        <f t="shared" si="3"/>
        <v>10</v>
      </c>
      <c r="E317" s="114" t="s">
        <v>79</v>
      </c>
      <c r="F317" s="114" t="s">
        <v>170</v>
      </c>
      <c r="G317" s="115" t="s">
        <v>171</v>
      </c>
      <c r="H317" s="114" t="s">
        <v>172</v>
      </c>
      <c r="I317" s="114" t="s">
        <v>173</v>
      </c>
      <c r="J317" s="186">
        <v>3</v>
      </c>
      <c r="K317" s="187">
        <v>20</v>
      </c>
      <c r="L317" s="187">
        <v>25</v>
      </c>
      <c r="M317" s="187">
        <v>1.6</v>
      </c>
      <c r="N317" s="187">
        <v>271</v>
      </c>
      <c r="O317" s="187">
        <v>422</v>
      </c>
      <c r="P317" s="188">
        <v>0</v>
      </c>
      <c r="Q317" s="186">
        <v>812</v>
      </c>
      <c r="R317" s="186">
        <v>1265</v>
      </c>
      <c r="S317" s="184" t="s">
        <v>59</v>
      </c>
    </row>
    <row r="318" spans="1:19">
      <c r="A318" s="111">
        <v>317</v>
      </c>
      <c r="B318" s="124">
        <v>44836</v>
      </c>
      <c r="C318" s="113">
        <f t="shared" si="2"/>
        <v>2022</v>
      </c>
      <c r="D318" s="114">
        <f t="shared" si="3"/>
        <v>10</v>
      </c>
      <c r="E318" s="114" t="s">
        <v>79</v>
      </c>
      <c r="F318" s="114" t="s">
        <v>174</v>
      </c>
      <c r="G318" s="115" t="s">
        <v>175</v>
      </c>
      <c r="H318" s="114" t="s">
        <v>176</v>
      </c>
      <c r="I318" s="114" t="s">
        <v>173</v>
      </c>
      <c r="J318" s="119">
        <v>0</v>
      </c>
      <c r="K318" s="117">
        <v>0</v>
      </c>
      <c r="L318" s="117">
        <v>0</v>
      </c>
      <c r="M318" s="117">
        <v>0</v>
      </c>
      <c r="N318" s="117">
        <v>0</v>
      </c>
      <c r="O318" s="117">
        <v>0</v>
      </c>
      <c r="P318" s="118">
        <v>0</v>
      </c>
      <c r="Q318" s="119">
        <v>0</v>
      </c>
      <c r="R318" s="119">
        <v>0</v>
      </c>
      <c r="S318" s="184" t="s">
        <v>59</v>
      </c>
    </row>
    <row r="319" spans="1:19">
      <c r="A319" s="111">
        <v>318</v>
      </c>
      <c r="B319" s="124">
        <v>44837</v>
      </c>
      <c r="C319" s="113">
        <f t="shared" si="2"/>
        <v>2022</v>
      </c>
      <c r="D319" s="114">
        <f t="shared" si="3"/>
        <v>10</v>
      </c>
      <c r="E319" s="114" t="s">
        <v>79</v>
      </c>
      <c r="F319" s="114" t="s">
        <v>177</v>
      </c>
      <c r="G319" s="115" t="s">
        <v>175</v>
      </c>
      <c r="H319" s="114" t="s">
        <v>176</v>
      </c>
      <c r="I319" s="114" t="s">
        <v>173</v>
      </c>
      <c r="J319" s="186">
        <v>4</v>
      </c>
      <c r="K319" s="187">
        <v>90</v>
      </c>
      <c r="L319" s="187">
        <v>36</v>
      </c>
      <c r="M319" s="187">
        <v>2.7</v>
      </c>
      <c r="N319" s="187">
        <v>1910</v>
      </c>
      <c r="O319" s="187">
        <v>2808</v>
      </c>
      <c r="P319" s="188">
        <v>1</v>
      </c>
      <c r="Q319" s="186">
        <v>7641</v>
      </c>
      <c r="R319" s="186">
        <v>11231</v>
      </c>
      <c r="S319" s="184" t="s">
        <v>59</v>
      </c>
    </row>
    <row r="320" spans="1:19">
      <c r="A320" s="111">
        <v>319</v>
      </c>
      <c r="B320" s="124">
        <v>44838</v>
      </c>
      <c r="C320" s="113">
        <f t="shared" si="2"/>
        <v>2022</v>
      </c>
      <c r="D320" s="114">
        <f t="shared" si="3"/>
        <v>10</v>
      </c>
      <c r="E320" s="114" t="s">
        <v>20</v>
      </c>
      <c r="F320" s="114" t="s">
        <v>178</v>
      </c>
      <c r="G320" s="115" t="s">
        <v>179</v>
      </c>
      <c r="H320" s="114" t="s">
        <v>180</v>
      </c>
      <c r="I320" s="114" t="s">
        <v>173</v>
      </c>
      <c r="J320" s="186">
        <v>2</v>
      </c>
      <c r="K320" s="187">
        <v>36</v>
      </c>
      <c r="L320" s="187">
        <v>23</v>
      </c>
      <c r="M320" s="187">
        <v>1.6</v>
      </c>
      <c r="N320" s="187">
        <v>854</v>
      </c>
      <c r="O320" s="187">
        <v>1218</v>
      </c>
      <c r="P320" s="188">
        <v>0</v>
      </c>
      <c r="Q320" s="186">
        <v>1708</v>
      </c>
      <c r="R320" s="186">
        <v>2436</v>
      </c>
      <c r="S320" s="184" t="s">
        <v>59</v>
      </c>
    </row>
    <row r="321" spans="1:19">
      <c r="A321" s="111">
        <v>320</v>
      </c>
      <c r="B321" s="124">
        <v>44839</v>
      </c>
      <c r="C321" s="113">
        <f t="shared" si="2"/>
        <v>2022</v>
      </c>
      <c r="D321" s="114">
        <f t="shared" si="3"/>
        <v>10</v>
      </c>
      <c r="E321" s="114" t="s">
        <v>8</v>
      </c>
      <c r="F321" s="114" t="s">
        <v>181</v>
      </c>
      <c r="G321" s="115" t="s">
        <v>182</v>
      </c>
      <c r="H321" s="114" t="s">
        <v>183</v>
      </c>
      <c r="I321" s="114" t="s">
        <v>184</v>
      </c>
      <c r="J321" s="186">
        <v>4</v>
      </c>
      <c r="K321" s="187">
        <v>38</v>
      </c>
      <c r="L321" s="187">
        <v>27</v>
      </c>
      <c r="M321" s="187">
        <v>1.8</v>
      </c>
      <c r="N321" s="187">
        <v>354</v>
      </c>
      <c r="O321" s="187">
        <v>572</v>
      </c>
      <c r="P321" s="188">
        <v>0.5</v>
      </c>
      <c r="Q321" s="186">
        <v>1416</v>
      </c>
      <c r="R321" s="186">
        <v>2289</v>
      </c>
      <c r="S321" s="184" t="s">
        <v>59</v>
      </c>
    </row>
    <row r="322" spans="1:19">
      <c r="A322" s="111">
        <v>321</v>
      </c>
      <c r="B322" s="124">
        <v>44840</v>
      </c>
      <c r="C322" s="113">
        <f t="shared" si="2"/>
        <v>2022</v>
      </c>
      <c r="D322" s="114">
        <f t="shared" si="3"/>
        <v>10</v>
      </c>
      <c r="E322" s="114" t="s">
        <v>8</v>
      </c>
      <c r="F322" s="114" t="s">
        <v>185</v>
      </c>
      <c r="G322" s="115" t="s">
        <v>186</v>
      </c>
      <c r="H322" s="114" t="s">
        <v>187</v>
      </c>
      <c r="I322" s="114" t="s">
        <v>184</v>
      </c>
      <c r="J322" s="186">
        <v>5</v>
      </c>
      <c r="K322" s="187">
        <v>51</v>
      </c>
      <c r="L322" s="187">
        <v>25</v>
      </c>
      <c r="M322" s="187">
        <v>2.2000000000000002</v>
      </c>
      <c r="N322" s="187">
        <v>855</v>
      </c>
      <c r="O322" s="187">
        <v>1270</v>
      </c>
      <c r="P322" s="188">
        <v>0.2</v>
      </c>
      <c r="Q322" s="186">
        <v>4277</v>
      </c>
      <c r="R322" s="186">
        <v>6348</v>
      </c>
      <c r="S322" s="184" t="s">
        <v>59</v>
      </c>
    </row>
    <row r="323" spans="1:19">
      <c r="A323" s="111">
        <v>322</v>
      </c>
      <c r="B323" s="124">
        <v>44841</v>
      </c>
      <c r="C323" s="113">
        <f t="shared" si="2"/>
        <v>2022</v>
      </c>
      <c r="D323" s="114">
        <f t="shared" si="3"/>
        <v>10</v>
      </c>
      <c r="E323" s="114" t="s">
        <v>8</v>
      </c>
      <c r="F323" s="114" t="s">
        <v>188</v>
      </c>
      <c r="G323" s="115" t="s">
        <v>189</v>
      </c>
      <c r="H323" s="114" t="s">
        <v>190</v>
      </c>
      <c r="I323" s="114" t="s">
        <v>184</v>
      </c>
      <c r="J323" s="186">
        <v>4</v>
      </c>
      <c r="K323" s="187">
        <v>47</v>
      </c>
      <c r="L323" s="187">
        <v>22</v>
      </c>
      <c r="M323" s="187">
        <v>2.2999999999999998</v>
      </c>
      <c r="N323" s="187">
        <v>770</v>
      </c>
      <c r="O323" s="187">
        <v>1157</v>
      </c>
      <c r="P323" s="188">
        <v>0.25</v>
      </c>
      <c r="Q323" s="186">
        <v>3078</v>
      </c>
      <c r="R323" s="186">
        <v>4626</v>
      </c>
      <c r="S323" s="184" t="s">
        <v>59</v>
      </c>
    </row>
    <row r="324" spans="1:19">
      <c r="A324" s="111">
        <v>323</v>
      </c>
      <c r="B324" s="124">
        <v>44842</v>
      </c>
      <c r="C324" s="113">
        <f t="shared" si="2"/>
        <v>2022</v>
      </c>
      <c r="D324" s="114">
        <f t="shared" si="3"/>
        <v>10</v>
      </c>
      <c r="E324" s="114" t="s">
        <v>8</v>
      </c>
      <c r="F324" s="114" t="s">
        <v>191</v>
      </c>
      <c r="G324" s="115" t="s">
        <v>192</v>
      </c>
      <c r="H324" s="114" t="s">
        <v>193</v>
      </c>
      <c r="I324" s="114" t="s">
        <v>173</v>
      </c>
      <c r="J324" s="186">
        <v>3</v>
      </c>
      <c r="K324" s="187">
        <v>59</v>
      </c>
      <c r="L324" s="187">
        <v>32</v>
      </c>
      <c r="M324" s="187">
        <v>2</v>
      </c>
      <c r="N324" s="187">
        <v>526</v>
      </c>
      <c r="O324" s="187">
        <v>765</v>
      </c>
      <c r="P324" s="188">
        <v>0</v>
      </c>
      <c r="Q324" s="186">
        <v>1577</v>
      </c>
      <c r="R324" s="186">
        <v>2294</v>
      </c>
      <c r="S324" s="184" t="s">
        <v>59</v>
      </c>
    </row>
    <row r="325" spans="1:19">
      <c r="A325" s="111">
        <v>324</v>
      </c>
      <c r="B325" s="124">
        <v>44843</v>
      </c>
      <c r="C325" s="113">
        <f t="shared" si="2"/>
        <v>2022</v>
      </c>
      <c r="D325" s="114">
        <f t="shared" si="3"/>
        <v>10</v>
      </c>
      <c r="E325" s="114" t="s">
        <v>8</v>
      </c>
      <c r="F325" s="114" t="s">
        <v>194</v>
      </c>
      <c r="G325" s="115" t="s">
        <v>107</v>
      </c>
      <c r="H325" s="185" t="s">
        <v>107</v>
      </c>
      <c r="I325" s="185"/>
      <c r="J325" s="119">
        <v>0</v>
      </c>
      <c r="K325" s="117">
        <v>0</v>
      </c>
      <c r="L325" s="117">
        <v>0</v>
      </c>
      <c r="M325" s="117">
        <v>0</v>
      </c>
      <c r="N325" s="117">
        <v>0</v>
      </c>
      <c r="O325" s="117">
        <v>0</v>
      </c>
      <c r="P325" s="118">
        <v>0</v>
      </c>
      <c r="Q325" s="119">
        <v>0</v>
      </c>
      <c r="R325" s="119">
        <v>0</v>
      </c>
      <c r="S325" s="184" t="s">
        <v>59</v>
      </c>
    </row>
    <row r="326" spans="1:19">
      <c r="A326" s="111">
        <v>325</v>
      </c>
      <c r="B326" s="124">
        <v>44844</v>
      </c>
      <c r="C326" s="113">
        <f t="shared" si="2"/>
        <v>2022</v>
      </c>
      <c r="D326" s="114">
        <f t="shared" si="3"/>
        <v>10</v>
      </c>
      <c r="E326" s="114" t="s">
        <v>88</v>
      </c>
      <c r="F326" s="114" t="s">
        <v>195</v>
      </c>
      <c r="G326" s="115" t="s">
        <v>196</v>
      </c>
      <c r="H326" s="114" t="s">
        <v>197</v>
      </c>
      <c r="I326" s="114" t="s">
        <v>184</v>
      </c>
      <c r="J326" s="186">
        <v>5</v>
      </c>
      <c r="K326" s="187">
        <v>44</v>
      </c>
      <c r="L326" s="187">
        <v>24</v>
      </c>
      <c r="M326" s="187">
        <v>2</v>
      </c>
      <c r="N326" s="187">
        <v>572</v>
      </c>
      <c r="O326" s="187">
        <v>823</v>
      </c>
      <c r="P326" s="188">
        <v>0.8</v>
      </c>
      <c r="Q326" s="186">
        <v>2858</v>
      </c>
      <c r="R326" s="186">
        <v>4117</v>
      </c>
      <c r="S326" s="184" t="s">
        <v>59</v>
      </c>
    </row>
    <row r="327" spans="1:19">
      <c r="A327" s="111">
        <v>326</v>
      </c>
      <c r="B327" s="124">
        <v>44845</v>
      </c>
      <c r="C327" s="113">
        <f t="shared" si="2"/>
        <v>2022</v>
      </c>
      <c r="D327" s="114">
        <f t="shared" si="3"/>
        <v>10</v>
      </c>
      <c r="E327" s="114" t="s">
        <v>104</v>
      </c>
      <c r="F327" s="114" t="s">
        <v>198</v>
      </c>
      <c r="G327" s="115" t="s">
        <v>199</v>
      </c>
      <c r="H327" s="114" t="s">
        <v>199</v>
      </c>
      <c r="I327" s="114" t="s">
        <v>200</v>
      </c>
      <c r="J327" s="186">
        <v>1</v>
      </c>
      <c r="K327" s="187">
        <v>36</v>
      </c>
      <c r="L327" s="187">
        <v>23</v>
      </c>
      <c r="M327" s="187">
        <v>1.7</v>
      </c>
      <c r="N327" s="187">
        <v>718</v>
      </c>
      <c r="O327" s="187">
        <v>742</v>
      </c>
      <c r="P327" s="188">
        <v>1</v>
      </c>
      <c r="Q327" s="186">
        <v>718</v>
      </c>
      <c r="R327" s="186">
        <v>742</v>
      </c>
      <c r="S327" s="184" t="s">
        <v>59</v>
      </c>
    </row>
    <row r="328" spans="1:19">
      <c r="A328" s="111">
        <v>327</v>
      </c>
      <c r="B328" s="124">
        <v>44846</v>
      </c>
      <c r="C328" s="113">
        <f t="shared" si="2"/>
        <v>2022</v>
      </c>
      <c r="D328" s="114">
        <f t="shared" si="3"/>
        <v>10</v>
      </c>
      <c r="E328" s="114" t="s">
        <v>201</v>
      </c>
      <c r="F328" s="114" t="s">
        <v>202</v>
      </c>
      <c r="G328" s="115" t="s">
        <v>203</v>
      </c>
      <c r="H328" s="114" t="s">
        <v>204</v>
      </c>
      <c r="I328" s="114" t="s">
        <v>173</v>
      </c>
      <c r="J328" s="119">
        <v>0</v>
      </c>
      <c r="K328" s="117">
        <v>0</v>
      </c>
      <c r="L328" s="117">
        <v>0</v>
      </c>
      <c r="M328" s="117">
        <v>0</v>
      </c>
      <c r="N328" s="117">
        <v>0</v>
      </c>
      <c r="O328" s="117">
        <v>0</v>
      </c>
      <c r="P328" s="118">
        <v>0</v>
      </c>
      <c r="Q328" s="119">
        <v>0</v>
      </c>
      <c r="R328" s="119">
        <v>0</v>
      </c>
      <c r="S328" s="184" t="s">
        <v>59</v>
      </c>
    </row>
    <row r="329" spans="1:19">
      <c r="A329" s="111">
        <v>328</v>
      </c>
      <c r="B329" s="124">
        <v>44847</v>
      </c>
      <c r="C329" s="113">
        <f t="shared" si="2"/>
        <v>2022</v>
      </c>
      <c r="D329" s="114">
        <f t="shared" si="3"/>
        <v>10</v>
      </c>
      <c r="E329" s="114" t="s">
        <v>30</v>
      </c>
      <c r="F329" s="114" t="s">
        <v>205</v>
      </c>
      <c r="G329" s="115" t="s">
        <v>206</v>
      </c>
      <c r="H329" s="114" t="s">
        <v>207</v>
      </c>
      <c r="I329" s="114" t="s">
        <v>184</v>
      </c>
      <c r="J329" s="119">
        <v>0</v>
      </c>
      <c r="K329" s="117">
        <v>0</v>
      </c>
      <c r="L329" s="117">
        <v>0</v>
      </c>
      <c r="M329" s="117">
        <v>0</v>
      </c>
      <c r="N329" s="117">
        <v>0</v>
      </c>
      <c r="O329" s="117">
        <v>0</v>
      </c>
      <c r="P329" s="118">
        <v>0</v>
      </c>
      <c r="Q329" s="119">
        <v>0</v>
      </c>
      <c r="R329" s="119">
        <v>0</v>
      </c>
      <c r="S329" s="184" t="s">
        <v>59</v>
      </c>
    </row>
    <row r="330" spans="1:19">
      <c r="A330" s="111">
        <v>329</v>
      </c>
      <c r="B330" s="124">
        <v>44848</v>
      </c>
      <c r="C330" s="113">
        <f t="shared" si="2"/>
        <v>2022</v>
      </c>
      <c r="D330" s="114">
        <f t="shared" si="3"/>
        <v>10</v>
      </c>
      <c r="E330" s="114" t="s">
        <v>10</v>
      </c>
      <c r="F330" s="114" t="s">
        <v>208</v>
      </c>
      <c r="G330" s="115" t="s">
        <v>209</v>
      </c>
      <c r="H330" s="114" t="s">
        <v>210</v>
      </c>
      <c r="I330" s="114" t="s">
        <v>173</v>
      </c>
      <c r="J330" s="186">
        <v>5</v>
      </c>
      <c r="K330" s="187">
        <v>67</v>
      </c>
      <c r="L330" s="187">
        <v>28</v>
      </c>
      <c r="M330" s="187">
        <v>2.6</v>
      </c>
      <c r="N330" s="187">
        <v>1302</v>
      </c>
      <c r="O330" s="187">
        <v>1893</v>
      </c>
      <c r="P330" s="188">
        <v>0.2</v>
      </c>
      <c r="Q330" s="186">
        <v>6512</v>
      </c>
      <c r="R330" s="186">
        <v>9467</v>
      </c>
      <c r="S330" s="184" t="s">
        <v>59</v>
      </c>
    </row>
    <row r="331" spans="1:19">
      <c r="A331" s="111">
        <v>330</v>
      </c>
      <c r="B331" s="124">
        <v>44849</v>
      </c>
      <c r="C331" s="113">
        <f t="shared" si="2"/>
        <v>2022</v>
      </c>
      <c r="D331" s="114">
        <f t="shared" si="3"/>
        <v>10</v>
      </c>
      <c r="E331" s="114" t="s">
        <v>10</v>
      </c>
      <c r="F331" s="114" t="s">
        <v>211</v>
      </c>
      <c r="G331" s="115" t="s">
        <v>212</v>
      </c>
      <c r="H331" s="114" t="s">
        <v>213</v>
      </c>
      <c r="I331" s="114" t="s">
        <v>173</v>
      </c>
      <c r="J331" s="119">
        <v>0</v>
      </c>
      <c r="K331" s="117">
        <v>0</v>
      </c>
      <c r="L331" s="117">
        <v>0</v>
      </c>
      <c r="M331" s="117">
        <v>0</v>
      </c>
      <c r="N331" s="117">
        <v>0</v>
      </c>
      <c r="O331" s="117">
        <v>0</v>
      </c>
      <c r="P331" s="118">
        <v>0</v>
      </c>
      <c r="Q331" s="119">
        <v>0</v>
      </c>
      <c r="R331" s="119">
        <v>0</v>
      </c>
      <c r="S331" s="184" t="s">
        <v>59</v>
      </c>
    </row>
    <row r="332" spans="1:19">
      <c r="A332" s="111">
        <v>331</v>
      </c>
      <c r="B332" s="124">
        <v>44850</v>
      </c>
      <c r="C332" s="113">
        <f t="shared" si="2"/>
        <v>2022</v>
      </c>
      <c r="D332" s="114">
        <f t="shared" si="3"/>
        <v>10</v>
      </c>
      <c r="E332" s="114" t="s">
        <v>10</v>
      </c>
      <c r="F332" s="114" t="s">
        <v>214</v>
      </c>
      <c r="G332" s="115" t="s">
        <v>215</v>
      </c>
      <c r="H332" s="114" t="s">
        <v>216</v>
      </c>
      <c r="I332" s="114" t="s">
        <v>184</v>
      </c>
      <c r="J332" s="119">
        <v>0</v>
      </c>
      <c r="K332" s="117">
        <v>0</v>
      </c>
      <c r="L332" s="117">
        <v>0</v>
      </c>
      <c r="M332" s="117">
        <v>0</v>
      </c>
      <c r="N332" s="117">
        <v>0</v>
      </c>
      <c r="O332" s="117">
        <v>0</v>
      </c>
      <c r="P332" s="118">
        <v>0</v>
      </c>
      <c r="Q332" s="119">
        <v>0</v>
      </c>
      <c r="R332" s="119">
        <v>0</v>
      </c>
      <c r="S332" s="184" t="s">
        <v>59</v>
      </c>
    </row>
    <row r="333" spans="1:19">
      <c r="A333" s="111">
        <v>332</v>
      </c>
      <c r="B333" s="124">
        <v>44851</v>
      </c>
      <c r="C333" s="113">
        <f t="shared" si="2"/>
        <v>2022</v>
      </c>
      <c r="D333" s="114">
        <f t="shared" si="3"/>
        <v>10</v>
      </c>
      <c r="E333" s="114" t="s">
        <v>9</v>
      </c>
      <c r="F333" s="114" t="s">
        <v>217</v>
      </c>
      <c r="G333" s="115" t="s">
        <v>218</v>
      </c>
      <c r="H333" s="114" t="s">
        <v>219</v>
      </c>
      <c r="I333" s="114" t="s">
        <v>184</v>
      </c>
      <c r="J333" s="186">
        <v>5</v>
      </c>
      <c r="K333" s="187">
        <v>60</v>
      </c>
      <c r="L333" s="187">
        <v>30</v>
      </c>
      <c r="M333" s="187">
        <v>2.6</v>
      </c>
      <c r="N333" s="187">
        <v>2405</v>
      </c>
      <c r="O333" s="187">
        <v>3601</v>
      </c>
      <c r="P333" s="188">
        <v>0.6</v>
      </c>
      <c r="Q333" s="186">
        <v>12024</v>
      </c>
      <c r="R333" s="186">
        <v>18003</v>
      </c>
      <c r="S333" s="184" t="s">
        <v>59</v>
      </c>
    </row>
    <row r="334" spans="1:19">
      <c r="A334" s="111">
        <v>333</v>
      </c>
      <c r="B334" s="124">
        <v>44852</v>
      </c>
      <c r="C334" s="113">
        <f t="shared" si="2"/>
        <v>2022</v>
      </c>
      <c r="D334" s="114">
        <f t="shared" si="3"/>
        <v>10</v>
      </c>
      <c r="E334" s="114" t="s">
        <v>11</v>
      </c>
      <c r="F334" s="114" t="s">
        <v>220</v>
      </c>
      <c r="G334" s="115" t="s">
        <v>221</v>
      </c>
      <c r="H334" s="114" t="s">
        <v>222</v>
      </c>
      <c r="I334" s="114" t="s">
        <v>184</v>
      </c>
      <c r="J334" s="186">
        <v>1</v>
      </c>
      <c r="K334" s="187">
        <v>50</v>
      </c>
      <c r="L334" s="187">
        <v>2</v>
      </c>
      <c r="M334" s="187">
        <v>2.4</v>
      </c>
      <c r="N334" s="187">
        <v>433</v>
      </c>
      <c r="O334" s="187">
        <v>653</v>
      </c>
      <c r="P334" s="188">
        <v>0</v>
      </c>
      <c r="Q334" s="186">
        <v>433</v>
      </c>
      <c r="R334" s="186">
        <v>653</v>
      </c>
      <c r="S334" s="184" t="s">
        <v>59</v>
      </c>
    </row>
    <row r="335" spans="1:19">
      <c r="A335" s="111">
        <v>334</v>
      </c>
      <c r="B335" s="124">
        <v>44853</v>
      </c>
      <c r="C335" s="113">
        <f t="shared" si="2"/>
        <v>2022</v>
      </c>
      <c r="D335" s="114">
        <f t="shared" si="3"/>
        <v>10</v>
      </c>
      <c r="E335" s="114" t="s">
        <v>91</v>
      </c>
      <c r="F335" s="114" t="s">
        <v>178</v>
      </c>
      <c r="G335" s="115" t="s">
        <v>179</v>
      </c>
      <c r="H335" s="114" t="s">
        <v>180</v>
      </c>
      <c r="I335" s="114" t="s">
        <v>173</v>
      </c>
      <c r="J335" s="186">
        <v>1</v>
      </c>
      <c r="K335" s="187">
        <v>51</v>
      </c>
      <c r="L335" s="187">
        <v>22</v>
      </c>
      <c r="M335" s="187">
        <v>2.5</v>
      </c>
      <c r="N335" s="187">
        <v>896</v>
      </c>
      <c r="O335" s="187">
        <v>1245</v>
      </c>
      <c r="P335" s="188">
        <v>1</v>
      </c>
      <c r="Q335" s="186">
        <v>896</v>
      </c>
      <c r="R335" s="186">
        <v>2490</v>
      </c>
      <c r="S335" s="184" t="s">
        <v>59</v>
      </c>
    </row>
    <row r="336" spans="1:19">
      <c r="A336" s="111">
        <v>335</v>
      </c>
      <c r="B336" s="124">
        <v>44854</v>
      </c>
      <c r="C336" s="113">
        <f t="shared" si="2"/>
        <v>2022</v>
      </c>
      <c r="D336" s="114">
        <f t="shared" si="3"/>
        <v>10</v>
      </c>
      <c r="E336" s="114" t="s">
        <v>23</v>
      </c>
      <c r="F336" s="114" t="s">
        <v>223</v>
      </c>
      <c r="G336" s="115" t="s">
        <v>175</v>
      </c>
      <c r="H336" s="114" t="s">
        <v>176</v>
      </c>
      <c r="I336" s="114" t="s">
        <v>173</v>
      </c>
      <c r="J336" s="186">
        <v>3</v>
      </c>
      <c r="K336" s="187">
        <v>71</v>
      </c>
      <c r="L336" s="187">
        <v>31</v>
      </c>
      <c r="M336" s="187">
        <v>2.4</v>
      </c>
      <c r="N336" s="187">
        <v>1312</v>
      </c>
      <c r="O336" s="187">
        <v>1904</v>
      </c>
      <c r="P336" s="188">
        <v>1</v>
      </c>
      <c r="Q336" s="186">
        <v>3937</v>
      </c>
      <c r="R336" s="186">
        <v>5711</v>
      </c>
      <c r="S336" s="184" t="s">
        <v>59</v>
      </c>
    </row>
    <row r="337" spans="1:19">
      <c r="A337" s="111">
        <v>336</v>
      </c>
      <c r="B337" s="124">
        <v>44855</v>
      </c>
      <c r="C337" s="113">
        <f t="shared" si="2"/>
        <v>2022</v>
      </c>
      <c r="D337" s="114">
        <f t="shared" si="3"/>
        <v>10</v>
      </c>
      <c r="E337" s="114" t="s">
        <v>23</v>
      </c>
      <c r="F337" s="114" t="s">
        <v>224</v>
      </c>
      <c r="G337" s="115" t="s">
        <v>107</v>
      </c>
      <c r="H337" s="114" t="s">
        <v>107</v>
      </c>
      <c r="I337" s="114" t="s">
        <v>107</v>
      </c>
      <c r="J337" s="119">
        <v>0</v>
      </c>
      <c r="K337" s="117">
        <v>0</v>
      </c>
      <c r="L337" s="117">
        <v>0</v>
      </c>
      <c r="M337" s="117">
        <v>0</v>
      </c>
      <c r="N337" s="117">
        <v>0</v>
      </c>
      <c r="O337" s="117">
        <v>0</v>
      </c>
      <c r="P337" s="118">
        <v>0</v>
      </c>
      <c r="Q337" s="119">
        <v>0</v>
      </c>
      <c r="R337" s="119">
        <v>0</v>
      </c>
      <c r="S337" s="184" t="s">
        <v>59</v>
      </c>
    </row>
    <row r="338" spans="1:19">
      <c r="A338" s="111">
        <v>337</v>
      </c>
      <c r="B338" s="124">
        <v>44856</v>
      </c>
      <c r="C338" s="113">
        <f t="shared" si="2"/>
        <v>2022</v>
      </c>
      <c r="D338" s="114">
        <f t="shared" si="3"/>
        <v>10</v>
      </c>
      <c r="E338" s="114" t="s">
        <v>15</v>
      </c>
      <c r="F338" s="114" t="s">
        <v>225</v>
      </c>
      <c r="G338" s="115" t="s">
        <v>226</v>
      </c>
      <c r="H338" s="114" t="s">
        <v>227</v>
      </c>
      <c r="I338" s="114" t="s">
        <v>173</v>
      </c>
      <c r="J338" s="186">
        <v>4</v>
      </c>
      <c r="K338" s="187">
        <v>39</v>
      </c>
      <c r="L338" s="187">
        <v>22</v>
      </c>
      <c r="M338" s="187">
        <v>1.9</v>
      </c>
      <c r="N338" s="187">
        <v>775</v>
      </c>
      <c r="O338" s="187">
        <v>1065</v>
      </c>
      <c r="P338" s="188">
        <v>1</v>
      </c>
      <c r="Q338" s="186">
        <v>3101</v>
      </c>
      <c r="R338" s="186">
        <v>4259</v>
      </c>
      <c r="S338" s="184" t="s">
        <v>59</v>
      </c>
    </row>
    <row r="339" spans="1:19">
      <c r="A339" s="111">
        <v>338</v>
      </c>
      <c r="B339" s="124">
        <v>44857</v>
      </c>
      <c r="C339" s="113">
        <f t="shared" si="2"/>
        <v>2022</v>
      </c>
      <c r="D339" s="114">
        <f t="shared" si="3"/>
        <v>10</v>
      </c>
      <c r="E339" s="114" t="s">
        <v>84</v>
      </c>
      <c r="F339" s="114" t="s">
        <v>228</v>
      </c>
      <c r="G339" s="115" t="s">
        <v>229</v>
      </c>
      <c r="H339" s="114" t="s">
        <v>230</v>
      </c>
      <c r="I339" s="114" t="s">
        <v>184</v>
      </c>
      <c r="J339" s="186">
        <v>4</v>
      </c>
      <c r="K339" s="187">
        <v>32</v>
      </c>
      <c r="L339" s="187">
        <v>21</v>
      </c>
      <c r="M339" s="187">
        <v>1.7</v>
      </c>
      <c r="N339" s="187">
        <v>448</v>
      </c>
      <c r="O339" s="187">
        <v>635</v>
      </c>
      <c r="P339" s="188">
        <v>0.75</v>
      </c>
      <c r="Q339" s="186">
        <v>1791</v>
      </c>
      <c r="R339" s="186">
        <v>2539</v>
      </c>
      <c r="S339" s="184" t="s">
        <v>59</v>
      </c>
    </row>
    <row r="340" spans="1:19">
      <c r="A340" s="111">
        <v>339</v>
      </c>
      <c r="B340" s="124">
        <v>44858</v>
      </c>
      <c r="C340" s="113">
        <f t="shared" si="2"/>
        <v>2022</v>
      </c>
      <c r="D340" s="114">
        <f t="shared" si="3"/>
        <v>10</v>
      </c>
      <c r="E340" s="114" t="s">
        <v>84</v>
      </c>
      <c r="F340" s="114" t="s">
        <v>231</v>
      </c>
      <c r="G340" s="115" t="s">
        <v>232</v>
      </c>
      <c r="H340" s="114" t="s">
        <v>233</v>
      </c>
      <c r="I340" s="114" t="s">
        <v>184</v>
      </c>
      <c r="J340" s="119">
        <v>0</v>
      </c>
      <c r="K340" s="117">
        <v>0</v>
      </c>
      <c r="L340" s="117">
        <v>0</v>
      </c>
      <c r="M340" s="117">
        <v>0</v>
      </c>
      <c r="N340" s="117">
        <v>0</v>
      </c>
      <c r="O340" s="117">
        <v>0</v>
      </c>
      <c r="P340" s="118">
        <v>0</v>
      </c>
      <c r="Q340" s="119">
        <v>0</v>
      </c>
      <c r="R340" s="119">
        <v>0</v>
      </c>
      <c r="S340" s="184" t="s">
        <v>59</v>
      </c>
    </row>
    <row r="341" spans="1:19">
      <c r="A341" s="111">
        <v>340</v>
      </c>
      <c r="B341" s="124">
        <v>44859</v>
      </c>
      <c r="C341" s="113">
        <f t="shared" si="2"/>
        <v>2022</v>
      </c>
      <c r="D341" s="114">
        <f t="shared" si="3"/>
        <v>10</v>
      </c>
      <c r="E341" s="114" t="s">
        <v>22</v>
      </c>
      <c r="F341" s="114" t="s">
        <v>174</v>
      </c>
      <c r="G341" s="115" t="s">
        <v>175</v>
      </c>
      <c r="H341" s="114" t="s">
        <v>176</v>
      </c>
      <c r="I341" s="114" t="s">
        <v>173</v>
      </c>
      <c r="J341" s="186">
        <v>5</v>
      </c>
      <c r="K341" s="187">
        <v>83</v>
      </c>
      <c r="L341" s="187">
        <v>36</v>
      </c>
      <c r="M341" s="187">
        <v>2.4</v>
      </c>
      <c r="N341" s="187">
        <v>2334</v>
      </c>
      <c r="O341" s="187">
        <v>3433</v>
      </c>
      <c r="P341" s="188">
        <v>0.8</v>
      </c>
      <c r="Q341" s="186">
        <v>11671</v>
      </c>
      <c r="R341" s="186">
        <v>17163</v>
      </c>
      <c r="S341" s="184" t="s">
        <v>59</v>
      </c>
    </row>
    <row r="342" spans="1:19">
      <c r="A342" s="111">
        <v>341</v>
      </c>
      <c r="B342" s="124">
        <v>44860</v>
      </c>
      <c r="C342" s="113">
        <f t="shared" si="2"/>
        <v>2022</v>
      </c>
      <c r="D342" s="114">
        <f t="shared" si="3"/>
        <v>10</v>
      </c>
      <c r="E342" s="114" t="s">
        <v>22</v>
      </c>
      <c r="F342" s="114" t="s">
        <v>177</v>
      </c>
      <c r="G342" s="115" t="s">
        <v>175</v>
      </c>
      <c r="H342" s="114" t="s">
        <v>176</v>
      </c>
      <c r="I342" s="114" t="s">
        <v>173</v>
      </c>
      <c r="J342" s="119">
        <v>0</v>
      </c>
      <c r="K342" s="117">
        <v>0</v>
      </c>
      <c r="L342" s="117">
        <v>0</v>
      </c>
      <c r="M342" s="117">
        <v>0</v>
      </c>
      <c r="N342" s="117">
        <v>0</v>
      </c>
      <c r="O342" s="117">
        <v>0</v>
      </c>
      <c r="P342" s="118">
        <v>0</v>
      </c>
      <c r="Q342" s="119">
        <v>0</v>
      </c>
      <c r="R342" s="119">
        <v>0</v>
      </c>
      <c r="S342" s="184" t="s">
        <v>59</v>
      </c>
    </row>
    <row r="343" spans="1:19">
      <c r="A343" s="111">
        <v>342</v>
      </c>
      <c r="B343" s="124">
        <v>44861</v>
      </c>
      <c r="C343" s="113">
        <f t="shared" si="2"/>
        <v>2022</v>
      </c>
      <c r="D343" s="114">
        <f t="shared" si="3"/>
        <v>10</v>
      </c>
      <c r="E343" s="114" t="s">
        <v>22</v>
      </c>
      <c r="F343" s="114" t="s">
        <v>223</v>
      </c>
      <c r="G343" s="115" t="s">
        <v>175</v>
      </c>
      <c r="H343" s="114" t="s">
        <v>176</v>
      </c>
      <c r="I343" s="114" t="s">
        <v>173</v>
      </c>
      <c r="J343" s="186">
        <v>1</v>
      </c>
      <c r="K343" s="187">
        <v>65</v>
      </c>
      <c r="L343" s="187">
        <v>39</v>
      </c>
      <c r="M343" s="187">
        <v>1.8</v>
      </c>
      <c r="N343" s="187">
        <v>1286</v>
      </c>
      <c r="O343" s="187">
        <v>1930</v>
      </c>
      <c r="P343" s="188">
        <v>1</v>
      </c>
      <c r="Q343" s="186">
        <v>1286</v>
      </c>
      <c r="R343" s="186">
        <v>1930</v>
      </c>
      <c r="S343" s="184" t="s">
        <v>59</v>
      </c>
    </row>
    <row r="344" spans="1:19">
      <c r="A344" s="111">
        <v>343</v>
      </c>
      <c r="B344" s="124">
        <v>44862</v>
      </c>
      <c r="C344" s="113">
        <f t="shared" si="2"/>
        <v>2022</v>
      </c>
      <c r="D344" s="114">
        <f t="shared" si="3"/>
        <v>10</v>
      </c>
      <c r="E344" s="114" t="s">
        <v>12</v>
      </c>
      <c r="F344" s="114" t="s">
        <v>220</v>
      </c>
      <c r="G344" s="115" t="s">
        <v>221</v>
      </c>
      <c r="H344" s="114" t="s">
        <v>222</v>
      </c>
      <c r="I344" s="114" t="s">
        <v>184</v>
      </c>
      <c r="J344" s="186">
        <v>2</v>
      </c>
      <c r="K344" s="187">
        <v>35</v>
      </c>
      <c r="L344" s="187">
        <v>19</v>
      </c>
      <c r="M344" s="187">
        <v>2.1</v>
      </c>
      <c r="N344" s="187">
        <v>627</v>
      </c>
      <c r="O344" s="187">
        <v>954</v>
      </c>
      <c r="P344" s="188">
        <v>0.5</v>
      </c>
      <c r="Q344" s="186">
        <v>1253</v>
      </c>
      <c r="R344" s="186">
        <v>1908</v>
      </c>
      <c r="S344" s="184" t="s">
        <v>59</v>
      </c>
    </row>
    <row r="345" spans="1:19">
      <c r="A345" s="111">
        <v>344</v>
      </c>
      <c r="B345" s="124">
        <v>44863</v>
      </c>
      <c r="C345" s="113">
        <f t="shared" si="2"/>
        <v>2022</v>
      </c>
      <c r="D345" s="114">
        <f t="shared" si="3"/>
        <v>10</v>
      </c>
      <c r="E345" s="114" t="s">
        <v>12</v>
      </c>
      <c r="F345" s="114" t="s">
        <v>234</v>
      </c>
      <c r="G345" s="115" t="s">
        <v>235</v>
      </c>
      <c r="H345" s="114" t="s">
        <v>236</v>
      </c>
      <c r="I345" s="114" t="s">
        <v>184</v>
      </c>
      <c r="J345" s="186">
        <v>4</v>
      </c>
      <c r="K345" s="187">
        <v>29</v>
      </c>
      <c r="L345" s="187">
        <v>18</v>
      </c>
      <c r="M345" s="187">
        <v>1.7</v>
      </c>
      <c r="N345" s="187">
        <v>640</v>
      </c>
      <c r="O345" s="187">
        <v>1011</v>
      </c>
      <c r="P345" s="188">
        <v>1</v>
      </c>
      <c r="Q345" s="186">
        <v>2560</v>
      </c>
      <c r="R345" s="186">
        <v>4045</v>
      </c>
      <c r="S345" s="184" t="s">
        <v>59</v>
      </c>
    </row>
    <row r="346" spans="1:19">
      <c r="A346" s="111">
        <v>345</v>
      </c>
      <c r="B346" s="124">
        <v>44864</v>
      </c>
      <c r="C346" s="113">
        <f t="shared" si="2"/>
        <v>2022</v>
      </c>
      <c r="D346" s="114">
        <f t="shared" si="3"/>
        <v>10</v>
      </c>
      <c r="E346" s="114" t="s">
        <v>12</v>
      </c>
      <c r="F346" s="114" t="s">
        <v>237</v>
      </c>
      <c r="G346" s="115" t="s">
        <v>199</v>
      </c>
      <c r="H346" s="114" t="s">
        <v>199</v>
      </c>
      <c r="I346" s="114" t="s">
        <v>200</v>
      </c>
      <c r="J346" s="119">
        <v>0</v>
      </c>
      <c r="K346" s="117">
        <v>0</v>
      </c>
      <c r="L346" s="117">
        <v>0</v>
      </c>
      <c r="M346" s="117">
        <v>0</v>
      </c>
      <c r="N346" s="117">
        <v>0</v>
      </c>
      <c r="O346" s="117">
        <v>0</v>
      </c>
      <c r="P346" s="118">
        <v>0</v>
      </c>
      <c r="Q346" s="119">
        <v>0</v>
      </c>
      <c r="R346" s="119">
        <v>0</v>
      </c>
      <c r="S346" s="184" t="s">
        <v>59</v>
      </c>
    </row>
    <row r="347" spans="1:19">
      <c r="A347" s="111">
        <v>346</v>
      </c>
      <c r="B347" s="124">
        <v>44865</v>
      </c>
      <c r="C347" s="113">
        <f t="shared" si="2"/>
        <v>2022</v>
      </c>
      <c r="D347" s="114">
        <f t="shared" si="3"/>
        <v>10</v>
      </c>
      <c r="E347" s="114" t="s">
        <v>26</v>
      </c>
      <c r="F347" s="114" t="s">
        <v>238</v>
      </c>
      <c r="G347" s="115" t="s">
        <v>175</v>
      </c>
      <c r="H347" s="114" t="s">
        <v>176</v>
      </c>
      <c r="I347" s="114" t="s">
        <v>173</v>
      </c>
      <c r="J347" s="119">
        <v>0</v>
      </c>
      <c r="K347" s="117">
        <v>0</v>
      </c>
      <c r="L347" s="117">
        <v>0</v>
      </c>
      <c r="M347" s="117">
        <v>0</v>
      </c>
      <c r="N347" s="117">
        <v>0</v>
      </c>
      <c r="O347" s="117">
        <v>0</v>
      </c>
      <c r="P347" s="118">
        <v>0</v>
      </c>
      <c r="Q347" s="119">
        <v>0</v>
      </c>
      <c r="R347" s="119">
        <v>0</v>
      </c>
      <c r="S347" s="184" t="s">
        <v>59</v>
      </c>
    </row>
    <row r="348" spans="1:19">
      <c r="A348" s="111">
        <v>347</v>
      </c>
      <c r="B348" s="124">
        <v>44835</v>
      </c>
      <c r="C348" s="113">
        <f t="shared" si="2"/>
        <v>2022</v>
      </c>
      <c r="D348" s="114">
        <f t="shared" si="3"/>
        <v>10</v>
      </c>
      <c r="E348" s="114" t="s">
        <v>19</v>
      </c>
      <c r="F348" s="114" t="s">
        <v>178</v>
      </c>
      <c r="G348" s="115" t="s">
        <v>179</v>
      </c>
      <c r="H348" s="114" t="s">
        <v>180</v>
      </c>
      <c r="I348" s="114" t="s">
        <v>173</v>
      </c>
      <c r="J348" s="186">
        <v>2</v>
      </c>
      <c r="K348" s="187">
        <v>44</v>
      </c>
      <c r="L348" s="187">
        <v>25</v>
      </c>
      <c r="M348" s="187">
        <v>1.9</v>
      </c>
      <c r="N348" s="187">
        <v>771</v>
      </c>
      <c r="O348" s="187">
        <v>1109</v>
      </c>
      <c r="P348" s="188">
        <v>0.5</v>
      </c>
      <c r="Q348" s="186">
        <v>1542</v>
      </c>
      <c r="R348" s="186">
        <v>2218</v>
      </c>
      <c r="S348" s="184" t="s">
        <v>59</v>
      </c>
    </row>
    <row r="349" spans="1:19">
      <c r="A349" s="111">
        <v>348</v>
      </c>
      <c r="B349" s="124">
        <v>44836</v>
      </c>
      <c r="C349" s="113">
        <f t="shared" si="2"/>
        <v>2022</v>
      </c>
      <c r="D349" s="114">
        <f t="shared" si="3"/>
        <v>10</v>
      </c>
      <c r="E349" s="114" t="s">
        <v>7</v>
      </c>
      <c r="F349" s="114" t="s">
        <v>239</v>
      </c>
      <c r="G349" s="115" t="s">
        <v>240</v>
      </c>
      <c r="H349" s="114" t="s">
        <v>241</v>
      </c>
      <c r="I349" s="114" t="s">
        <v>184</v>
      </c>
      <c r="J349" s="186">
        <v>3</v>
      </c>
      <c r="K349" s="187">
        <v>51</v>
      </c>
      <c r="L349" s="187">
        <v>28</v>
      </c>
      <c r="M349" s="187">
        <v>2</v>
      </c>
      <c r="N349" s="187">
        <v>759</v>
      </c>
      <c r="O349" s="187">
        <v>1181</v>
      </c>
      <c r="P349" s="188">
        <v>0</v>
      </c>
      <c r="Q349" s="186">
        <v>2277</v>
      </c>
      <c r="R349" s="186">
        <v>3544</v>
      </c>
      <c r="S349" s="184" t="s">
        <v>59</v>
      </c>
    </row>
    <row r="350" spans="1:19">
      <c r="A350" s="111">
        <v>349</v>
      </c>
      <c r="B350" s="124">
        <v>44837</v>
      </c>
      <c r="C350" s="113">
        <f t="shared" si="2"/>
        <v>2022</v>
      </c>
      <c r="D350" s="114">
        <f t="shared" si="3"/>
        <v>10</v>
      </c>
      <c r="E350" s="114" t="s">
        <v>7</v>
      </c>
      <c r="F350" s="114" t="s">
        <v>220</v>
      </c>
      <c r="G350" s="115" t="s">
        <v>221</v>
      </c>
      <c r="H350" s="114" t="s">
        <v>222</v>
      </c>
      <c r="I350" s="114" t="s">
        <v>184</v>
      </c>
      <c r="J350" s="186">
        <v>1</v>
      </c>
      <c r="K350" s="187">
        <v>46</v>
      </c>
      <c r="L350" s="187">
        <v>24</v>
      </c>
      <c r="M350" s="187">
        <v>2.1</v>
      </c>
      <c r="N350" s="187">
        <v>873</v>
      </c>
      <c r="O350" s="187">
        <v>1354</v>
      </c>
      <c r="P350" s="188">
        <v>0</v>
      </c>
      <c r="Q350" s="186">
        <v>873</v>
      </c>
      <c r="R350" s="186">
        <v>1354</v>
      </c>
      <c r="S350" s="184" t="s">
        <v>59</v>
      </c>
    </row>
    <row r="351" spans="1:19">
      <c r="A351" s="111">
        <v>350</v>
      </c>
      <c r="B351" s="124">
        <v>44838</v>
      </c>
      <c r="C351" s="113">
        <f t="shared" si="2"/>
        <v>2022</v>
      </c>
      <c r="D351" s="114">
        <f t="shared" si="3"/>
        <v>10</v>
      </c>
      <c r="E351" s="114" t="s">
        <v>7</v>
      </c>
      <c r="F351" s="114" t="s">
        <v>242</v>
      </c>
      <c r="G351" s="115" t="s">
        <v>243</v>
      </c>
      <c r="H351" s="114" t="s">
        <v>244</v>
      </c>
      <c r="I351" s="114" t="s">
        <v>184</v>
      </c>
      <c r="J351" s="186">
        <v>3</v>
      </c>
      <c r="K351" s="187">
        <v>49</v>
      </c>
      <c r="L351" s="187">
        <v>22</v>
      </c>
      <c r="M351" s="187">
        <v>2.4</v>
      </c>
      <c r="N351" s="187">
        <v>1171</v>
      </c>
      <c r="O351" s="187">
        <v>1940</v>
      </c>
      <c r="P351" s="188">
        <v>0</v>
      </c>
      <c r="Q351" s="186">
        <v>3513</v>
      </c>
      <c r="R351" s="186">
        <v>5821</v>
      </c>
      <c r="S351" s="184" t="s">
        <v>59</v>
      </c>
    </row>
    <row r="352" spans="1:19">
      <c r="A352" s="111">
        <v>351</v>
      </c>
      <c r="B352" s="124">
        <v>44866</v>
      </c>
      <c r="C352" s="113">
        <f t="shared" si="2"/>
        <v>2022</v>
      </c>
      <c r="D352" s="114">
        <f t="shared" si="3"/>
        <v>11</v>
      </c>
      <c r="E352" s="114" t="s">
        <v>79</v>
      </c>
      <c r="F352" s="114" t="s">
        <v>170</v>
      </c>
      <c r="G352" s="115" t="s">
        <v>171</v>
      </c>
      <c r="H352" s="114" t="s">
        <v>172</v>
      </c>
      <c r="I352" s="114" t="s">
        <v>173</v>
      </c>
      <c r="J352" s="186">
        <v>3</v>
      </c>
      <c r="K352" s="187">
        <v>33</v>
      </c>
      <c r="L352" s="187">
        <v>25</v>
      </c>
      <c r="M352" s="187">
        <v>1.9</v>
      </c>
      <c r="N352" s="187">
        <v>208</v>
      </c>
      <c r="O352" s="187">
        <v>300</v>
      </c>
      <c r="P352" s="188">
        <v>0</v>
      </c>
      <c r="Q352" s="186">
        <v>625</v>
      </c>
      <c r="R352" s="186">
        <v>901</v>
      </c>
      <c r="S352" s="184" t="s">
        <v>59</v>
      </c>
    </row>
    <row r="353" spans="1:19">
      <c r="A353" s="111">
        <v>352</v>
      </c>
      <c r="B353" s="124">
        <v>44867</v>
      </c>
      <c r="C353" s="113">
        <f t="shared" si="2"/>
        <v>2022</v>
      </c>
      <c r="D353" s="114">
        <f t="shared" si="3"/>
        <v>11</v>
      </c>
      <c r="E353" s="114" t="s">
        <v>79</v>
      </c>
      <c r="F353" s="114" t="s">
        <v>174</v>
      </c>
      <c r="G353" s="115" t="s">
        <v>175</v>
      </c>
      <c r="H353" s="114" t="s">
        <v>176</v>
      </c>
      <c r="I353" s="114" t="s">
        <v>173</v>
      </c>
      <c r="J353" s="119">
        <v>0</v>
      </c>
      <c r="K353" s="117">
        <v>0</v>
      </c>
      <c r="L353" s="117">
        <v>0</v>
      </c>
      <c r="M353" s="117">
        <v>0</v>
      </c>
      <c r="N353" s="117">
        <v>0</v>
      </c>
      <c r="O353" s="117">
        <v>0</v>
      </c>
      <c r="P353" s="118">
        <v>0</v>
      </c>
      <c r="Q353" s="119">
        <v>0</v>
      </c>
      <c r="R353" s="119">
        <v>0</v>
      </c>
      <c r="S353" s="184" t="s">
        <v>59</v>
      </c>
    </row>
    <row r="354" spans="1:19">
      <c r="A354" s="111">
        <v>353</v>
      </c>
      <c r="B354" s="124">
        <v>44868</v>
      </c>
      <c r="C354" s="113">
        <f t="shared" si="2"/>
        <v>2022</v>
      </c>
      <c r="D354" s="114">
        <f t="shared" si="3"/>
        <v>11</v>
      </c>
      <c r="E354" s="114" t="s">
        <v>79</v>
      </c>
      <c r="F354" s="114" t="s">
        <v>177</v>
      </c>
      <c r="G354" s="115" t="s">
        <v>175</v>
      </c>
      <c r="H354" s="114" t="s">
        <v>176</v>
      </c>
      <c r="I354" s="114" t="s">
        <v>173</v>
      </c>
      <c r="J354" s="186">
        <v>4</v>
      </c>
      <c r="K354" s="187">
        <v>82</v>
      </c>
      <c r="L354" s="187">
        <v>34</v>
      </c>
      <c r="M354" s="187">
        <v>2.6</v>
      </c>
      <c r="N354" s="187">
        <v>1789</v>
      </c>
      <c r="O354" s="187">
        <v>2684</v>
      </c>
      <c r="P354" s="188">
        <v>1</v>
      </c>
      <c r="Q354" s="186">
        <v>7157</v>
      </c>
      <c r="R354" s="186">
        <v>10735</v>
      </c>
      <c r="S354" s="184" t="s">
        <v>59</v>
      </c>
    </row>
    <row r="355" spans="1:19">
      <c r="A355" s="111">
        <v>354</v>
      </c>
      <c r="B355" s="124">
        <v>44869</v>
      </c>
      <c r="C355" s="113">
        <f t="shared" si="2"/>
        <v>2022</v>
      </c>
      <c r="D355" s="114">
        <f t="shared" si="3"/>
        <v>11</v>
      </c>
      <c r="E355" s="114" t="s">
        <v>20</v>
      </c>
      <c r="F355" s="114" t="s">
        <v>178</v>
      </c>
      <c r="G355" s="115" t="s">
        <v>179</v>
      </c>
      <c r="H355" s="114" t="s">
        <v>180</v>
      </c>
      <c r="I355" s="114" t="s">
        <v>173</v>
      </c>
      <c r="J355" s="186">
        <v>1</v>
      </c>
      <c r="K355" s="187">
        <v>40</v>
      </c>
      <c r="L355" s="187">
        <v>22</v>
      </c>
      <c r="M355" s="187">
        <v>2</v>
      </c>
      <c r="N355" s="187">
        <v>817</v>
      </c>
      <c r="O355" s="187">
        <v>1211</v>
      </c>
      <c r="P355" s="188">
        <v>0</v>
      </c>
      <c r="Q355" s="186">
        <v>817</v>
      </c>
      <c r="R355" s="186">
        <v>1211</v>
      </c>
      <c r="S355" s="184" t="s">
        <v>59</v>
      </c>
    </row>
    <row r="356" spans="1:19">
      <c r="A356" s="111">
        <v>355</v>
      </c>
      <c r="B356" s="124">
        <v>44870</v>
      </c>
      <c r="C356" s="113">
        <f t="shared" si="2"/>
        <v>2022</v>
      </c>
      <c r="D356" s="114">
        <f t="shared" si="3"/>
        <v>11</v>
      </c>
      <c r="E356" s="114" t="s">
        <v>8</v>
      </c>
      <c r="F356" s="114" t="s">
        <v>181</v>
      </c>
      <c r="G356" s="115" t="s">
        <v>182</v>
      </c>
      <c r="H356" s="114" t="s">
        <v>183</v>
      </c>
      <c r="I356" s="114" t="s">
        <v>184</v>
      </c>
      <c r="J356" s="186">
        <v>3</v>
      </c>
      <c r="K356" s="187">
        <v>35</v>
      </c>
      <c r="L356" s="187">
        <v>23</v>
      </c>
      <c r="M356" s="187">
        <v>1.8</v>
      </c>
      <c r="N356" s="187">
        <v>394</v>
      </c>
      <c r="O356" s="187">
        <v>587</v>
      </c>
      <c r="P356" s="188">
        <v>0</v>
      </c>
      <c r="Q356" s="186">
        <v>1182</v>
      </c>
      <c r="R356" s="186">
        <v>1762</v>
      </c>
      <c r="S356" s="184" t="s">
        <v>59</v>
      </c>
    </row>
    <row r="357" spans="1:19">
      <c r="A357" s="111">
        <v>356</v>
      </c>
      <c r="B357" s="124">
        <v>44871</v>
      </c>
      <c r="C357" s="113">
        <f t="shared" si="2"/>
        <v>2022</v>
      </c>
      <c r="D357" s="114">
        <f t="shared" si="3"/>
        <v>11</v>
      </c>
      <c r="E357" s="114" t="s">
        <v>8</v>
      </c>
      <c r="F357" s="114" t="s">
        <v>185</v>
      </c>
      <c r="G357" s="115" t="s">
        <v>186</v>
      </c>
      <c r="H357" s="114" t="s">
        <v>187</v>
      </c>
      <c r="I357" s="114" t="s">
        <v>184</v>
      </c>
      <c r="J357" s="186">
        <v>3</v>
      </c>
      <c r="K357" s="187">
        <v>49</v>
      </c>
      <c r="L357" s="187">
        <v>24</v>
      </c>
      <c r="M357" s="187">
        <v>2.2999999999999998</v>
      </c>
      <c r="N357" s="187">
        <v>824</v>
      </c>
      <c r="O357" s="187">
        <v>1238</v>
      </c>
      <c r="P357" s="188">
        <v>0</v>
      </c>
      <c r="Q357" s="186">
        <v>2473</v>
      </c>
      <c r="R357" s="186">
        <v>3714</v>
      </c>
      <c r="S357" s="184" t="s">
        <v>59</v>
      </c>
    </row>
    <row r="358" spans="1:19">
      <c r="A358" s="111">
        <v>357</v>
      </c>
      <c r="B358" s="124">
        <v>44872</v>
      </c>
      <c r="C358" s="113">
        <f t="shared" si="2"/>
        <v>2022</v>
      </c>
      <c r="D358" s="114">
        <f t="shared" si="3"/>
        <v>11</v>
      </c>
      <c r="E358" s="114" t="s">
        <v>8</v>
      </c>
      <c r="F358" s="114" t="s">
        <v>188</v>
      </c>
      <c r="G358" s="115" t="s">
        <v>189</v>
      </c>
      <c r="H358" s="114" t="s">
        <v>190</v>
      </c>
      <c r="I358" s="114" t="s">
        <v>184</v>
      </c>
      <c r="J358" s="186">
        <v>4</v>
      </c>
      <c r="K358" s="187">
        <v>48</v>
      </c>
      <c r="L358" s="187">
        <v>24</v>
      </c>
      <c r="M358" s="187">
        <v>2.2999999999999998</v>
      </c>
      <c r="N358" s="187">
        <v>671</v>
      </c>
      <c r="O358" s="187">
        <v>1069</v>
      </c>
      <c r="P358" s="188">
        <v>0</v>
      </c>
      <c r="Q358" s="186">
        <v>2684</v>
      </c>
      <c r="R358" s="186">
        <v>4275</v>
      </c>
      <c r="S358" s="184" t="s">
        <v>59</v>
      </c>
    </row>
    <row r="359" spans="1:19">
      <c r="A359" s="111">
        <v>358</v>
      </c>
      <c r="B359" s="124">
        <v>44873</v>
      </c>
      <c r="C359" s="113">
        <f t="shared" si="2"/>
        <v>2022</v>
      </c>
      <c r="D359" s="114">
        <f t="shared" si="3"/>
        <v>11</v>
      </c>
      <c r="E359" s="114" t="s">
        <v>8</v>
      </c>
      <c r="F359" s="114" t="s">
        <v>191</v>
      </c>
      <c r="G359" s="115" t="s">
        <v>192</v>
      </c>
      <c r="H359" s="114" t="s">
        <v>193</v>
      </c>
      <c r="I359" s="114" t="s">
        <v>173</v>
      </c>
      <c r="J359" s="186">
        <v>3</v>
      </c>
      <c r="K359" s="187">
        <v>50</v>
      </c>
      <c r="L359" s="187">
        <v>26</v>
      </c>
      <c r="M359" s="187">
        <v>2.2000000000000002</v>
      </c>
      <c r="N359" s="187">
        <v>630</v>
      </c>
      <c r="O359" s="187">
        <v>890</v>
      </c>
      <c r="P359" s="188">
        <v>0</v>
      </c>
      <c r="Q359" s="186">
        <v>1891</v>
      </c>
      <c r="R359" s="186">
        <v>2669</v>
      </c>
      <c r="S359" s="184" t="s">
        <v>59</v>
      </c>
    </row>
    <row r="360" spans="1:19">
      <c r="A360" s="111">
        <v>359</v>
      </c>
      <c r="B360" s="124">
        <v>44874</v>
      </c>
      <c r="C360" s="113">
        <f t="shared" si="2"/>
        <v>2022</v>
      </c>
      <c r="D360" s="114">
        <f t="shared" si="3"/>
        <v>11</v>
      </c>
      <c r="E360" s="114" t="s">
        <v>8</v>
      </c>
      <c r="F360" s="114" t="s">
        <v>194</v>
      </c>
      <c r="G360" s="115" t="s">
        <v>107</v>
      </c>
      <c r="H360" s="185" t="s">
        <v>107</v>
      </c>
      <c r="I360" s="185"/>
      <c r="J360" s="119">
        <v>0</v>
      </c>
      <c r="K360" s="117">
        <v>0</v>
      </c>
      <c r="L360" s="117">
        <v>0</v>
      </c>
      <c r="M360" s="117">
        <v>0</v>
      </c>
      <c r="N360" s="117">
        <v>0</v>
      </c>
      <c r="O360" s="117">
        <v>0</v>
      </c>
      <c r="P360" s="118">
        <v>0</v>
      </c>
      <c r="Q360" s="119">
        <v>0</v>
      </c>
      <c r="R360" s="119">
        <v>0</v>
      </c>
      <c r="S360" s="184" t="s">
        <v>59</v>
      </c>
    </row>
    <row r="361" spans="1:19">
      <c r="A361" s="111">
        <v>360</v>
      </c>
      <c r="B361" s="124">
        <v>44875</v>
      </c>
      <c r="C361" s="113">
        <f t="shared" si="2"/>
        <v>2022</v>
      </c>
      <c r="D361" s="114">
        <f t="shared" si="3"/>
        <v>11</v>
      </c>
      <c r="E361" s="114" t="s">
        <v>88</v>
      </c>
      <c r="F361" s="114" t="s">
        <v>195</v>
      </c>
      <c r="G361" s="115" t="s">
        <v>196</v>
      </c>
      <c r="H361" s="114" t="s">
        <v>197</v>
      </c>
      <c r="I361" s="114" t="s">
        <v>184</v>
      </c>
      <c r="J361" s="186">
        <v>3</v>
      </c>
      <c r="K361" s="187">
        <v>38</v>
      </c>
      <c r="L361" s="187">
        <v>20</v>
      </c>
      <c r="M361" s="187">
        <v>2</v>
      </c>
      <c r="N361" s="187">
        <v>630</v>
      </c>
      <c r="O361" s="187">
        <v>878</v>
      </c>
      <c r="P361" s="188">
        <v>0</v>
      </c>
      <c r="Q361" s="186">
        <v>1890</v>
      </c>
      <c r="R361" s="186">
        <v>2635</v>
      </c>
      <c r="S361" s="184" t="s">
        <v>59</v>
      </c>
    </row>
    <row r="362" spans="1:19">
      <c r="A362" s="111">
        <v>361</v>
      </c>
      <c r="B362" s="124">
        <v>44876</v>
      </c>
      <c r="C362" s="113">
        <f t="shared" si="2"/>
        <v>2022</v>
      </c>
      <c r="D362" s="114">
        <f t="shared" si="3"/>
        <v>11</v>
      </c>
      <c r="E362" s="114" t="s">
        <v>104</v>
      </c>
      <c r="F362" s="114" t="s">
        <v>198</v>
      </c>
      <c r="G362" s="115" t="s">
        <v>199</v>
      </c>
      <c r="H362" s="114" t="s">
        <v>199</v>
      </c>
      <c r="I362" s="114" t="s">
        <v>200</v>
      </c>
      <c r="J362" s="186">
        <v>1</v>
      </c>
      <c r="K362" s="187">
        <v>46</v>
      </c>
      <c r="L362" s="187">
        <v>58</v>
      </c>
      <c r="M362" s="187">
        <v>1.5</v>
      </c>
      <c r="N362" s="187">
        <v>273</v>
      </c>
      <c r="O362" s="187">
        <v>277</v>
      </c>
      <c r="P362" s="188">
        <v>1</v>
      </c>
      <c r="Q362" s="186">
        <v>273</v>
      </c>
      <c r="R362" s="186">
        <v>277</v>
      </c>
      <c r="S362" s="184" t="s">
        <v>59</v>
      </c>
    </row>
    <row r="363" spans="1:19">
      <c r="A363" s="111">
        <v>362</v>
      </c>
      <c r="B363" s="124">
        <v>44877</v>
      </c>
      <c r="C363" s="113">
        <f t="shared" si="2"/>
        <v>2022</v>
      </c>
      <c r="D363" s="114">
        <f t="shared" si="3"/>
        <v>11</v>
      </c>
      <c r="E363" s="114" t="s">
        <v>201</v>
      </c>
      <c r="F363" s="114" t="s">
        <v>202</v>
      </c>
      <c r="G363" s="115" t="s">
        <v>203</v>
      </c>
      <c r="H363" s="114" t="s">
        <v>204</v>
      </c>
      <c r="I363" s="114" t="s">
        <v>173</v>
      </c>
      <c r="J363" s="119">
        <v>0</v>
      </c>
      <c r="K363" s="117">
        <v>0</v>
      </c>
      <c r="L363" s="117">
        <v>0</v>
      </c>
      <c r="M363" s="117">
        <v>0</v>
      </c>
      <c r="N363" s="117">
        <v>0</v>
      </c>
      <c r="O363" s="117">
        <v>0</v>
      </c>
      <c r="P363" s="118">
        <v>0</v>
      </c>
      <c r="Q363" s="119">
        <v>0</v>
      </c>
      <c r="R363" s="119">
        <v>0</v>
      </c>
      <c r="S363" s="184" t="s">
        <v>59</v>
      </c>
    </row>
    <row r="364" spans="1:19">
      <c r="A364" s="111">
        <v>363</v>
      </c>
      <c r="B364" s="124">
        <v>44878</v>
      </c>
      <c r="C364" s="113">
        <f t="shared" si="2"/>
        <v>2022</v>
      </c>
      <c r="D364" s="114">
        <f t="shared" si="3"/>
        <v>11</v>
      </c>
      <c r="E364" s="114" t="s">
        <v>30</v>
      </c>
      <c r="F364" s="114" t="s">
        <v>205</v>
      </c>
      <c r="G364" s="115" t="s">
        <v>206</v>
      </c>
      <c r="H364" s="114" t="s">
        <v>207</v>
      </c>
      <c r="I364" s="114" t="s">
        <v>184</v>
      </c>
      <c r="J364" s="119">
        <v>0</v>
      </c>
      <c r="K364" s="117">
        <v>0</v>
      </c>
      <c r="L364" s="117">
        <v>0</v>
      </c>
      <c r="M364" s="117">
        <v>0</v>
      </c>
      <c r="N364" s="117">
        <v>0</v>
      </c>
      <c r="O364" s="117">
        <v>0</v>
      </c>
      <c r="P364" s="118">
        <v>0</v>
      </c>
      <c r="Q364" s="119">
        <v>0</v>
      </c>
      <c r="R364" s="119">
        <v>0</v>
      </c>
      <c r="S364" s="184" t="s">
        <v>59</v>
      </c>
    </row>
    <row r="365" spans="1:19">
      <c r="A365" s="111">
        <v>364</v>
      </c>
      <c r="B365" s="124">
        <v>44879</v>
      </c>
      <c r="C365" s="113">
        <f t="shared" si="2"/>
        <v>2022</v>
      </c>
      <c r="D365" s="114">
        <f t="shared" si="3"/>
        <v>11</v>
      </c>
      <c r="E365" s="114" t="s">
        <v>10</v>
      </c>
      <c r="F365" s="114" t="s">
        <v>208</v>
      </c>
      <c r="G365" s="115" t="s">
        <v>209</v>
      </c>
      <c r="H365" s="114" t="s">
        <v>210</v>
      </c>
      <c r="I365" s="114" t="s">
        <v>173</v>
      </c>
      <c r="J365" s="186">
        <v>4</v>
      </c>
      <c r="K365" s="187">
        <v>49</v>
      </c>
      <c r="L365" s="187">
        <v>26</v>
      </c>
      <c r="M365" s="187">
        <v>2.2000000000000002</v>
      </c>
      <c r="N365" s="187">
        <v>1347</v>
      </c>
      <c r="O365" s="187">
        <v>1897</v>
      </c>
      <c r="P365" s="188">
        <v>0</v>
      </c>
      <c r="Q365" s="186">
        <v>5387</v>
      </c>
      <c r="R365" s="186">
        <v>7587</v>
      </c>
      <c r="S365" s="184" t="s">
        <v>59</v>
      </c>
    </row>
    <row r="366" spans="1:19">
      <c r="A366" s="111">
        <v>365</v>
      </c>
      <c r="B366" s="124">
        <v>44880</v>
      </c>
      <c r="C366" s="113">
        <f t="shared" si="2"/>
        <v>2022</v>
      </c>
      <c r="D366" s="114">
        <f t="shared" si="3"/>
        <v>11</v>
      </c>
      <c r="E366" s="114" t="s">
        <v>10</v>
      </c>
      <c r="F366" s="114" t="s">
        <v>211</v>
      </c>
      <c r="G366" s="115" t="s">
        <v>212</v>
      </c>
      <c r="H366" s="114" t="s">
        <v>213</v>
      </c>
      <c r="I366" s="114" t="s">
        <v>173</v>
      </c>
      <c r="J366" s="119">
        <v>0</v>
      </c>
      <c r="K366" s="117">
        <v>0</v>
      </c>
      <c r="L366" s="117">
        <v>0</v>
      </c>
      <c r="M366" s="117">
        <v>0</v>
      </c>
      <c r="N366" s="117">
        <v>0</v>
      </c>
      <c r="O366" s="117">
        <v>0</v>
      </c>
      <c r="P366" s="118">
        <v>0</v>
      </c>
      <c r="Q366" s="119">
        <v>0</v>
      </c>
      <c r="R366" s="119">
        <v>0</v>
      </c>
      <c r="S366" s="184" t="s">
        <v>59</v>
      </c>
    </row>
    <row r="367" spans="1:19">
      <c r="A367" s="111">
        <v>366</v>
      </c>
      <c r="B367" s="124">
        <v>44881</v>
      </c>
      <c r="C367" s="113">
        <f t="shared" si="2"/>
        <v>2022</v>
      </c>
      <c r="D367" s="114">
        <f t="shared" si="3"/>
        <v>11</v>
      </c>
      <c r="E367" s="114" t="s">
        <v>10</v>
      </c>
      <c r="F367" s="114" t="s">
        <v>214</v>
      </c>
      <c r="G367" s="115" t="s">
        <v>215</v>
      </c>
      <c r="H367" s="114" t="s">
        <v>216</v>
      </c>
      <c r="I367" s="114" t="s">
        <v>184</v>
      </c>
      <c r="J367" s="186">
        <v>3</v>
      </c>
      <c r="K367" s="187">
        <v>50</v>
      </c>
      <c r="L367" s="187">
        <v>26</v>
      </c>
      <c r="M367" s="187">
        <v>2.5</v>
      </c>
      <c r="N367" s="187">
        <v>573</v>
      </c>
      <c r="O367" s="187">
        <v>819</v>
      </c>
      <c r="P367" s="188">
        <v>0</v>
      </c>
      <c r="Q367" s="186">
        <v>1718</v>
      </c>
      <c r="R367" s="186">
        <v>2457</v>
      </c>
      <c r="S367" s="184" t="s">
        <v>59</v>
      </c>
    </row>
    <row r="368" spans="1:19">
      <c r="A368" s="111">
        <v>367</v>
      </c>
      <c r="B368" s="124">
        <v>44882</v>
      </c>
      <c r="C368" s="113">
        <f t="shared" si="2"/>
        <v>2022</v>
      </c>
      <c r="D368" s="114">
        <f t="shared" si="3"/>
        <v>11</v>
      </c>
      <c r="E368" s="114" t="s">
        <v>9</v>
      </c>
      <c r="F368" s="114" t="s">
        <v>217</v>
      </c>
      <c r="G368" s="115" t="s">
        <v>218</v>
      </c>
      <c r="H368" s="114" t="s">
        <v>219</v>
      </c>
      <c r="I368" s="114" t="s">
        <v>184</v>
      </c>
      <c r="J368" s="186">
        <v>4</v>
      </c>
      <c r="K368" s="187">
        <v>74</v>
      </c>
      <c r="L368" s="187">
        <v>29</v>
      </c>
      <c r="M368" s="187">
        <v>2.7</v>
      </c>
      <c r="N368" s="187">
        <v>2474</v>
      </c>
      <c r="O368" s="187">
        <v>3931</v>
      </c>
      <c r="P368" s="188">
        <v>0.75</v>
      </c>
      <c r="Q368" s="186">
        <v>9894</v>
      </c>
      <c r="R368" s="186">
        <v>15725</v>
      </c>
      <c r="S368" s="184" t="s">
        <v>59</v>
      </c>
    </row>
    <row r="369" spans="1:19">
      <c r="A369" s="111">
        <v>368</v>
      </c>
      <c r="B369" s="124">
        <v>44883</v>
      </c>
      <c r="C369" s="113">
        <f t="shared" si="2"/>
        <v>2022</v>
      </c>
      <c r="D369" s="114">
        <f t="shared" si="3"/>
        <v>11</v>
      </c>
      <c r="E369" s="114" t="s">
        <v>11</v>
      </c>
      <c r="F369" s="114" t="s">
        <v>220</v>
      </c>
      <c r="G369" s="115" t="s">
        <v>221</v>
      </c>
      <c r="H369" s="114" t="s">
        <v>222</v>
      </c>
      <c r="I369" s="114" t="s">
        <v>184</v>
      </c>
      <c r="J369" s="186">
        <v>1</v>
      </c>
      <c r="K369" s="187">
        <v>37</v>
      </c>
      <c r="L369" s="187">
        <v>17</v>
      </c>
      <c r="M369" s="187">
        <v>2.4</v>
      </c>
      <c r="N369" s="187">
        <v>653</v>
      </c>
      <c r="O369" s="187">
        <v>923</v>
      </c>
      <c r="P369" s="188">
        <v>0</v>
      </c>
      <c r="Q369" s="186">
        <v>653</v>
      </c>
      <c r="R369" s="186">
        <v>923</v>
      </c>
      <c r="S369" s="184" t="s">
        <v>59</v>
      </c>
    </row>
    <row r="370" spans="1:19">
      <c r="A370" s="111">
        <v>369</v>
      </c>
      <c r="B370" s="124">
        <v>44884</v>
      </c>
      <c r="C370" s="113">
        <f t="shared" si="2"/>
        <v>2022</v>
      </c>
      <c r="D370" s="114">
        <f t="shared" si="3"/>
        <v>11</v>
      </c>
      <c r="E370" s="114" t="s">
        <v>91</v>
      </c>
      <c r="F370" s="114" t="s">
        <v>178</v>
      </c>
      <c r="G370" s="115" t="s">
        <v>179</v>
      </c>
      <c r="H370" s="114" t="s">
        <v>180</v>
      </c>
      <c r="I370" s="114" t="s">
        <v>173</v>
      </c>
      <c r="J370" s="186">
        <v>2</v>
      </c>
      <c r="K370" s="187">
        <v>68</v>
      </c>
      <c r="L370" s="187">
        <v>35</v>
      </c>
      <c r="M370" s="187">
        <v>2.2000000000000002</v>
      </c>
      <c r="N370" s="187">
        <v>820</v>
      </c>
      <c r="O370" s="187">
        <v>1180</v>
      </c>
      <c r="P370" s="188">
        <v>1</v>
      </c>
      <c r="Q370" s="186">
        <v>1639</v>
      </c>
      <c r="R370" s="186">
        <v>3540</v>
      </c>
      <c r="S370" s="184" t="s">
        <v>59</v>
      </c>
    </row>
    <row r="371" spans="1:19">
      <c r="A371" s="111">
        <v>370</v>
      </c>
      <c r="B371" s="124">
        <v>44885</v>
      </c>
      <c r="C371" s="113">
        <f t="shared" si="2"/>
        <v>2022</v>
      </c>
      <c r="D371" s="114">
        <f t="shared" si="3"/>
        <v>11</v>
      </c>
      <c r="E371" s="114" t="s">
        <v>23</v>
      </c>
      <c r="F371" s="114" t="s">
        <v>223</v>
      </c>
      <c r="G371" s="115" t="s">
        <v>175</v>
      </c>
      <c r="H371" s="114" t="s">
        <v>176</v>
      </c>
      <c r="I371" s="114" t="s">
        <v>173</v>
      </c>
      <c r="J371" s="186">
        <v>5</v>
      </c>
      <c r="K371" s="187">
        <v>63</v>
      </c>
      <c r="L371" s="187">
        <v>31</v>
      </c>
      <c r="M371" s="187">
        <v>2.2000000000000002</v>
      </c>
      <c r="N371" s="187">
        <v>1216</v>
      </c>
      <c r="O371" s="187">
        <v>1790</v>
      </c>
      <c r="P371" s="188">
        <v>1</v>
      </c>
      <c r="Q371" s="186">
        <v>6079</v>
      </c>
      <c r="R371" s="186">
        <v>8952</v>
      </c>
      <c r="S371" s="184" t="s">
        <v>59</v>
      </c>
    </row>
    <row r="372" spans="1:19">
      <c r="A372" s="111">
        <v>371</v>
      </c>
      <c r="B372" s="124">
        <v>44886</v>
      </c>
      <c r="C372" s="113">
        <f t="shared" si="2"/>
        <v>2022</v>
      </c>
      <c r="D372" s="114">
        <f t="shared" si="3"/>
        <v>11</v>
      </c>
      <c r="E372" s="114" t="s">
        <v>23</v>
      </c>
      <c r="F372" s="114" t="s">
        <v>224</v>
      </c>
      <c r="G372" s="115" t="s">
        <v>107</v>
      </c>
      <c r="H372" s="114" t="s">
        <v>107</v>
      </c>
      <c r="I372" s="114" t="s">
        <v>107</v>
      </c>
      <c r="J372" s="119">
        <v>0</v>
      </c>
      <c r="K372" s="117">
        <v>0</v>
      </c>
      <c r="L372" s="117">
        <v>0</v>
      </c>
      <c r="M372" s="117">
        <v>0</v>
      </c>
      <c r="N372" s="117">
        <v>0</v>
      </c>
      <c r="O372" s="117">
        <v>0</v>
      </c>
      <c r="P372" s="118">
        <v>0</v>
      </c>
      <c r="Q372" s="119">
        <v>0</v>
      </c>
      <c r="R372" s="119">
        <v>0</v>
      </c>
      <c r="S372" s="184" t="s">
        <v>59</v>
      </c>
    </row>
    <row r="373" spans="1:19">
      <c r="A373" s="111">
        <v>372</v>
      </c>
      <c r="B373" s="124">
        <v>44887</v>
      </c>
      <c r="C373" s="113">
        <f t="shared" si="2"/>
        <v>2022</v>
      </c>
      <c r="D373" s="114">
        <f t="shared" si="3"/>
        <v>11</v>
      </c>
      <c r="E373" s="114" t="s">
        <v>15</v>
      </c>
      <c r="F373" s="114" t="s">
        <v>225</v>
      </c>
      <c r="G373" s="115" t="s">
        <v>226</v>
      </c>
      <c r="H373" s="114" t="s">
        <v>227</v>
      </c>
      <c r="I373" s="114" t="s">
        <v>173</v>
      </c>
      <c r="J373" s="186">
        <v>5</v>
      </c>
      <c r="K373" s="187">
        <v>43</v>
      </c>
      <c r="L373" s="187">
        <v>23</v>
      </c>
      <c r="M373" s="187">
        <v>2</v>
      </c>
      <c r="N373" s="187">
        <v>811</v>
      </c>
      <c r="O373" s="187">
        <v>1083</v>
      </c>
      <c r="P373" s="188">
        <v>1</v>
      </c>
      <c r="Q373" s="186">
        <v>4055</v>
      </c>
      <c r="R373" s="186">
        <v>5416</v>
      </c>
      <c r="S373" s="184" t="s">
        <v>59</v>
      </c>
    </row>
    <row r="374" spans="1:19">
      <c r="A374" s="111">
        <v>373</v>
      </c>
      <c r="B374" s="124">
        <v>44888</v>
      </c>
      <c r="C374" s="113">
        <f t="shared" si="2"/>
        <v>2022</v>
      </c>
      <c r="D374" s="114">
        <f t="shared" si="3"/>
        <v>11</v>
      </c>
      <c r="E374" s="114" t="s">
        <v>84</v>
      </c>
      <c r="F374" s="114" t="s">
        <v>228</v>
      </c>
      <c r="G374" s="115" t="s">
        <v>229</v>
      </c>
      <c r="H374" s="114" t="s">
        <v>230</v>
      </c>
      <c r="I374" s="114" t="s">
        <v>184</v>
      </c>
      <c r="J374" s="186">
        <v>5</v>
      </c>
      <c r="K374" s="187">
        <v>31</v>
      </c>
      <c r="L374" s="187">
        <v>20</v>
      </c>
      <c r="M374" s="187">
        <v>1.7</v>
      </c>
      <c r="N374" s="187">
        <v>430</v>
      </c>
      <c r="O374" s="187">
        <v>610</v>
      </c>
      <c r="P374" s="188">
        <v>0.6</v>
      </c>
      <c r="Q374" s="186">
        <v>2150</v>
      </c>
      <c r="R374" s="186">
        <v>3052</v>
      </c>
      <c r="S374" s="184" t="s">
        <v>59</v>
      </c>
    </row>
    <row r="375" spans="1:19">
      <c r="A375" s="111">
        <v>374</v>
      </c>
      <c r="B375" s="124">
        <v>44889</v>
      </c>
      <c r="C375" s="113">
        <f t="shared" si="2"/>
        <v>2022</v>
      </c>
      <c r="D375" s="114">
        <f t="shared" si="3"/>
        <v>11</v>
      </c>
      <c r="E375" s="114" t="s">
        <v>84</v>
      </c>
      <c r="F375" s="114" t="s">
        <v>231</v>
      </c>
      <c r="G375" s="115" t="s">
        <v>232</v>
      </c>
      <c r="H375" s="114" t="s">
        <v>233</v>
      </c>
      <c r="I375" s="114" t="s">
        <v>184</v>
      </c>
      <c r="J375" s="119">
        <v>0</v>
      </c>
      <c r="K375" s="117">
        <v>0</v>
      </c>
      <c r="L375" s="117">
        <v>0</v>
      </c>
      <c r="M375" s="117">
        <v>0</v>
      </c>
      <c r="N375" s="117">
        <v>0</v>
      </c>
      <c r="O375" s="117">
        <v>0</v>
      </c>
      <c r="P375" s="118">
        <v>0</v>
      </c>
      <c r="Q375" s="119">
        <v>0</v>
      </c>
      <c r="R375" s="119">
        <v>0</v>
      </c>
      <c r="S375" s="184" t="s">
        <v>59</v>
      </c>
    </row>
    <row r="376" spans="1:19">
      <c r="A376" s="111">
        <v>375</v>
      </c>
      <c r="B376" s="124">
        <v>44890</v>
      </c>
      <c r="C376" s="113">
        <f t="shared" si="2"/>
        <v>2022</v>
      </c>
      <c r="D376" s="114">
        <f t="shared" si="3"/>
        <v>11</v>
      </c>
      <c r="E376" s="114" t="s">
        <v>22</v>
      </c>
      <c r="F376" s="114" t="s">
        <v>174</v>
      </c>
      <c r="G376" s="115" t="s">
        <v>175</v>
      </c>
      <c r="H376" s="114" t="s">
        <v>176</v>
      </c>
      <c r="I376" s="114" t="s">
        <v>173</v>
      </c>
      <c r="J376" s="186">
        <v>4</v>
      </c>
      <c r="K376" s="187">
        <v>87</v>
      </c>
      <c r="L376" s="187">
        <v>36</v>
      </c>
      <c r="M376" s="187">
        <v>2.6</v>
      </c>
      <c r="N376" s="187">
        <v>2153</v>
      </c>
      <c r="O376" s="187">
        <v>3173</v>
      </c>
      <c r="P376" s="188">
        <v>0.75</v>
      </c>
      <c r="Q376" s="186">
        <v>8612</v>
      </c>
      <c r="R376" s="186">
        <v>12692</v>
      </c>
      <c r="S376" s="184" t="s">
        <v>59</v>
      </c>
    </row>
    <row r="377" spans="1:19">
      <c r="A377" s="111">
        <v>376</v>
      </c>
      <c r="B377" s="124">
        <v>44891</v>
      </c>
      <c r="C377" s="113">
        <f t="shared" si="2"/>
        <v>2022</v>
      </c>
      <c r="D377" s="114">
        <f t="shared" si="3"/>
        <v>11</v>
      </c>
      <c r="E377" s="114" t="s">
        <v>22</v>
      </c>
      <c r="F377" s="114" t="s">
        <v>177</v>
      </c>
      <c r="G377" s="115" t="s">
        <v>175</v>
      </c>
      <c r="H377" s="114" t="s">
        <v>176</v>
      </c>
      <c r="I377" s="114" t="s">
        <v>173</v>
      </c>
      <c r="J377" s="119">
        <v>0</v>
      </c>
      <c r="K377" s="117">
        <v>0</v>
      </c>
      <c r="L377" s="117">
        <v>0</v>
      </c>
      <c r="M377" s="117">
        <v>0</v>
      </c>
      <c r="N377" s="117">
        <v>0</v>
      </c>
      <c r="O377" s="117">
        <v>0</v>
      </c>
      <c r="P377" s="118">
        <v>0</v>
      </c>
      <c r="Q377" s="119">
        <v>0</v>
      </c>
      <c r="R377" s="119">
        <v>0</v>
      </c>
      <c r="S377" s="184" t="s">
        <v>59</v>
      </c>
    </row>
    <row r="378" spans="1:19">
      <c r="A378" s="111">
        <v>377</v>
      </c>
      <c r="B378" s="124">
        <v>44892</v>
      </c>
      <c r="C378" s="113">
        <f t="shared" si="2"/>
        <v>2022</v>
      </c>
      <c r="D378" s="114">
        <f t="shared" si="3"/>
        <v>11</v>
      </c>
      <c r="E378" s="114" t="s">
        <v>22</v>
      </c>
      <c r="F378" s="114" t="s">
        <v>223</v>
      </c>
      <c r="G378" s="115" t="s">
        <v>175</v>
      </c>
      <c r="H378" s="114" t="s">
        <v>176</v>
      </c>
      <c r="I378" s="114" t="s">
        <v>173</v>
      </c>
      <c r="J378" s="119">
        <v>0</v>
      </c>
      <c r="K378" s="117">
        <v>0</v>
      </c>
      <c r="L378" s="117">
        <v>0</v>
      </c>
      <c r="M378" s="117">
        <v>0</v>
      </c>
      <c r="N378" s="117">
        <v>0</v>
      </c>
      <c r="O378" s="117">
        <v>0</v>
      </c>
      <c r="P378" s="118">
        <v>0</v>
      </c>
      <c r="Q378" s="119">
        <v>0</v>
      </c>
      <c r="R378" s="119">
        <v>0</v>
      </c>
      <c r="S378" s="184" t="s">
        <v>59</v>
      </c>
    </row>
    <row r="379" spans="1:19">
      <c r="A379" s="111">
        <v>378</v>
      </c>
      <c r="B379" s="124">
        <v>44893</v>
      </c>
      <c r="C379" s="113">
        <f t="shared" si="2"/>
        <v>2022</v>
      </c>
      <c r="D379" s="114">
        <f t="shared" si="3"/>
        <v>11</v>
      </c>
      <c r="E379" s="114" t="s">
        <v>12</v>
      </c>
      <c r="F379" s="114" t="s">
        <v>220</v>
      </c>
      <c r="G379" s="115" t="s">
        <v>221</v>
      </c>
      <c r="H379" s="114" t="s">
        <v>222</v>
      </c>
      <c r="I379" s="114" t="s">
        <v>184</v>
      </c>
      <c r="J379" s="186">
        <v>1</v>
      </c>
      <c r="K379" s="187">
        <v>48</v>
      </c>
      <c r="L379" s="187">
        <v>19</v>
      </c>
      <c r="M379" s="187">
        <v>2.7</v>
      </c>
      <c r="N379" s="187">
        <v>708</v>
      </c>
      <c r="O379" s="187">
        <v>1024</v>
      </c>
      <c r="P379" s="188">
        <v>0</v>
      </c>
      <c r="Q379" s="186">
        <v>708</v>
      </c>
      <c r="R379" s="186">
        <v>1024</v>
      </c>
      <c r="S379" s="184" t="s">
        <v>59</v>
      </c>
    </row>
    <row r="380" spans="1:19">
      <c r="A380" s="111">
        <v>379</v>
      </c>
      <c r="B380" s="124">
        <v>44894</v>
      </c>
      <c r="C380" s="113">
        <f t="shared" si="2"/>
        <v>2022</v>
      </c>
      <c r="D380" s="114">
        <f t="shared" si="3"/>
        <v>11</v>
      </c>
      <c r="E380" s="114" t="s">
        <v>12</v>
      </c>
      <c r="F380" s="114" t="s">
        <v>234</v>
      </c>
      <c r="G380" s="115" t="s">
        <v>235</v>
      </c>
      <c r="H380" s="114" t="s">
        <v>236</v>
      </c>
      <c r="I380" s="114" t="s">
        <v>184</v>
      </c>
      <c r="J380" s="186">
        <v>5</v>
      </c>
      <c r="K380" s="187">
        <v>32</v>
      </c>
      <c r="L380" s="187">
        <v>20</v>
      </c>
      <c r="M380" s="187">
        <v>1.7</v>
      </c>
      <c r="N380" s="187">
        <v>580</v>
      </c>
      <c r="O380" s="187">
        <v>899</v>
      </c>
      <c r="P380" s="188">
        <v>0</v>
      </c>
      <c r="Q380" s="186">
        <v>2902</v>
      </c>
      <c r="R380" s="186">
        <v>4497</v>
      </c>
      <c r="S380" s="184" t="s">
        <v>59</v>
      </c>
    </row>
    <row r="381" spans="1:19">
      <c r="A381" s="111">
        <v>380</v>
      </c>
      <c r="B381" s="124">
        <v>44895</v>
      </c>
      <c r="C381" s="113">
        <f t="shared" si="2"/>
        <v>2022</v>
      </c>
      <c r="D381" s="114">
        <f t="shared" si="3"/>
        <v>11</v>
      </c>
      <c r="E381" s="114" t="s">
        <v>12</v>
      </c>
      <c r="F381" s="114" t="s">
        <v>237</v>
      </c>
      <c r="G381" s="115" t="s">
        <v>199</v>
      </c>
      <c r="H381" s="114" t="s">
        <v>199</v>
      </c>
      <c r="I381" s="114" t="s">
        <v>200</v>
      </c>
      <c r="J381" s="119">
        <v>0</v>
      </c>
      <c r="K381" s="117">
        <v>0</v>
      </c>
      <c r="L381" s="117">
        <v>0</v>
      </c>
      <c r="M381" s="117">
        <v>0</v>
      </c>
      <c r="N381" s="117">
        <v>0</v>
      </c>
      <c r="O381" s="117">
        <v>0</v>
      </c>
      <c r="P381" s="118">
        <v>0</v>
      </c>
      <c r="Q381" s="119">
        <v>0</v>
      </c>
      <c r="R381" s="119">
        <v>0</v>
      </c>
      <c r="S381" s="184" t="s">
        <v>59</v>
      </c>
    </row>
    <row r="382" spans="1:19">
      <c r="A382" s="111">
        <v>381</v>
      </c>
      <c r="B382" s="124">
        <v>44866</v>
      </c>
      <c r="C382" s="113">
        <f t="shared" si="2"/>
        <v>2022</v>
      </c>
      <c r="D382" s="114">
        <f t="shared" si="3"/>
        <v>11</v>
      </c>
      <c r="E382" s="114" t="s">
        <v>26</v>
      </c>
      <c r="F382" s="114" t="s">
        <v>238</v>
      </c>
      <c r="G382" s="115" t="s">
        <v>175</v>
      </c>
      <c r="H382" s="114" t="s">
        <v>176</v>
      </c>
      <c r="I382" s="114" t="s">
        <v>173</v>
      </c>
      <c r="J382" s="119">
        <v>0</v>
      </c>
      <c r="K382" s="117">
        <v>0</v>
      </c>
      <c r="L382" s="117">
        <v>0</v>
      </c>
      <c r="M382" s="117">
        <v>0</v>
      </c>
      <c r="N382" s="117">
        <v>0</v>
      </c>
      <c r="O382" s="117">
        <v>0</v>
      </c>
      <c r="P382" s="118">
        <v>0</v>
      </c>
      <c r="Q382" s="119">
        <v>0</v>
      </c>
      <c r="R382" s="119">
        <v>0</v>
      </c>
      <c r="S382" s="184" t="s">
        <v>59</v>
      </c>
    </row>
    <row r="383" spans="1:19">
      <c r="A383" s="111">
        <v>382</v>
      </c>
      <c r="B383" s="124">
        <v>44867</v>
      </c>
      <c r="C383" s="113">
        <f t="shared" si="2"/>
        <v>2022</v>
      </c>
      <c r="D383" s="114">
        <f t="shared" si="3"/>
        <v>11</v>
      </c>
      <c r="E383" s="114" t="s">
        <v>19</v>
      </c>
      <c r="F383" s="114" t="s">
        <v>178</v>
      </c>
      <c r="G383" s="115" t="s">
        <v>179</v>
      </c>
      <c r="H383" s="114" t="s">
        <v>180</v>
      </c>
      <c r="I383" s="114" t="s">
        <v>173</v>
      </c>
      <c r="J383" s="186">
        <v>1</v>
      </c>
      <c r="K383" s="187">
        <v>63</v>
      </c>
      <c r="L383" s="187">
        <v>44</v>
      </c>
      <c r="M383" s="187">
        <v>2</v>
      </c>
      <c r="N383" s="187">
        <v>645</v>
      </c>
      <c r="O383" s="187">
        <v>992</v>
      </c>
      <c r="P383" s="188">
        <v>1</v>
      </c>
      <c r="Q383" s="186">
        <v>645</v>
      </c>
      <c r="R383" s="186">
        <v>992</v>
      </c>
      <c r="S383" s="184" t="s">
        <v>59</v>
      </c>
    </row>
    <row r="384" spans="1:19">
      <c r="A384" s="111">
        <v>383</v>
      </c>
      <c r="B384" s="124">
        <v>44868</v>
      </c>
      <c r="C384" s="113">
        <f t="shared" si="2"/>
        <v>2022</v>
      </c>
      <c r="D384" s="114">
        <f t="shared" si="3"/>
        <v>11</v>
      </c>
      <c r="E384" s="114" t="s">
        <v>7</v>
      </c>
      <c r="F384" s="114" t="s">
        <v>239</v>
      </c>
      <c r="G384" s="115" t="s">
        <v>240</v>
      </c>
      <c r="H384" s="114" t="s">
        <v>241</v>
      </c>
      <c r="I384" s="114" t="s">
        <v>184</v>
      </c>
      <c r="J384" s="186">
        <v>3</v>
      </c>
      <c r="K384" s="187">
        <v>62</v>
      </c>
      <c r="L384" s="187">
        <v>34</v>
      </c>
      <c r="M384" s="187">
        <v>2.1</v>
      </c>
      <c r="N384" s="187">
        <v>754</v>
      </c>
      <c r="O384" s="187">
        <v>1208</v>
      </c>
      <c r="P384" s="188">
        <v>0.33</v>
      </c>
      <c r="Q384" s="186">
        <v>2263</v>
      </c>
      <c r="R384" s="186">
        <v>3624</v>
      </c>
      <c r="S384" s="184" t="s">
        <v>59</v>
      </c>
    </row>
    <row r="385" spans="1:19">
      <c r="A385" s="111">
        <v>384</v>
      </c>
      <c r="B385" s="124">
        <v>44869</v>
      </c>
      <c r="C385" s="113">
        <f t="shared" si="2"/>
        <v>2022</v>
      </c>
      <c r="D385" s="114">
        <f t="shared" si="3"/>
        <v>11</v>
      </c>
      <c r="E385" s="114" t="s">
        <v>7</v>
      </c>
      <c r="F385" s="114" t="s">
        <v>220</v>
      </c>
      <c r="G385" s="115" t="s">
        <v>221</v>
      </c>
      <c r="H385" s="114" t="s">
        <v>222</v>
      </c>
      <c r="I385" s="114" t="s">
        <v>184</v>
      </c>
      <c r="J385" s="186">
        <v>1</v>
      </c>
      <c r="K385" s="187">
        <v>51</v>
      </c>
      <c r="L385" s="187">
        <v>28</v>
      </c>
      <c r="M385" s="187">
        <v>2.1</v>
      </c>
      <c r="N385" s="187">
        <v>683</v>
      </c>
      <c r="O385" s="187">
        <v>987</v>
      </c>
      <c r="P385" s="188">
        <v>0</v>
      </c>
      <c r="Q385" s="186">
        <v>683</v>
      </c>
      <c r="R385" s="186">
        <v>987</v>
      </c>
      <c r="S385" s="184" t="s">
        <v>59</v>
      </c>
    </row>
    <row r="386" spans="1:19">
      <c r="A386" s="111">
        <v>385</v>
      </c>
      <c r="B386" s="124">
        <v>44870</v>
      </c>
      <c r="C386" s="113">
        <f t="shared" si="2"/>
        <v>2022</v>
      </c>
      <c r="D386" s="114">
        <f t="shared" si="3"/>
        <v>11</v>
      </c>
      <c r="E386" s="114" t="s">
        <v>7</v>
      </c>
      <c r="F386" s="114" t="s">
        <v>242</v>
      </c>
      <c r="G386" s="115" t="s">
        <v>243</v>
      </c>
      <c r="H386" s="114" t="s">
        <v>244</v>
      </c>
      <c r="I386" s="114" t="s">
        <v>184</v>
      </c>
      <c r="J386" s="186">
        <v>4</v>
      </c>
      <c r="K386" s="187">
        <v>56</v>
      </c>
      <c r="L386" s="187">
        <v>29</v>
      </c>
      <c r="M386" s="187">
        <v>2.2000000000000002</v>
      </c>
      <c r="N386" s="187">
        <v>1116</v>
      </c>
      <c r="O386" s="187">
        <v>1838</v>
      </c>
      <c r="P386" s="188">
        <v>0</v>
      </c>
      <c r="Q386" s="186">
        <v>4463</v>
      </c>
      <c r="R386" s="186">
        <v>7353</v>
      </c>
      <c r="S386" s="184" t="s">
        <v>59</v>
      </c>
    </row>
    <row r="387" spans="1:19">
      <c r="A387" s="111">
        <v>386</v>
      </c>
      <c r="B387" s="124">
        <v>44896</v>
      </c>
      <c r="C387" s="113">
        <f t="shared" si="2"/>
        <v>2022</v>
      </c>
      <c r="D387" s="114">
        <f t="shared" si="3"/>
        <v>12</v>
      </c>
      <c r="E387" s="114" t="s">
        <v>79</v>
      </c>
      <c r="F387" s="114" t="s">
        <v>170</v>
      </c>
      <c r="G387" s="115" t="s">
        <v>171</v>
      </c>
      <c r="H387" s="114" t="s">
        <v>172</v>
      </c>
      <c r="I387" s="114" t="s">
        <v>173</v>
      </c>
      <c r="J387" s="186">
        <v>4</v>
      </c>
      <c r="K387" s="187">
        <v>28</v>
      </c>
      <c r="L387" s="187">
        <v>23</v>
      </c>
      <c r="M387" s="187">
        <v>1.5</v>
      </c>
      <c r="N387" s="187">
        <v>270</v>
      </c>
      <c r="O387" s="187">
        <v>383</v>
      </c>
      <c r="P387" s="188">
        <v>0</v>
      </c>
      <c r="Q387" s="186">
        <v>1079</v>
      </c>
      <c r="R387" s="186">
        <v>1531</v>
      </c>
      <c r="S387" s="184" t="s">
        <v>59</v>
      </c>
    </row>
    <row r="388" spans="1:19">
      <c r="A388" s="111">
        <v>387</v>
      </c>
      <c r="B388" s="124">
        <v>44897</v>
      </c>
      <c r="C388" s="113">
        <f t="shared" si="2"/>
        <v>2022</v>
      </c>
      <c r="D388" s="114">
        <f t="shared" si="3"/>
        <v>12</v>
      </c>
      <c r="E388" s="114" t="s">
        <v>79</v>
      </c>
      <c r="F388" s="114" t="s">
        <v>174</v>
      </c>
      <c r="G388" s="115" t="s">
        <v>175</v>
      </c>
      <c r="H388" s="114" t="s">
        <v>176</v>
      </c>
      <c r="I388" s="114" t="s">
        <v>173</v>
      </c>
      <c r="J388" s="119">
        <v>0</v>
      </c>
      <c r="K388" s="117">
        <v>0</v>
      </c>
      <c r="L388" s="117">
        <v>0</v>
      </c>
      <c r="M388" s="117">
        <v>0</v>
      </c>
      <c r="N388" s="117">
        <v>0</v>
      </c>
      <c r="O388" s="117">
        <v>0</v>
      </c>
      <c r="P388" s="118">
        <v>0</v>
      </c>
      <c r="Q388" s="119">
        <v>0</v>
      </c>
      <c r="R388" s="119">
        <v>0</v>
      </c>
      <c r="S388" s="184" t="s">
        <v>59</v>
      </c>
    </row>
    <row r="389" spans="1:19">
      <c r="A389" s="111">
        <v>388</v>
      </c>
      <c r="B389" s="124">
        <v>44898</v>
      </c>
      <c r="C389" s="113">
        <f t="shared" si="2"/>
        <v>2022</v>
      </c>
      <c r="D389" s="114">
        <f t="shared" si="3"/>
        <v>12</v>
      </c>
      <c r="E389" s="114" t="s">
        <v>79</v>
      </c>
      <c r="F389" s="114" t="s">
        <v>177</v>
      </c>
      <c r="G389" s="115" t="s">
        <v>175</v>
      </c>
      <c r="H389" s="114" t="s">
        <v>176</v>
      </c>
      <c r="I389" s="114" t="s">
        <v>173</v>
      </c>
      <c r="J389" s="186">
        <v>5</v>
      </c>
      <c r="K389" s="187">
        <v>67</v>
      </c>
      <c r="L389" s="187">
        <v>32</v>
      </c>
      <c r="M389" s="187">
        <v>2.4</v>
      </c>
      <c r="N389" s="187">
        <v>1685</v>
      </c>
      <c r="O389" s="187">
        <v>2485</v>
      </c>
      <c r="P389" s="188">
        <v>0.4</v>
      </c>
      <c r="Q389" s="186">
        <v>8426</v>
      </c>
      <c r="R389" s="186">
        <v>12424</v>
      </c>
      <c r="S389" s="184" t="s">
        <v>59</v>
      </c>
    </row>
    <row r="390" spans="1:19">
      <c r="A390" s="111">
        <v>389</v>
      </c>
      <c r="B390" s="124">
        <v>44899</v>
      </c>
      <c r="C390" s="113">
        <f t="shared" si="2"/>
        <v>2022</v>
      </c>
      <c r="D390" s="114">
        <f t="shared" si="3"/>
        <v>12</v>
      </c>
      <c r="E390" s="114" t="s">
        <v>20</v>
      </c>
      <c r="F390" s="114" t="s">
        <v>178</v>
      </c>
      <c r="G390" s="115" t="s">
        <v>179</v>
      </c>
      <c r="H390" s="114" t="s">
        <v>180</v>
      </c>
      <c r="I390" s="114" t="s">
        <v>173</v>
      </c>
      <c r="J390" s="186">
        <v>2</v>
      </c>
      <c r="K390" s="187">
        <v>47</v>
      </c>
      <c r="L390" s="187">
        <v>31</v>
      </c>
      <c r="M390" s="187">
        <v>1.7</v>
      </c>
      <c r="N390" s="187">
        <v>889</v>
      </c>
      <c r="O390" s="187">
        <v>1224</v>
      </c>
      <c r="P390" s="188">
        <v>1</v>
      </c>
      <c r="Q390" s="186">
        <v>1777</v>
      </c>
      <c r="R390" s="186">
        <v>2448</v>
      </c>
      <c r="S390" s="184" t="s">
        <v>59</v>
      </c>
    </row>
    <row r="391" spans="1:19">
      <c r="A391" s="111">
        <v>390</v>
      </c>
      <c r="B391" s="124">
        <v>44900</v>
      </c>
      <c r="C391" s="113">
        <f t="shared" si="2"/>
        <v>2022</v>
      </c>
      <c r="D391" s="114">
        <f t="shared" si="3"/>
        <v>12</v>
      </c>
      <c r="E391" s="114" t="s">
        <v>8</v>
      </c>
      <c r="F391" s="114" t="s">
        <v>181</v>
      </c>
      <c r="G391" s="115" t="s">
        <v>182</v>
      </c>
      <c r="H391" s="114" t="s">
        <v>183</v>
      </c>
      <c r="I391" s="114" t="s">
        <v>184</v>
      </c>
      <c r="J391" s="186">
        <v>5</v>
      </c>
      <c r="K391" s="187">
        <v>46</v>
      </c>
      <c r="L391" s="187">
        <v>36</v>
      </c>
      <c r="M391" s="187">
        <v>1.5</v>
      </c>
      <c r="N391" s="187">
        <v>373</v>
      </c>
      <c r="O391" s="187">
        <v>561</v>
      </c>
      <c r="P391" s="188">
        <v>0.4</v>
      </c>
      <c r="Q391" s="186">
        <v>1867</v>
      </c>
      <c r="R391" s="186">
        <v>2806</v>
      </c>
      <c r="S391" s="184" t="s">
        <v>59</v>
      </c>
    </row>
    <row r="392" spans="1:19">
      <c r="A392" s="111">
        <v>391</v>
      </c>
      <c r="B392" s="124">
        <v>44901</v>
      </c>
      <c r="C392" s="113">
        <f t="shared" si="2"/>
        <v>2022</v>
      </c>
      <c r="D392" s="114">
        <f t="shared" si="3"/>
        <v>12</v>
      </c>
      <c r="E392" s="114" t="s">
        <v>8</v>
      </c>
      <c r="F392" s="114" t="s">
        <v>185</v>
      </c>
      <c r="G392" s="115" t="s">
        <v>186</v>
      </c>
      <c r="H392" s="114" t="s">
        <v>187</v>
      </c>
      <c r="I392" s="114" t="s">
        <v>184</v>
      </c>
      <c r="J392" s="186">
        <v>4</v>
      </c>
      <c r="K392" s="187">
        <v>55</v>
      </c>
      <c r="L392" s="187">
        <v>27</v>
      </c>
      <c r="M392" s="187">
        <v>2.2999999999999998</v>
      </c>
      <c r="N392" s="187">
        <v>786</v>
      </c>
      <c r="O392" s="187">
        <v>1147</v>
      </c>
      <c r="P392" s="188">
        <v>0.25</v>
      </c>
      <c r="Q392" s="186">
        <v>3145</v>
      </c>
      <c r="R392" s="186">
        <v>4589</v>
      </c>
      <c r="S392" s="184" t="s">
        <v>59</v>
      </c>
    </row>
    <row r="393" spans="1:19">
      <c r="A393" s="111">
        <v>392</v>
      </c>
      <c r="B393" s="124">
        <v>44902</v>
      </c>
      <c r="C393" s="113">
        <f t="shared" si="2"/>
        <v>2022</v>
      </c>
      <c r="D393" s="114">
        <f t="shared" si="3"/>
        <v>12</v>
      </c>
      <c r="E393" s="114" t="s">
        <v>8</v>
      </c>
      <c r="F393" s="114" t="s">
        <v>188</v>
      </c>
      <c r="G393" s="115" t="s">
        <v>189</v>
      </c>
      <c r="H393" s="114" t="s">
        <v>190</v>
      </c>
      <c r="I393" s="114" t="s">
        <v>184</v>
      </c>
      <c r="J393" s="186">
        <v>4</v>
      </c>
      <c r="K393" s="187">
        <v>39</v>
      </c>
      <c r="L393" s="187">
        <v>20</v>
      </c>
      <c r="M393" s="187">
        <v>2.1</v>
      </c>
      <c r="N393" s="187">
        <v>755</v>
      </c>
      <c r="O393" s="187">
        <v>1192</v>
      </c>
      <c r="P393" s="188">
        <v>0</v>
      </c>
      <c r="Q393" s="186">
        <v>3018</v>
      </c>
      <c r="R393" s="186">
        <v>4767</v>
      </c>
      <c r="S393" s="184" t="s">
        <v>59</v>
      </c>
    </row>
    <row r="394" spans="1:19">
      <c r="A394" s="111">
        <v>393</v>
      </c>
      <c r="B394" s="124">
        <v>44903</v>
      </c>
      <c r="C394" s="113">
        <f t="shared" si="2"/>
        <v>2022</v>
      </c>
      <c r="D394" s="114">
        <f t="shared" si="3"/>
        <v>12</v>
      </c>
      <c r="E394" s="114" t="s">
        <v>8</v>
      </c>
      <c r="F394" s="114" t="s">
        <v>191</v>
      </c>
      <c r="G394" s="115" t="s">
        <v>192</v>
      </c>
      <c r="H394" s="114" t="s">
        <v>193</v>
      </c>
      <c r="I394" s="114" t="s">
        <v>173</v>
      </c>
      <c r="J394" s="186">
        <v>3</v>
      </c>
      <c r="K394" s="187">
        <v>36</v>
      </c>
      <c r="L394" s="187">
        <v>22</v>
      </c>
      <c r="M394" s="187">
        <v>1.8</v>
      </c>
      <c r="N394" s="187">
        <v>738</v>
      </c>
      <c r="O394" s="187">
        <v>1081</v>
      </c>
      <c r="P394" s="188">
        <v>0.33</v>
      </c>
      <c r="Q394" s="186">
        <v>2214</v>
      </c>
      <c r="R394" s="186">
        <v>3244</v>
      </c>
      <c r="S394" s="184" t="s">
        <v>59</v>
      </c>
    </row>
    <row r="395" spans="1:19">
      <c r="A395" s="111">
        <v>394</v>
      </c>
      <c r="B395" s="124">
        <v>44904</v>
      </c>
      <c r="C395" s="113">
        <f t="shared" si="2"/>
        <v>2022</v>
      </c>
      <c r="D395" s="114">
        <f t="shared" si="3"/>
        <v>12</v>
      </c>
      <c r="E395" s="114" t="s">
        <v>8</v>
      </c>
      <c r="F395" s="114" t="s">
        <v>194</v>
      </c>
      <c r="G395" s="115" t="s">
        <v>107</v>
      </c>
      <c r="H395" s="185" t="s">
        <v>107</v>
      </c>
      <c r="I395" s="185"/>
      <c r="J395" s="119">
        <v>0</v>
      </c>
      <c r="K395" s="117">
        <v>0</v>
      </c>
      <c r="L395" s="117">
        <v>0</v>
      </c>
      <c r="M395" s="117">
        <v>0</v>
      </c>
      <c r="N395" s="117">
        <v>0</v>
      </c>
      <c r="O395" s="117">
        <v>0</v>
      </c>
      <c r="P395" s="118">
        <v>0</v>
      </c>
      <c r="Q395" s="119">
        <v>0</v>
      </c>
      <c r="R395" s="119">
        <v>0</v>
      </c>
      <c r="S395" s="184" t="s">
        <v>59</v>
      </c>
    </row>
    <row r="396" spans="1:19">
      <c r="A396" s="111">
        <v>395</v>
      </c>
      <c r="B396" s="124">
        <v>44905</v>
      </c>
      <c r="C396" s="113">
        <f t="shared" si="2"/>
        <v>2022</v>
      </c>
      <c r="D396" s="114">
        <f t="shared" si="3"/>
        <v>12</v>
      </c>
      <c r="E396" s="114" t="s">
        <v>88</v>
      </c>
      <c r="F396" s="114" t="s">
        <v>195</v>
      </c>
      <c r="G396" s="115" t="s">
        <v>196</v>
      </c>
      <c r="H396" s="114" t="s">
        <v>197</v>
      </c>
      <c r="I396" s="114" t="s">
        <v>184</v>
      </c>
      <c r="J396" s="186">
        <v>3</v>
      </c>
      <c r="K396" s="187">
        <v>41</v>
      </c>
      <c r="L396" s="187">
        <v>20</v>
      </c>
      <c r="M396" s="187">
        <v>2.2000000000000002</v>
      </c>
      <c r="N396" s="187">
        <v>701</v>
      </c>
      <c r="O396" s="187">
        <v>934</v>
      </c>
      <c r="P396" s="188">
        <v>0.67</v>
      </c>
      <c r="Q396" s="186">
        <v>2103</v>
      </c>
      <c r="R396" s="186">
        <v>2802</v>
      </c>
      <c r="S396" s="184" t="s">
        <v>59</v>
      </c>
    </row>
    <row r="397" spans="1:19">
      <c r="A397" s="111">
        <v>396</v>
      </c>
      <c r="B397" s="124">
        <v>44906</v>
      </c>
      <c r="C397" s="113">
        <f t="shared" si="2"/>
        <v>2022</v>
      </c>
      <c r="D397" s="114">
        <f t="shared" si="3"/>
        <v>12</v>
      </c>
      <c r="E397" s="114" t="s">
        <v>104</v>
      </c>
      <c r="F397" s="114" t="s">
        <v>198</v>
      </c>
      <c r="G397" s="115" t="s">
        <v>199</v>
      </c>
      <c r="H397" s="114" t="s">
        <v>199</v>
      </c>
      <c r="I397" s="114" t="s">
        <v>200</v>
      </c>
      <c r="J397" s="186">
        <v>1</v>
      </c>
      <c r="K397" s="187">
        <v>33</v>
      </c>
      <c r="L397" s="187">
        <v>28</v>
      </c>
      <c r="M397" s="187">
        <v>1.5</v>
      </c>
      <c r="N397" s="187">
        <v>235</v>
      </c>
      <c r="O397" s="187">
        <v>240</v>
      </c>
      <c r="P397" s="188">
        <v>1</v>
      </c>
      <c r="Q397" s="186">
        <v>235</v>
      </c>
      <c r="R397" s="186">
        <v>240</v>
      </c>
      <c r="S397" s="184" t="s">
        <v>59</v>
      </c>
    </row>
    <row r="398" spans="1:19">
      <c r="A398" s="111">
        <v>397</v>
      </c>
      <c r="B398" s="124">
        <v>44907</v>
      </c>
      <c r="C398" s="113">
        <f t="shared" si="2"/>
        <v>2022</v>
      </c>
      <c r="D398" s="114">
        <f t="shared" si="3"/>
        <v>12</v>
      </c>
      <c r="E398" s="114" t="s">
        <v>201</v>
      </c>
      <c r="F398" s="114" t="s">
        <v>202</v>
      </c>
      <c r="G398" s="115" t="s">
        <v>203</v>
      </c>
      <c r="H398" s="114" t="s">
        <v>204</v>
      </c>
      <c r="I398" s="114" t="s">
        <v>173</v>
      </c>
      <c r="J398" s="119">
        <v>0</v>
      </c>
      <c r="K398" s="117">
        <v>0</v>
      </c>
      <c r="L398" s="117">
        <v>0</v>
      </c>
      <c r="M398" s="117">
        <v>0</v>
      </c>
      <c r="N398" s="117">
        <v>0</v>
      </c>
      <c r="O398" s="117">
        <v>0</v>
      </c>
      <c r="P398" s="118">
        <v>0</v>
      </c>
      <c r="Q398" s="119">
        <v>0</v>
      </c>
      <c r="R398" s="119">
        <v>0</v>
      </c>
      <c r="S398" s="184" t="s">
        <v>59</v>
      </c>
    </row>
    <row r="399" spans="1:19">
      <c r="A399" s="111">
        <v>398</v>
      </c>
      <c r="B399" s="124">
        <v>44908</v>
      </c>
      <c r="C399" s="113">
        <f t="shared" si="2"/>
        <v>2022</v>
      </c>
      <c r="D399" s="114">
        <f t="shared" si="3"/>
        <v>12</v>
      </c>
      <c r="E399" s="114" t="s">
        <v>30</v>
      </c>
      <c r="F399" s="114" t="s">
        <v>205</v>
      </c>
      <c r="G399" s="115" t="s">
        <v>206</v>
      </c>
      <c r="H399" s="114" t="s">
        <v>207</v>
      </c>
      <c r="I399" s="114" t="s">
        <v>184</v>
      </c>
      <c r="J399" s="119">
        <v>0</v>
      </c>
      <c r="K399" s="117">
        <v>0</v>
      </c>
      <c r="L399" s="117">
        <v>0</v>
      </c>
      <c r="M399" s="117">
        <v>0</v>
      </c>
      <c r="N399" s="117">
        <v>0</v>
      </c>
      <c r="O399" s="117">
        <v>0</v>
      </c>
      <c r="P399" s="118">
        <v>0</v>
      </c>
      <c r="Q399" s="119">
        <v>0</v>
      </c>
      <c r="R399" s="119">
        <v>0</v>
      </c>
      <c r="S399" s="184" t="s">
        <v>59</v>
      </c>
    </row>
    <row r="400" spans="1:19">
      <c r="A400" s="111">
        <v>399</v>
      </c>
      <c r="B400" s="124">
        <v>44909</v>
      </c>
      <c r="C400" s="113">
        <f t="shared" si="2"/>
        <v>2022</v>
      </c>
      <c r="D400" s="114">
        <f t="shared" si="3"/>
        <v>12</v>
      </c>
      <c r="E400" s="114" t="s">
        <v>10</v>
      </c>
      <c r="F400" s="114" t="s">
        <v>208</v>
      </c>
      <c r="G400" s="115" t="s">
        <v>209</v>
      </c>
      <c r="H400" s="114" t="s">
        <v>210</v>
      </c>
      <c r="I400" s="114" t="s">
        <v>173</v>
      </c>
      <c r="J400" s="186">
        <v>3</v>
      </c>
      <c r="K400" s="187">
        <v>36</v>
      </c>
      <c r="L400" s="187">
        <v>19</v>
      </c>
      <c r="M400" s="187">
        <v>2.1</v>
      </c>
      <c r="N400" s="187">
        <v>765</v>
      </c>
      <c r="O400" s="187">
        <v>1054</v>
      </c>
      <c r="P400" s="188">
        <v>1</v>
      </c>
      <c r="Q400" s="186">
        <v>2294</v>
      </c>
      <c r="R400" s="186">
        <v>3162</v>
      </c>
      <c r="S400" s="184" t="s">
        <v>59</v>
      </c>
    </row>
    <row r="401" spans="1:19">
      <c r="A401" s="111">
        <v>400</v>
      </c>
      <c r="B401" s="124">
        <v>44910</v>
      </c>
      <c r="C401" s="113">
        <f t="shared" si="2"/>
        <v>2022</v>
      </c>
      <c r="D401" s="114">
        <f t="shared" si="3"/>
        <v>12</v>
      </c>
      <c r="E401" s="114" t="s">
        <v>10</v>
      </c>
      <c r="F401" s="114" t="s">
        <v>211</v>
      </c>
      <c r="G401" s="115" t="s">
        <v>212</v>
      </c>
      <c r="H401" s="114" t="s">
        <v>213</v>
      </c>
      <c r="I401" s="114" t="s">
        <v>173</v>
      </c>
      <c r="J401" s="119">
        <v>0</v>
      </c>
      <c r="K401" s="117">
        <v>0</v>
      </c>
      <c r="L401" s="117">
        <v>0</v>
      </c>
      <c r="M401" s="117">
        <v>0</v>
      </c>
      <c r="N401" s="117">
        <v>0</v>
      </c>
      <c r="O401" s="117">
        <v>0</v>
      </c>
      <c r="P401" s="118">
        <v>0</v>
      </c>
      <c r="Q401" s="119">
        <v>0</v>
      </c>
      <c r="R401" s="119">
        <v>0</v>
      </c>
      <c r="S401" s="184" t="s">
        <v>59</v>
      </c>
    </row>
    <row r="402" spans="1:19">
      <c r="A402" s="111">
        <v>401</v>
      </c>
      <c r="B402" s="124">
        <v>44911</v>
      </c>
      <c r="C402" s="113">
        <f t="shared" si="2"/>
        <v>2022</v>
      </c>
      <c r="D402" s="114">
        <f t="shared" si="3"/>
        <v>12</v>
      </c>
      <c r="E402" s="114" t="s">
        <v>10</v>
      </c>
      <c r="F402" s="114" t="s">
        <v>214</v>
      </c>
      <c r="G402" s="115" t="s">
        <v>215</v>
      </c>
      <c r="H402" s="114" t="s">
        <v>216</v>
      </c>
      <c r="I402" s="114" t="s">
        <v>184</v>
      </c>
      <c r="J402" s="186">
        <v>4</v>
      </c>
      <c r="K402" s="187">
        <v>49</v>
      </c>
      <c r="L402" s="187">
        <v>29</v>
      </c>
      <c r="M402" s="187">
        <v>2.1</v>
      </c>
      <c r="N402" s="187">
        <v>715</v>
      </c>
      <c r="O402" s="187">
        <v>1008</v>
      </c>
      <c r="P402" s="188">
        <v>0.5</v>
      </c>
      <c r="Q402" s="186">
        <v>2859</v>
      </c>
      <c r="R402" s="186">
        <v>4031</v>
      </c>
      <c r="S402" s="184" t="s">
        <v>59</v>
      </c>
    </row>
    <row r="403" spans="1:19">
      <c r="A403" s="111">
        <v>402</v>
      </c>
      <c r="B403" s="124">
        <v>44912</v>
      </c>
      <c r="C403" s="113">
        <f t="shared" si="2"/>
        <v>2022</v>
      </c>
      <c r="D403" s="114">
        <f t="shared" si="3"/>
        <v>12</v>
      </c>
      <c r="E403" s="114" t="s">
        <v>9</v>
      </c>
      <c r="F403" s="114" t="s">
        <v>217</v>
      </c>
      <c r="G403" s="115" t="s">
        <v>218</v>
      </c>
      <c r="H403" s="114" t="s">
        <v>219</v>
      </c>
      <c r="I403" s="114" t="s">
        <v>184</v>
      </c>
      <c r="J403" s="186">
        <v>5</v>
      </c>
      <c r="K403" s="187">
        <v>64</v>
      </c>
      <c r="L403" s="187">
        <v>28</v>
      </c>
      <c r="M403" s="187">
        <v>2.6</v>
      </c>
      <c r="N403" s="187">
        <v>2119</v>
      </c>
      <c r="O403" s="187">
        <v>3430</v>
      </c>
      <c r="P403" s="188">
        <v>0.2</v>
      </c>
      <c r="Q403" s="186">
        <v>10593</v>
      </c>
      <c r="R403" s="186">
        <v>17152</v>
      </c>
      <c r="S403" s="184" t="s">
        <v>59</v>
      </c>
    </row>
    <row r="404" spans="1:19">
      <c r="A404" s="111">
        <v>403</v>
      </c>
      <c r="B404" s="124">
        <v>44913</v>
      </c>
      <c r="C404" s="113">
        <f t="shared" si="2"/>
        <v>2022</v>
      </c>
      <c r="D404" s="114">
        <f t="shared" si="3"/>
        <v>12</v>
      </c>
      <c r="E404" s="114" t="s">
        <v>11</v>
      </c>
      <c r="F404" s="114" t="s">
        <v>220</v>
      </c>
      <c r="G404" s="115" t="s">
        <v>221</v>
      </c>
      <c r="H404" s="114" t="s">
        <v>222</v>
      </c>
      <c r="I404" s="114" t="s">
        <v>184</v>
      </c>
      <c r="J404" s="186">
        <v>2</v>
      </c>
      <c r="K404" s="187">
        <v>42</v>
      </c>
      <c r="L404" s="187">
        <v>23</v>
      </c>
      <c r="M404" s="187">
        <v>2</v>
      </c>
      <c r="N404" s="187">
        <v>665</v>
      </c>
      <c r="O404" s="187">
        <v>1026</v>
      </c>
      <c r="P404" s="188">
        <v>0</v>
      </c>
      <c r="Q404" s="186">
        <v>1330</v>
      </c>
      <c r="R404" s="186">
        <v>2052</v>
      </c>
      <c r="S404" s="184" t="s">
        <v>59</v>
      </c>
    </row>
    <row r="405" spans="1:19">
      <c r="A405" s="111">
        <v>404</v>
      </c>
      <c r="B405" s="124">
        <v>44914</v>
      </c>
      <c r="C405" s="113">
        <f t="shared" si="2"/>
        <v>2022</v>
      </c>
      <c r="D405" s="114">
        <f t="shared" si="3"/>
        <v>12</v>
      </c>
      <c r="E405" s="114" t="s">
        <v>91</v>
      </c>
      <c r="F405" s="114" t="s">
        <v>178</v>
      </c>
      <c r="G405" s="115" t="s">
        <v>179</v>
      </c>
      <c r="H405" s="114" t="s">
        <v>180</v>
      </c>
      <c r="I405" s="114" t="s">
        <v>173</v>
      </c>
      <c r="J405" s="186">
        <v>1</v>
      </c>
      <c r="K405" s="187">
        <v>43</v>
      </c>
      <c r="L405" s="187">
        <v>21</v>
      </c>
      <c r="M405" s="187">
        <v>2.2999999999999998</v>
      </c>
      <c r="N405" s="187">
        <v>815</v>
      </c>
      <c r="O405" s="187">
        <v>1153</v>
      </c>
      <c r="P405" s="188">
        <v>1</v>
      </c>
      <c r="Q405" s="186">
        <v>815</v>
      </c>
      <c r="R405" s="186">
        <v>2306</v>
      </c>
      <c r="S405" s="184" t="s">
        <v>59</v>
      </c>
    </row>
    <row r="406" spans="1:19">
      <c r="A406" s="111">
        <v>405</v>
      </c>
      <c r="B406" s="124">
        <v>44915</v>
      </c>
      <c r="C406" s="113">
        <f t="shared" si="2"/>
        <v>2022</v>
      </c>
      <c r="D406" s="114">
        <f t="shared" si="3"/>
        <v>12</v>
      </c>
      <c r="E406" s="114" t="s">
        <v>23</v>
      </c>
      <c r="F406" s="114" t="s">
        <v>223</v>
      </c>
      <c r="G406" s="115" t="s">
        <v>175</v>
      </c>
      <c r="H406" s="114" t="s">
        <v>176</v>
      </c>
      <c r="I406" s="114" t="s">
        <v>173</v>
      </c>
      <c r="J406" s="186">
        <v>4</v>
      </c>
      <c r="K406" s="187">
        <v>56</v>
      </c>
      <c r="L406" s="187">
        <v>26</v>
      </c>
      <c r="M406" s="187">
        <v>2.2999999999999998</v>
      </c>
      <c r="N406" s="187">
        <v>1330</v>
      </c>
      <c r="O406" s="187">
        <v>2020</v>
      </c>
      <c r="P406" s="188">
        <v>0.25</v>
      </c>
      <c r="Q406" s="186">
        <v>5320</v>
      </c>
      <c r="R406" s="186">
        <v>8081</v>
      </c>
      <c r="S406" s="184" t="s">
        <v>59</v>
      </c>
    </row>
    <row r="407" spans="1:19">
      <c r="A407" s="111">
        <v>406</v>
      </c>
      <c r="B407" s="124">
        <v>44916</v>
      </c>
      <c r="C407" s="113">
        <f t="shared" si="2"/>
        <v>2022</v>
      </c>
      <c r="D407" s="114">
        <f t="shared" si="3"/>
        <v>12</v>
      </c>
      <c r="E407" s="114" t="s">
        <v>23</v>
      </c>
      <c r="F407" s="114" t="s">
        <v>224</v>
      </c>
      <c r="G407" s="115" t="s">
        <v>107</v>
      </c>
      <c r="H407" s="114" t="s">
        <v>107</v>
      </c>
      <c r="I407" s="114" t="s">
        <v>107</v>
      </c>
      <c r="J407" s="119">
        <v>0</v>
      </c>
      <c r="K407" s="117">
        <v>0</v>
      </c>
      <c r="L407" s="117">
        <v>0</v>
      </c>
      <c r="M407" s="117">
        <v>0</v>
      </c>
      <c r="N407" s="117">
        <v>0</v>
      </c>
      <c r="O407" s="117">
        <v>0</v>
      </c>
      <c r="P407" s="118">
        <v>0</v>
      </c>
      <c r="Q407" s="119">
        <v>0</v>
      </c>
      <c r="R407" s="119">
        <v>0</v>
      </c>
      <c r="S407" s="184" t="s">
        <v>59</v>
      </c>
    </row>
    <row r="408" spans="1:19">
      <c r="A408" s="111">
        <v>407</v>
      </c>
      <c r="B408" s="124">
        <v>44917</v>
      </c>
      <c r="C408" s="113">
        <f t="shared" si="2"/>
        <v>2022</v>
      </c>
      <c r="D408" s="114">
        <f t="shared" si="3"/>
        <v>12</v>
      </c>
      <c r="E408" s="114" t="s">
        <v>15</v>
      </c>
      <c r="F408" s="114" t="s">
        <v>225</v>
      </c>
      <c r="G408" s="115" t="s">
        <v>226</v>
      </c>
      <c r="H408" s="114" t="s">
        <v>227</v>
      </c>
      <c r="I408" s="114" t="s">
        <v>173</v>
      </c>
      <c r="J408" s="186">
        <v>4</v>
      </c>
      <c r="K408" s="187">
        <v>40</v>
      </c>
      <c r="L408" s="187">
        <v>21</v>
      </c>
      <c r="M408" s="187">
        <v>2</v>
      </c>
      <c r="N408" s="187">
        <v>806</v>
      </c>
      <c r="O408" s="187">
        <v>1086</v>
      </c>
      <c r="P408" s="188">
        <v>0.75</v>
      </c>
      <c r="Q408" s="186">
        <v>3225</v>
      </c>
      <c r="R408" s="186">
        <v>4343</v>
      </c>
      <c r="S408" s="184" t="s">
        <v>59</v>
      </c>
    </row>
    <row r="409" spans="1:19">
      <c r="A409" s="111">
        <v>408</v>
      </c>
      <c r="B409" s="124">
        <v>44918</v>
      </c>
      <c r="C409" s="113">
        <f t="shared" si="2"/>
        <v>2022</v>
      </c>
      <c r="D409" s="114">
        <f t="shared" si="3"/>
        <v>12</v>
      </c>
      <c r="E409" s="114" t="s">
        <v>84</v>
      </c>
      <c r="F409" s="114" t="s">
        <v>228</v>
      </c>
      <c r="G409" s="115" t="s">
        <v>229</v>
      </c>
      <c r="H409" s="114" t="s">
        <v>230</v>
      </c>
      <c r="I409" s="114" t="s">
        <v>184</v>
      </c>
      <c r="J409" s="186">
        <v>4</v>
      </c>
      <c r="K409" s="187">
        <v>30</v>
      </c>
      <c r="L409" s="187">
        <v>20</v>
      </c>
      <c r="M409" s="187">
        <v>1.6</v>
      </c>
      <c r="N409" s="187">
        <v>478</v>
      </c>
      <c r="O409" s="187">
        <v>719</v>
      </c>
      <c r="P409" s="188">
        <v>0.75</v>
      </c>
      <c r="Q409" s="186">
        <v>1911</v>
      </c>
      <c r="R409" s="186">
        <v>2877</v>
      </c>
      <c r="S409" s="184" t="s">
        <v>59</v>
      </c>
    </row>
    <row r="410" spans="1:19">
      <c r="A410" s="111">
        <v>409</v>
      </c>
      <c r="B410" s="124">
        <v>44919</v>
      </c>
      <c r="C410" s="113">
        <f t="shared" si="2"/>
        <v>2022</v>
      </c>
      <c r="D410" s="114">
        <f t="shared" si="3"/>
        <v>12</v>
      </c>
      <c r="E410" s="114" t="s">
        <v>84</v>
      </c>
      <c r="F410" s="114" t="s">
        <v>231</v>
      </c>
      <c r="G410" s="115" t="s">
        <v>232</v>
      </c>
      <c r="H410" s="114" t="s">
        <v>233</v>
      </c>
      <c r="I410" s="114" t="s">
        <v>184</v>
      </c>
      <c r="J410" s="119">
        <v>0</v>
      </c>
      <c r="K410" s="117">
        <v>0</v>
      </c>
      <c r="L410" s="117">
        <v>0</v>
      </c>
      <c r="M410" s="117">
        <v>0</v>
      </c>
      <c r="N410" s="117">
        <v>0</v>
      </c>
      <c r="O410" s="117">
        <v>0</v>
      </c>
      <c r="P410" s="118">
        <v>0</v>
      </c>
      <c r="Q410" s="119">
        <v>0</v>
      </c>
      <c r="R410" s="119">
        <v>0</v>
      </c>
      <c r="S410" s="184" t="s">
        <v>59</v>
      </c>
    </row>
    <row r="411" spans="1:19">
      <c r="A411" s="111">
        <v>410</v>
      </c>
      <c r="B411" s="124">
        <v>44920</v>
      </c>
      <c r="C411" s="113">
        <f t="shared" si="2"/>
        <v>2022</v>
      </c>
      <c r="D411" s="114">
        <f t="shared" si="3"/>
        <v>12</v>
      </c>
      <c r="E411" s="114" t="s">
        <v>22</v>
      </c>
      <c r="F411" s="114" t="s">
        <v>174</v>
      </c>
      <c r="G411" s="115" t="s">
        <v>175</v>
      </c>
      <c r="H411" s="114" t="s">
        <v>176</v>
      </c>
      <c r="I411" s="114" t="s">
        <v>173</v>
      </c>
      <c r="J411" s="186">
        <v>4</v>
      </c>
      <c r="K411" s="187">
        <v>76</v>
      </c>
      <c r="L411" s="187">
        <v>33</v>
      </c>
      <c r="M411" s="187">
        <v>2.5</v>
      </c>
      <c r="N411" s="187">
        <v>2317</v>
      </c>
      <c r="O411" s="187">
        <v>3508</v>
      </c>
      <c r="P411" s="188">
        <v>0.5</v>
      </c>
      <c r="Q411" s="186">
        <v>9266</v>
      </c>
      <c r="R411" s="186">
        <v>14032</v>
      </c>
      <c r="S411" s="184" t="s">
        <v>59</v>
      </c>
    </row>
    <row r="412" spans="1:19">
      <c r="A412" s="111">
        <v>411</v>
      </c>
      <c r="B412" s="124">
        <v>44921</v>
      </c>
      <c r="C412" s="113">
        <f t="shared" si="2"/>
        <v>2022</v>
      </c>
      <c r="D412" s="114">
        <f t="shared" si="3"/>
        <v>12</v>
      </c>
      <c r="E412" s="114" t="s">
        <v>22</v>
      </c>
      <c r="F412" s="114" t="s">
        <v>177</v>
      </c>
      <c r="G412" s="115" t="s">
        <v>175</v>
      </c>
      <c r="H412" s="114" t="s">
        <v>176</v>
      </c>
      <c r="I412" s="114" t="s">
        <v>173</v>
      </c>
      <c r="J412" s="119">
        <v>0</v>
      </c>
      <c r="K412" s="117">
        <v>0</v>
      </c>
      <c r="L412" s="117">
        <v>0</v>
      </c>
      <c r="M412" s="117">
        <v>0</v>
      </c>
      <c r="N412" s="117">
        <v>0</v>
      </c>
      <c r="O412" s="117">
        <v>0</v>
      </c>
      <c r="P412" s="118">
        <v>0</v>
      </c>
      <c r="Q412" s="119">
        <v>0</v>
      </c>
      <c r="R412" s="119">
        <v>0</v>
      </c>
      <c r="S412" s="184" t="s">
        <v>59</v>
      </c>
    </row>
    <row r="413" spans="1:19">
      <c r="A413" s="111">
        <v>412</v>
      </c>
      <c r="B413" s="124">
        <v>44922</v>
      </c>
      <c r="C413" s="113">
        <f t="shared" si="2"/>
        <v>2022</v>
      </c>
      <c r="D413" s="114">
        <f t="shared" si="3"/>
        <v>12</v>
      </c>
      <c r="E413" s="114" t="s">
        <v>22</v>
      </c>
      <c r="F413" s="114" t="s">
        <v>223</v>
      </c>
      <c r="G413" s="115" t="s">
        <v>175</v>
      </c>
      <c r="H413" s="114" t="s">
        <v>176</v>
      </c>
      <c r="I413" s="114" t="s">
        <v>173</v>
      </c>
      <c r="J413" s="119">
        <v>0</v>
      </c>
      <c r="K413" s="117">
        <v>0</v>
      </c>
      <c r="L413" s="117">
        <v>0</v>
      </c>
      <c r="M413" s="117">
        <v>0</v>
      </c>
      <c r="N413" s="117">
        <v>0</v>
      </c>
      <c r="O413" s="117">
        <v>0</v>
      </c>
      <c r="P413" s="118">
        <v>0</v>
      </c>
      <c r="Q413" s="119">
        <v>0</v>
      </c>
      <c r="R413" s="119">
        <v>0</v>
      </c>
      <c r="S413" s="184" t="s">
        <v>59</v>
      </c>
    </row>
    <row r="414" spans="1:19">
      <c r="A414" s="111">
        <v>413</v>
      </c>
      <c r="B414" s="124">
        <v>44923</v>
      </c>
      <c r="C414" s="113">
        <f t="shared" si="2"/>
        <v>2022</v>
      </c>
      <c r="D414" s="114">
        <f t="shared" si="3"/>
        <v>12</v>
      </c>
      <c r="E414" s="114" t="s">
        <v>12</v>
      </c>
      <c r="F414" s="114" t="s">
        <v>220</v>
      </c>
      <c r="G414" s="115" t="s">
        <v>221</v>
      </c>
      <c r="H414" s="114" t="s">
        <v>222</v>
      </c>
      <c r="I414" s="114" t="s">
        <v>184</v>
      </c>
      <c r="J414" s="186">
        <v>2</v>
      </c>
      <c r="K414" s="187">
        <v>34</v>
      </c>
      <c r="L414" s="187">
        <v>28</v>
      </c>
      <c r="M414" s="187">
        <v>1.7</v>
      </c>
      <c r="N414" s="187">
        <v>493</v>
      </c>
      <c r="O414" s="187">
        <v>723</v>
      </c>
      <c r="P414" s="188">
        <v>0.5</v>
      </c>
      <c r="Q414" s="186">
        <v>986</v>
      </c>
      <c r="R414" s="186">
        <v>1446</v>
      </c>
      <c r="S414" s="184" t="s">
        <v>59</v>
      </c>
    </row>
    <row r="415" spans="1:19">
      <c r="A415" s="111">
        <v>414</v>
      </c>
      <c r="B415" s="124">
        <v>44924</v>
      </c>
      <c r="C415" s="113">
        <f t="shared" si="2"/>
        <v>2022</v>
      </c>
      <c r="D415" s="114">
        <f t="shared" si="3"/>
        <v>12</v>
      </c>
      <c r="E415" s="114" t="s">
        <v>12</v>
      </c>
      <c r="F415" s="114" t="s">
        <v>234</v>
      </c>
      <c r="G415" s="115" t="s">
        <v>235</v>
      </c>
      <c r="H415" s="114" t="s">
        <v>236</v>
      </c>
      <c r="I415" s="114" t="s">
        <v>184</v>
      </c>
      <c r="J415" s="186">
        <v>4</v>
      </c>
      <c r="K415" s="187">
        <v>31</v>
      </c>
      <c r="L415" s="187">
        <v>20</v>
      </c>
      <c r="M415" s="187">
        <v>1.7</v>
      </c>
      <c r="N415" s="187">
        <v>710</v>
      </c>
      <c r="O415" s="187">
        <v>1056</v>
      </c>
      <c r="P415" s="188">
        <v>0.5</v>
      </c>
      <c r="Q415" s="186">
        <v>2840</v>
      </c>
      <c r="R415" s="186">
        <v>4224</v>
      </c>
      <c r="S415" s="184" t="s">
        <v>59</v>
      </c>
    </row>
    <row r="416" spans="1:19">
      <c r="A416" s="111">
        <v>415</v>
      </c>
      <c r="B416" s="124">
        <v>44925</v>
      </c>
      <c r="C416" s="113">
        <f t="shared" si="2"/>
        <v>2022</v>
      </c>
      <c r="D416" s="114">
        <f t="shared" si="3"/>
        <v>12</v>
      </c>
      <c r="E416" s="114" t="s">
        <v>12</v>
      </c>
      <c r="F416" s="114" t="s">
        <v>237</v>
      </c>
      <c r="G416" s="115" t="s">
        <v>199</v>
      </c>
      <c r="H416" s="114" t="s">
        <v>199</v>
      </c>
      <c r="I416" s="114" t="s">
        <v>200</v>
      </c>
      <c r="J416" s="119">
        <v>0</v>
      </c>
      <c r="K416" s="117">
        <v>0</v>
      </c>
      <c r="L416" s="117">
        <v>0</v>
      </c>
      <c r="M416" s="117">
        <v>0</v>
      </c>
      <c r="N416" s="117">
        <v>0</v>
      </c>
      <c r="O416" s="117">
        <v>0</v>
      </c>
      <c r="P416" s="118">
        <v>0</v>
      </c>
      <c r="Q416" s="119">
        <v>0</v>
      </c>
      <c r="R416" s="119">
        <v>0</v>
      </c>
      <c r="S416" s="184" t="s">
        <v>59</v>
      </c>
    </row>
    <row r="417" spans="1:19">
      <c r="A417" s="111">
        <v>416</v>
      </c>
      <c r="B417" s="124">
        <v>44926</v>
      </c>
      <c r="C417" s="113">
        <f t="shared" si="2"/>
        <v>2022</v>
      </c>
      <c r="D417" s="114">
        <f t="shared" si="3"/>
        <v>12</v>
      </c>
      <c r="E417" s="114" t="s">
        <v>26</v>
      </c>
      <c r="F417" s="114" t="s">
        <v>238</v>
      </c>
      <c r="G417" s="115" t="s">
        <v>175</v>
      </c>
      <c r="H417" s="114" t="s">
        <v>176</v>
      </c>
      <c r="I417" s="114" t="s">
        <v>173</v>
      </c>
      <c r="J417" s="119">
        <v>0</v>
      </c>
      <c r="K417" s="117">
        <v>0</v>
      </c>
      <c r="L417" s="117">
        <v>0</v>
      </c>
      <c r="M417" s="117">
        <v>0</v>
      </c>
      <c r="N417" s="117">
        <v>0</v>
      </c>
      <c r="O417" s="117">
        <v>0</v>
      </c>
      <c r="P417" s="118">
        <v>0</v>
      </c>
      <c r="Q417" s="119">
        <v>0</v>
      </c>
      <c r="R417" s="119">
        <v>0</v>
      </c>
      <c r="S417" s="184" t="s">
        <v>59</v>
      </c>
    </row>
    <row r="418" spans="1:19">
      <c r="A418" s="111">
        <v>417</v>
      </c>
      <c r="B418" s="124">
        <v>44896</v>
      </c>
      <c r="C418" s="113">
        <f t="shared" si="2"/>
        <v>2022</v>
      </c>
      <c r="D418" s="114">
        <f t="shared" si="3"/>
        <v>12</v>
      </c>
      <c r="E418" s="114" t="s">
        <v>19</v>
      </c>
      <c r="F418" s="114" t="s">
        <v>178</v>
      </c>
      <c r="G418" s="115" t="s">
        <v>179</v>
      </c>
      <c r="H418" s="114" t="s">
        <v>180</v>
      </c>
      <c r="I418" s="114" t="s">
        <v>173</v>
      </c>
      <c r="J418" s="186">
        <v>3</v>
      </c>
      <c r="K418" s="187">
        <v>63</v>
      </c>
      <c r="L418" s="187">
        <v>36</v>
      </c>
      <c r="M418" s="187">
        <v>2</v>
      </c>
      <c r="N418" s="187">
        <v>828</v>
      </c>
      <c r="O418" s="187">
        <v>1228</v>
      </c>
      <c r="P418" s="188">
        <v>1</v>
      </c>
      <c r="Q418" s="186">
        <v>2484</v>
      </c>
      <c r="R418" s="186">
        <v>3684</v>
      </c>
      <c r="S418" s="184" t="s">
        <v>59</v>
      </c>
    </row>
    <row r="419" spans="1:19">
      <c r="A419" s="111">
        <v>418</v>
      </c>
      <c r="B419" s="124">
        <v>44897</v>
      </c>
      <c r="C419" s="113">
        <f t="shared" si="2"/>
        <v>2022</v>
      </c>
      <c r="D419" s="114">
        <f t="shared" si="3"/>
        <v>12</v>
      </c>
      <c r="E419" s="114" t="s">
        <v>7</v>
      </c>
      <c r="F419" s="114" t="s">
        <v>239</v>
      </c>
      <c r="G419" s="115" t="s">
        <v>240</v>
      </c>
      <c r="H419" s="114" t="s">
        <v>241</v>
      </c>
      <c r="I419" s="114" t="s">
        <v>184</v>
      </c>
      <c r="J419" s="186">
        <v>5</v>
      </c>
      <c r="K419" s="187">
        <v>66</v>
      </c>
      <c r="L419" s="187">
        <v>34</v>
      </c>
      <c r="M419" s="187">
        <v>2.2999999999999998</v>
      </c>
      <c r="N419" s="187">
        <v>862</v>
      </c>
      <c r="O419" s="187">
        <v>1387</v>
      </c>
      <c r="P419" s="188">
        <v>0</v>
      </c>
      <c r="Q419" s="186">
        <v>4309</v>
      </c>
      <c r="R419" s="186">
        <v>6936</v>
      </c>
      <c r="S419" s="184" t="s">
        <v>59</v>
      </c>
    </row>
    <row r="420" spans="1:19">
      <c r="A420" s="111">
        <v>419</v>
      </c>
      <c r="B420" s="124">
        <v>44898</v>
      </c>
      <c r="C420" s="113">
        <f t="shared" si="2"/>
        <v>2022</v>
      </c>
      <c r="D420" s="114">
        <f t="shared" si="3"/>
        <v>12</v>
      </c>
      <c r="E420" s="114" t="s">
        <v>7</v>
      </c>
      <c r="F420" s="114" t="s">
        <v>220</v>
      </c>
      <c r="G420" s="115" t="s">
        <v>221</v>
      </c>
      <c r="H420" s="114" t="s">
        <v>222</v>
      </c>
      <c r="I420" s="114" t="s">
        <v>184</v>
      </c>
      <c r="J420" s="186">
        <v>2</v>
      </c>
      <c r="K420" s="187">
        <v>42</v>
      </c>
      <c r="L420" s="187">
        <v>22</v>
      </c>
      <c r="M420" s="187">
        <v>2.1</v>
      </c>
      <c r="N420" s="187">
        <v>789</v>
      </c>
      <c r="O420" s="187">
        <v>1130</v>
      </c>
      <c r="P420" s="188">
        <v>0</v>
      </c>
      <c r="Q420" s="186">
        <v>1577</v>
      </c>
      <c r="R420" s="186">
        <v>2260</v>
      </c>
      <c r="S420" s="184" t="s">
        <v>59</v>
      </c>
    </row>
    <row r="421" spans="1:19">
      <c r="A421" s="111">
        <v>420</v>
      </c>
      <c r="B421" s="124">
        <v>44899</v>
      </c>
      <c r="C421" s="113">
        <f t="shared" si="2"/>
        <v>2022</v>
      </c>
      <c r="D421" s="114">
        <f t="shared" si="3"/>
        <v>12</v>
      </c>
      <c r="E421" s="114" t="s">
        <v>7</v>
      </c>
      <c r="F421" s="114" t="s">
        <v>242</v>
      </c>
      <c r="G421" s="115" t="s">
        <v>243</v>
      </c>
      <c r="H421" s="114" t="s">
        <v>244</v>
      </c>
      <c r="I421" s="114" t="s">
        <v>184</v>
      </c>
      <c r="J421" s="186">
        <v>5</v>
      </c>
      <c r="K421" s="187">
        <v>56</v>
      </c>
      <c r="L421" s="187">
        <v>29</v>
      </c>
      <c r="M421" s="187">
        <v>2.2000000000000002</v>
      </c>
      <c r="N421" s="187">
        <v>1094</v>
      </c>
      <c r="O421" s="187">
        <v>1893</v>
      </c>
      <c r="P421" s="188">
        <v>0.4</v>
      </c>
      <c r="Q421" s="186">
        <v>5472</v>
      </c>
      <c r="R421" s="186">
        <v>9467</v>
      </c>
      <c r="S421" s="184" t="s">
        <v>59</v>
      </c>
    </row>
    <row r="422" spans="1:19">
      <c r="A422" s="111">
        <v>421</v>
      </c>
      <c r="B422" s="121">
        <v>44927</v>
      </c>
      <c r="C422" s="113">
        <f t="shared" si="2"/>
        <v>2023</v>
      </c>
      <c r="D422" s="114">
        <f t="shared" si="3"/>
        <v>1</v>
      </c>
      <c r="E422" s="114" t="s">
        <v>79</v>
      </c>
      <c r="F422" s="114" t="s">
        <v>170</v>
      </c>
      <c r="G422" s="115" t="s">
        <v>171</v>
      </c>
      <c r="H422" s="114" t="s">
        <v>172</v>
      </c>
      <c r="I422" s="114" t="s">
        <v>173</v>
      </c>
      <c r="J422" s="186">
        <v>2</v>
      </c>
      <c r="K422" s="187">
        <v>29</v>
      </c>
      <c r="L422" s="187">
        <v>32</v>
      </c>
      <c r="M422" s="187">
        <v>1.3</v>
      </c>
      <c r="N422" s="187">
        <v>219</v>
      </c>
      <c r="O422" s="187">
        <v>310</v>
      </c>
      <c r="P422" s="188">
        <v>0.5</v>
      </c>
      <c r="Q422" s="186">
        <v>438</v>
      </c>
      <c r="R422" s="186">
        <v>620</v>
      </c>
      <c r="S422" s="184" t="s">
        <v>59</v>
      </c>
    </row>
    <row r="423" spans="1:19">
      <c r="A423" s="111">
        <v>422</v>
      </c>
      <c r="B423" s="121">
        <v>44928</v>
      </c>
      <c r="C423" s="113">
        <f t="shared" si="2"/>
        <v>2023</v>
      </c>
      <c r="D423" s="114">
        <f t="shared" si="3"/>
        <v>1</v>
      </c>
      <c r="E423" s="114" t="s">
        <v>79</v>
      </c>
      <c r="F423" s="114" t="s">
        <v>174</v>
      </c>
      <c r="G423" s="115" t="s">
        <v>175</v>
      </c>
      <c r="H423" s="114" t="s">
        <v>176</v>
      </c>
      <c r="I423" s="114" t="s">
        <v>173</v>
      </c>
      <c r="J423" s="119">
        <v>0</v>
      </c>
      <c r="K423" s="117">
        <v>0</v>
      </c>
      <c r="L423" s="117">
        <v>0</v>
      </c>
      <c r="M423" s="117">
        <v>0</v>
      </c>
      <c r="N423" s="117">
        <v>0</v>
      </c>
      <c r="O423" s="117">
        <v>0</v>
      </c>
      <c r="P423" s="118">
        <v>0</v>
      </c>
      <c r="Q423" s="119">
        <v>0</v>
      </c>
      <c r="R423" s="119">
        <v>0</v>
      </c>
      <c r="S423" s="184" t="s">
        <v>59</v>
      </c>
    </row>
    <row r="424" spans="1:19">
      <c r="A424" s="111">
        <v>423</v>
      </c>
      <c r="B424" s="121">
        <v>44929</v>
      </c>
      <c r="C424" s="113">
        <f t="shared" si="2"/>
        <v>2023</v>
      </c>
      <c r="D424" s="114">
        <f t="shared" si="3"/>
        <v>1</v>
      </c>
      <c r="E424" s="114" t="s">
        <v>79</v>
      </c>
      <c r="F424" s="114" t="s">
        <v>177</v>
      </c>
      <c r="G424" s="115" t="s">
        <v>175</v>
      </c>
      <c r="H424" s="114" t="s">
        <v>176</v>
      </c>
      <c r="I424" s="114" t="s">
        <v>173</v>
      </c>
      <c r="J424" s="186">
        <v>4</v>
      </c>
      <c r="K424" s="187">
        <v>72</v>
      </c>
      <c r="L424" s="187">
        <v>34</v>
      </c>
      <c r="M424" s="187">
        <v>2.4</v>
      </c>
      <c r="N424" s="187">
        <v>1306</v>
      </c>
      <c r="O424" s="187">
        <v>1939</v>
      </c>
      <c r="P424" s="188">
        <v>1</v>
      </c>
      <c r="Q424" s="189">
        <v>5222</v>
      </c>
      <c r="R424" s="189">
        <v>7755</v>
      </c>
      <c r="S424" s="184" t="s">
        <v>59</v>
      </c>
    </row>
    <row r="425" spans="1:19">
      <c r="A425" s="111">
        <v>424</v>
      </c>
      <c r="B425" s="121">
        <v>44930</v>
      </c>
      <c r="C425" s="113">
        <f t="shared" si="2"/>
        <v>2023</v>
      </c>
      <c r="D425" s="114">
        <f t="shared" si="3"/>
        <v>1</v>
      </c>
      <c r="E425" s="114" t="s">
        <v>20</v>
      </c>
      <c r="F425" s="114" t="s">
        <v>178</v>
      </c>
      <c r="G425" s="115" t="s">
        <v>179</v>
      </c>
      <c r="H425" s="114" t="s">
        <v>180</v>
      </c>
      <c r="I425" s="114" t="s">
        <v>173</v>
      </c>
      <c r="J425" s="119">
        <v>0</v>
      </c>
      <c r="K425" s="117">
        <v>0</v>
      </c>
      <c r="L425" s="117">
        <v>0</v>
      </c>
      <c r="M425" s="117">
        <v>0</v>
      </c>
      <c r="N425" s="117">
        <v>0</v>
      </c>
      <c r="O425" s="117">
        <v>0</v>
      </c>
      <c r="P425" s="118">
        <v>0</v>
      </c>
      <c r="Q425" s="119">
        <v>0</v>
      </c>
      <c r="R425" s="119">
        <v>0</v>
      </c>
      <c r="S425" s="184" t="s">
        <v>59</v>
      </c>
    </row>
    <row r="426" spans="1:19">
      <c r="A426" s="111">
        <v>425</v>
      </c>
      <c r="B426" s="121">
        <v>44931</v>
      </c>
      <c r="C426" s="113">
        <f t="shared" si="2"/>
        <v>2023</v>
      </c>
      <c r="D426" s="114">
        <f t="shared" si="3"/>
        <v>1</v>
      </c>
      <c r="E426" s="114" t="s">
        <v>8</v>
      </c>
      <c r="F426" s="114" t="s">
        <v>181</v>
      </c>
      <c r="G426" s="115" t="s">
        <v>182</v>
      </c>
      <c r="H426" s="114" t="s">
        <v>183</v>
      </c>
      <c r="I426" s="114" t="s">
        <v>184</v>
      </c>
      <c r="J426" s="119">
        <v>0</v>
      </c>
      <c r="K426" s="117">
        <v>0</v>
      </c>
      <c r="L426" s="117">
        <v>0</v>
      </c>
      <c r="M426" s="117">
        <v>0</v>
      </c>
      <c r="N426" s="117">
        <v>0</v>
      </c>
      <c r="O426" s="117">
        <v>0</v>
      </c>
      <c r="P426" s="118">
        <v>0</v>
      </c>
      <c r="Q426" s="119">
        <v>0</v>
      </c>
      <c r="R426" s="119">
        <v>0</v>
      </c>
      <c r="S426" s="184" t="s">
        <v>59</v>
      </c>
    </row>
    <row r="427" spans="1:19">
      <c r="A427" s="111">
        <v>426</v>
      </c>
      <c r="B427" s="121">
        <v>44932</v>
      </c>
      <c r="C427" s="113">
        <f t="shared" si="2"/>
        <v>2023</v>
      </c>
      <c r="D427" s="114">
        <f t="shared" si="3"/>
        <v>1</v>
      </c>
      <c r="E427" s="114" t="s">
        <v>8</v>
      </c>
      <c r="F427" s="114" t="s">
        <v>185</v>
      </c>
      <c r="G427" s="115" t="s">
        <v>186</v>
      </c>
      <c r="H427" s="114" t="s">
        <v>187</v>
      </c>
      <c r="I427" s="114" t="s">
        <v>184</v>
      </c>
      <c r="J427" s="119">
        <v>0</v>
      </c>
      <c r="K427" s="117">
        <v>0</v>
      </c>
      <c r="L427" s="117">
        <v>0</v>
      </c>
      <c r="M427" s="117">
        <v>0</v>
      </c>
      <c r="N427" s="117">
        <v>0</v>
      </c>
      <c r="O427" s="117">
        <v>0</v>
      </c>
      <c r="P427" s="118">
        <v>0</v>
      </c>
      <c r="Q427" s="119">
        <v>0</v>
      </c>
      <c r="R427" s="119">
        <v>0</v>
      </c>
      <c r="S427" s="184" t="s">
        <v>59</v>
      </c>
    </row>
    <row r="428" spans="1:19">
      <c r="A428" s="111">
        <v>427</v>
      </c>
      <c r="B428" s="121">
        <v>44933</v>
      </c>
      <c r="C428" s="113">
        <f t="shared" si="2"/>
        <v>2023</v>
      </c>
      <c r="D428" s="114">
        <f t="shared" si="3"/>
        <v>1</v>
      </c>
      <c r="E428" s="114" t="s">
        <v>8</v>
      </c>
      <c r="F428" s="114" t="s">
        <v>188</v>
      </c>
      <c r="G428" s="115" t="s">
        <v>189</v>
      </c>
      <c r="H428" s="114" t="s">
        <v>190</v>
      </c>
      <c r="I428" s="114" t="s">
        <v>184</v>
      </c>
      <c r="J428" s="119">
        <v>0</v>
      </c>
      <c r="K428" s="117">
        <v>0</v>
      </c>
      <c r="L428" s="117">
        <v>0</v>
      </c>
      <c r="M428" s="117">
        <v>0</v>
      </c>
      <c r="N428" s="117">
        <v>0</v>
      </c>
      <c r="O428" s="117">
        <v>0</v>
      </c>
      <c r="P428" s="118">
        <v>0</v>
      </c>
      <c r="Q428" s="119">
        <v>0</v>
      </c>
      <c r="R428" s="119">
        <v>0</v>
      </c>
      <c r="S428" s="184" t="s">
        <v>59</v>
      </c>
    </row>
    <row r="429" spans="1:19">
      <c r="A429" s="111">
        <v>428</v>
      </c>
      <c r="B429" s="121">
        <v>44934</v>
      </c>
      <c r="C429" s="113">
        <f t="shared" si="2"/>
        <v>2023</v>
      </c>
      <c r="D429" s="114">
        <f t="shared" si="3"/>
        <v>1</v>
      </c>
      <c r="E429" s="114" t="s">
        <v>8</v>
      </c>
      <c r="F429" s="114" t="s">
        <v>191</v>
      </c>
      <c r="G429" s="115" t="s">
        <v>192</v>
      </c>
      <c r="H429" s="114" t="s">
        <v>193</v>
      </c>
      <c r="I429" s="114" t="s">
        <v>173</v>
      </c>
      <c r="J429" s="119">
        <v>0</v>
      </c>
      <c r="K429" s="117">
        <v>0</v>
      </c>
      <c r="L429" s="117">
        <v>0</v>
      </c>
      <c r="M429" s="117">
        <v>0</v>
      </c>
      <c r="N429" s="117">
        <v>0</v>
      </c>
      <c r="O429" s="117">
        <v>0</v>
      </c>
      <c r="P429" s="118">
        <v>0</v>
      </c>
      <c r="Q429" s="119">
        <v>0</v>
      </c>
      <c r="R429" s="119">
        <v>0</v>
      </c>
      <c r="S429" s="184" t="s">
        <v>59</v>
      </c>
    </row>
    <row r="430" spans="1:19">
      <c r="A430" s="111">
        <v>429</v>
      </c>
      <c r="B430" s="121">
        <v>44935</v>
      </c>
      <c r="C430" s="113">
        <f t="shared" si="2"/>
        <v>2023</v>
      </c>
      <c r="D430" s="114">
        <f t="shared" si="3"/>
        <v>1</v>
      </c>
      <c r="E430" s="114" t="s">
        <v>8</v>
      </c>
      <c r="F430" s="114" t="s">
        <v>245</v>
      </c>
      <c r="G430" s="115" t="s">
        <v>246</v>
      </c>
      <c r="H430" s="114" t="s">
        <v>247</v>
      </c>
      <c r="I430" s="114" t="s">
        <v>184</v>
      </c>
      <c r="J430" s="119">
        <v>0</v>
      </c>
      <c r="K430" s="117">
        <v>0</v>
      </c>
      <c r="L430" s="117">
        <v>0</v>
      </c>
      <c r="M430" s="117">
        <v>0</v>
      </c>
      <c r="N430" s="117">
        <v>0</v>
      </c>
      <c r="O430" s="117">
        <v>0</v>
      </c>
      <c r="P430" s="118">
        <v>0</v>
      </c>
      <c r="Q430" s="119">
        <v>0</v>
      </c>
      <c r="R430" s="119">
        <v>0</v>
      </c>
      <c r="S430" s="184" t="s">
        <v>59</v>
      </c>
    </row>
    <row r="431" spans="1:19">
      <c r="A431" s="111">
        <v>430</v>
      </c>
      <c r="B431" s="121">
        <v>44936</v>
      </c>
      <c r="C431" s="113">
        <f t="shared" si="2"/>
        <v>2023</v>
      </c>
      <c r="D431" s="114">
        <f t="shared" si="3"/>
        <v>1</v>
      </c>
      <c r="E431" s="114" t="s">
        <v>88</v>
      </c>
      <c r="F431" s="114" t="s">
        <v>195</v>
      </c>
      <c r="G431" s="115" t="s">
        <v>196</v>
      </c>
      <c r="H431" s="114" t="s">
        <v>197</v>
      </c>
      <c r="I431" s="114" t="s">
        <v>184</v>
      </c>
      <c r="J431" s="186">
        <v>2</v>
      </c>
      <c r="K431" s="187">
        <v>47</v>
      </c>
      <c r="L431" s="187">
        <v>32</v>
      </c>
      <c r="M431" s="187">
        <v>1.8</v>
      </c>
      <c r="N431" s="187">
        <v>452</v>
      </c>
      <c r="O431" s="187">
        <v>649</v>
      </c>
      <c r="P431" s="188">
        <v>0</v>
      </c>
      <c r="Q431" s="186">
        <v>904</v>
      </c>
      <c r="R431" s="189">
        <v>1298</v>
      </c>
      <c r="S431" s="184" t="s">
        <v>59</v>
      </c>
    </row>
    <row r="432" spans="1:19">
      <c r="A432" s="111">
        <v>431</v>
      </c>
      <c r="B432" s="121">
        <v>44937</v>
      </c>
      <c r="C432" s="113">
        <f t="shared" si="2"/>
        <v>2023</v>
      </c>
      <c r="D432" s="114">
        <f t="shared" si="3"/>
        <v>1</v>
      </c>
      <c r="E432" s="114" t="s">
        <v>104</v>
      </c>
      <c r="F432" s="114" t="s">
        <v>198</v>
      </c>
      <c r="G432" s="115" t="s">
        <v>199</v>
      </c>
      <c r="H432" s="114" t="s">
        <v>199</v>
      </c>
      <c r="I432" s="114" t="s">
        <v>200</v>
      </c>
      <c r="J432" s="119">
        <v>0</v>
      </c>
      <c r="K432" s="117">
        <v>0</v>
      </c>
      <c r="L432" s="117">
        <v>0</v>
      </c>
      <c r="M432" s="117">
        <v>0</v>
      </c>
      <c r="N432" s="117">
        <v>0</v>
      </c>
      <c r="O432" s="117">
        <v>0</v>
      </c>
      <c r="P432" s="118">
        <v>0</v>
      </c>
      <c r="Q432" s="119">
        <v>0</v>
      </c>
      <c r="R432" s="119">
        <v>0</v>
      </c>
      <c r="S432" s="184" t="s">
        <v>59</v>
      </c>
    </row>
    <row r="433" spans="1:19">
      <c r="A433" s="111">
        <v>432</v>
      </c>
      <c r="B433" s="121">
        <v>44938</v>
      </c>
      <c r="C433" s="113">
        <f t="shared" si="2"/>
        <v>2023</v>
      </c>
      <c r="D433" s="114">
        <f t="shared" si="3"/>
        <v>1</v>
      </c>
      <c r="E433" s="114" t="s">
        <v>201</v>
      </c>
      <c r="F433" s="114" t="s">
        <v>248</v>
      </c>
      <c r="G433" s="115" t="s">
        <v>199</v>
      </c>
      <c r="H433" s="114" t="s">
        <v>199</v>
      </c>
      <c r="I433" s="114" t="s">
        <v>200</v>
      </c>
      <c r="J433" s="119">
        <v>0</v>
      </c>
      <c r="K433" s="117">
        <v>0</v>
      </c>
      <c r="L433" s="117">
        <v>0</v>
      </c>
      <c r="M433" s="117">
        <v>0</v>
      </c>
      <c r="N433" s="117">
        <v>0</v>
      </c>
      <c r="O433" s="117">
        <v>0</v>
      </c>
      <c r="P433" s="118">
        <v>0</v>
      </c>
      <c r="Q433" s="119">
        <v>0</v>
      </c>
      <c r="R433" s="119">
        <v>0</v>
      </c>
      <c r="S433" s="184" t="s">
        <v>59</v>
      </c>
    </row>
    <row r="434" spans="1:19">
      <c r="A434" s="111">
        <v>433</v>
      </c>
      <c r="B434" s="121">
        <v>44939</v>
      </c>
      <c r="C434" s="113">
        <f t="shared" si="2"/>
        <v>2023</v>
      </c>
      <c r="D434" s="114">
        <f t="shared" si="3"/>
        <v>1</v>
      </c>
      <c r="E434" s="114" t="s">
        <v>30</v>
      </c>
      <c r="F434" s="114" t="s">
        <v>205</v>
      </c>
      <c r="G434" s="115" t="s">
        <v>206</v>
      </c>
      <c r="H434" s="114" t="s">
        <v>207</v>
      </c>
      <c r="I434" s="114" t="s">
        <v>184</v>
      </c>
      <c r="J434" s="119">
        <v>0</v>
      </c>
      <c r="K434" s="117">
        <v>0</v>
      </c>
      <c r="L434" s="117">
        <v>0</v>
      </c>
      <c r="M434" s="117">
        <v>0</v>
      </c>
      <c r="N434" s="117">
        <v>0</v>
      </c>
      <c r="O434" s="117">
        <v>0</v>
      </c>
      <c r="P434" s="118">
        <v>0</v>
      </c>
      <c r="Q434" s="119">
        <v>0</v>
      </c>
      <c r="R434" s="119">
        <v>0</v>
      </c>
      <c r="S434" s="184" t="s">
        <v>59</v>
      </c>
    </row>
    <row r="435" spans="1:19">
      <c r="A435" s="111">
        <v>434</v>
      </c>
      <c r="B435" s="121">
        <v>44940</v>
      </c>
      <c r="C435" s="113">
        <f t="shared" si="2"/>
        <v>2023</v>
      </c>
      <c r="D435" s="114">
        <f t="shared" si="3"/>
        <v>1</v>
      </c>
      <c r="E435" s="114" t="s">
        <v>10</v>
      </c>
      <c r="F435" s="114" t="s">
        <v>208</v>
      </c>
      <c r="G435" s="115" t="s">
        <v>209</v>
      </c>
      <c r="H435" s="114" t="s">
        <v>210</v>
      </c>
      <c r="I435" s="114" t="s">
        <v>173</v>
      </c>
      <c r="J435" s="186">
        <v>5</v>
      </c>
      <c r="K435" s="187">
        <v>49</v>
      </c>
      <c r="L435" s="187">
        <v>30</v>
      </c>
      <c r="M435" s="187">
        <v>2</v>
      </c>
      <c r="N435" s="187">
        <v>1028</v>
      </c>
      <c r="O435" s="187">
        <v>1505</v>
      </c>
      <c r="P435" s="188">
        <v>0</v>
      </c>
      <c r="Q435" s="189">
        <v>5141</v>
      </c>
      <c r="R435" s="189">
        <v>7524</v>
      </c>
      <c r="S435" s="184" t="s">
        <v>59</v>
      </c>
    </row>
    <row r="436" spans="1:19">
      <c r="A436" s="111">
        <v>435</v>
      </c>
      <c r="B436" s="121">
        <v>44941</v>
      </c>
      <c r="C436" s="113">
        <f t="shared" si="2"/>
        <v>2023</v>
      </c>
      <c r="D436" s="114">
        <f t="shared" si="3"/>
        <v>1</v>
      </c>
      <c r="E436" s="114" t="s">
        <v>10</v>
      </c>
      <c r="F436" s="114" t="s">
        <v>211</v>
      </c>
      <c r="G436" s="115" t="s">
        <v>212</v>
      </c>
      <c r="H436" s="114" t="s">
        <v>213</v>
      </c>
      <c r="I436" s="114" t="s">
        <v>173</v>
      </c>
      <c r="J436" s="119">
        <v>0</v>
      </c>
      <c r="K436" s="117">
        <v>0</v>
      </c>
      <c r="L436" s="117">
        <v>0</v>
      </c>
      <c r="M436" s="117">
        <v>0</v>
      </c>
      <c r="N436" s="117">
        <v>0</v>
      </c>
      <c r="O436" s="117">
        <v>0</v>
      </c>
      <c r="P436" s="118">
        <v>0</v>
      </c>
      <c r="Q436" s="119">
        <v>0</v>
      </c>
      <c r="R436" s="119">
        <v>0</v>
      </c>
      <c r="S436" s="184" t="s">
        <v>59</v>
      </c>
    </row>
    <row r="437" spans="1:19">
      <c r="A437" s="111">
        <v>436</v>
      </c>
      <c r="B437" s="121">
        <v>44942</v>
      </c>
      <c r="C437" s="113">
        <f t="shared" si="2"/>
        <v>2023</v>
      </c>
      <c r="D437" s="114">
        <f t="shared" si="3"/>
        <v>1</v>
      </c>
      <c r="E437" s="114" t="s">
        <v>10</v>
      </c>
      <c r="F437" s="114" t="s">
        <v>214</v>
      </c>
      <c r="G437" s="115" t="s">
        <v>215</v>
      </c>
      <c r="H437" s="114" t="s">
        <v>216</v>
      </c>
      <c r="I437" s="114" t="s">
        <v>184</v>
      </c>
      <c r="J437" s="186">
        <v>4</v>
      </c>
      <c r="K437" s="187">
        <v>54</v>
      </c>
      <c r="L437" s="187">
        <v>29</v>
      </c>
      <c r="M437" s="187">
        <v>2.1</v>
      </c>
      <c r="N437" s="187">
        <v>625</v>
      </c>
      <c r="O437" s="187">
        <v>880</v>
      </c>
      <c r="P437" s="188">
        <v>0.25</v>
      </c>
      <c r="Q437" s="189">
        <v>2498</v>
      </c>
      <c r="R437" s="189">
        <v>3518</v>
      </c>
      <c r="S437" s="184" t="s">
        <v>59</v>
      </c>
    </row>
    <row r="438" spans="1:19">
      <c r="A438" s="111">
        <v>437</v>
      </c>
      <c r="B438" s="121">
        <v>44943</v>
      </c>
      <c r="C438" s="113">
        <f t="shared" si="2"/>
        <v>2023</v>
      </c>
      <c r="D438" s="114">
        <f t="shared" si="3"/>
        <v>1</v>
      </c>
      <c r="E438" s="114" t="s">
        <v>9</v>
      </c>
      <c r="F438" s="114" t="s">
        <v>217</v>
      </c>
      <c r="G438" s="115" t="s">
        <v>218</v>
      </c>
      <c r="H438" s="114" t="s">
        <v>219</v>
      </c>
      <c r="I438" s="114" t="s">
        <v>184</v>
      </c>
      <c r="J438" s="186">
        <v>3</v>
      </c>
      <c r="K438" s="187">
        <v>74</v>
      </c>
      <c r="L438" s="187">
        <v>29</v>
      </c>
      <c r="M438" s="187">
        <v>2.7</v>
      </c>
      <c r="N438" s="187">
        <v>1897</v>
      </c>
      <c r="O438" s="187">
        <v>3045</v>
      </c>
      <c r="P438" s="188">
        <v>0</v>
      </c>
      <c r="Q438" s="189">
        <v>5691</v>
      </c>
      <c r="R438" s="189">
        <v>9135</v>
      </c>
      <c r="S438" s="184" t="s">
        <v>59</v>
      </c>
    </row>
    <row r="439" spans="1:19">
      <c r="A439" s="111">
        <v>438</v>
      </c>
      <c r="B439" s="121">
        <v>44944</v>
      </c>
      <c r="C439" s="113">
        <f t="shared" si="2"/>
        <v>2023</v>
      </c>
      <c r="D439" s="114">
        <f t="shared" si="3"/>
        <v>1</v>
      </c>
      <c r="E439" s="114" t="s">
        <v>11</v>
      </c>
      <c r="F439" s="114" t="s">
        <v>220</v>
      </c>
      <c r="G439" s="115" t="s">
        <v>221</v>
      </c>
      <c r="H439" s="114" t="s">
        <v>222</v>
      </c>
      <c r="I439" s="114" t="s">
        <v>184</v>
      </c>
      <c r="J439" s="186">
        <v>1</v>
      </c>
      <c r="K439" s="187">
        <v>40</v>
      </c>
      <c r="L439" s="187">
        <v>21</v>
      </c>
      <c r="M439" s="187">
        <v>2.1</v>
      </c>
      <c r="N439" s="187">
        <v>640</v>
      </c>
      <c r="O439" s="187">
        <v>908</v>
      </c>
      <c r="P439" s="188">
        <v>0</v>
      </c>
      <c r="Q439" s="186">
        <v>640</v>
      </c>
      <c r="R439" s="186">
        <v>908</v>
      </c>
      <c r="S439" s="184" t="s">
        <v>59</v>
      </c>
    </row>
    <row r="440" spans="1:19">
      <c r="A440" s="111">
        <v>439</v>
      </c>
      <c r="B440" s="121">
        <v>44945</v>
      </c>
      <c r="C440" s="113">
        <f t="shared" si="2"/>
        <v>2023</v>
      </c>
      <c r="D440" s="114">
        <f t="shared" si="3"/>
        <v>1</v>
      </c>
      <c r="E440" s="114" t="s">
        <v>11</v>
      </c>
      <c r="F440" s="114" t="s">
        <v>249</v>
      </c>
      <c r="G440" s="115" t="s">
        <v>250</v>
      </c>
      <c r="H440" s="114" t="s">
        <v>251</v>
      </c>
      <c r="I440" s="114" t="s">
        <v>184</v>
      </c>
      <c r="J440" s="119">
        <v>0</v>
      </c>
      <c r="K440" s="117">
        <v>0</v>
      </c>
      <c r="L440" s="117">
        <v>0</v>
      </c>
      <c r="M440" s="117">
        <v>0</v>
      </c>
      <c r="N440" s="117">
        <v>0</v>
      </c>
      <c r="O440" s="117">
        <v>0</v>
      </c>
      <c r="P440" s="118">
        <v>0</v>
      </c>
      <c r="Q440" s="119">
        <v>0</v>
      </c>
      <c r="R440" s="119">
        <v>0</v>
      </c>
      <c r="S440" s="184" t="s">
        <v>59</v>
      </c>
    </row>
    <row r="441" spans="1:19">
      <c r="A441" s="111">
        <v>440</v>
      </c>
      <c r="B441" s="121">
        <v>44946</v>
      </c>
      <c r="C441" s="113">
        <f t="shared" si="2"/>
        <v>2023</v>
      </c>
      <c r="D441" s="114">
        <f t="shared" si="3"/>
        <v>1</v>
      </c>
      <c r="E441" s="114" t="s">
        <v>91</v>
      </c>
      <c r="F441" s="114" t="s">
        <v>178</v>
      </c>
      <c r="G441" s="115" t="s">
        <v>179</v>
      </c>
      <c r="H441" s="114" t="s">
        <v>180</v>
      </c>
      <c r="I441" s="114" t="s">
        <v>173</v>
      </c>
      <c r="J441" s="186">
        <v>1</v>
      </c>
      <c r="K441" s="187">
        <v>71</v>
      </c>
      <c r="L441" s="187">
        <v>35</v>
      </c>
      <c r="M441" s="187">
        <v>2.5</v>
      </c>
      <c r="N441" s="187">
        <v>688</v>
      </c>
      <c r="O441" s="187">
        <v>973</v>
      </c>
      <c r="P441" s="188">
        <v>1</v>
      </c>
      <c r="Q441" s="186">
        <v>688</v>
      </c>
      <c r="R441" s="186">
        <v>973</v>
      </c>
      <c r="S441" s="184" t="s">
        <v>59</v>
      </c>
    </row>
    <row r="442" spans="1:19">
      <c r="A442" s="111">
        <v>441</v>
      </c>
      <c r="B442" s="121">
        <v>44947</v>
      </c>
      <c r="C442" s="113">
        <f t="shared" si="2"/>
        <v>2023</v>
      </c>
      <c r="D442" s="114">
        <f t="shared" si="3"/>
        <v>1</v>
      </c>
      <c r="E442" s="114" t="s">
        <v>23</v>
      </c>
      <c r="F442" s="114" t="s">
        <v>223</v>
      </c>
      <c r="G442" s="115" t="s">
        <v>175</v>
      </c>
      <c r="H442" s="114" t="s">
        <v>176</v>
      </c>
      <c r="I442" s="114" t="s">
        <v>173</v>
      </c>
      <c r="J442" s="186">
        <v>5</v>
      </c>
      <c r="K442" s="187">
        <v>52</v>
      </c>
      <c r="L442" s="187">
        <v>30</v>
      </c>
      <c r="M442" s="187">
        <v>1.9</v>
      </c>
      <c r="N442" s="187">
        <v>777</v>
      </c>
      <c r="O442" s="187">
        <v>1150</v>
      </c>
      <c r="P442" s="188">
        <v>1</v>
      </c>
      <c r="Q442" s="189">
        <v>3885</v>
      </c>
      <c r="R442" s="189">
        <v>5749</v>
      </c>
      <c r="S442" s="184" t="s">
        <v>59</v>
      </c>
    </row>
    <row r="443" spans="1:19">
      <c r="A443" s="111">
        <v>442</v>
      </c>
      <c r="B443" s="121">
        <v>44948</v>
      </c>
      <c r="C443" s="113">
        <f t="shared" si="2"/>
        <v>2023</v>
      </c>
      <c r="D443" s="114">
        <f t="shared" si="3"/>
        <v>1</v>
      </c>
      <c r="E443" s="114" t="s">
        <v>23</v>
      </c>
      <c r="F443" s="114" t="s">
        <v>224</v>
      </c>
      <c r="G443" s="115" t="s">
        <v>107</v>
      </c>
      <c r="H443" s="114" t="s">
        <v>107</v>
      </c>
      <c r="I443" s="114" t="s">
        <v>107</v>
      </c>
      <c r="J443" s="119">
        <v>0</v>
      </c>
      <c r="K443" s="117">
        <v>0</v>
      </c>
      <c r="L443" s="117">
        <v>0</v>
      </c>
      <c r="M443" s="117">
        <v>0</v>
      </c>
      <c r="N443" s="117">
        <v>0</v>
      </c>
      <c r="O443" s="117">
        <v>0</v>
      </c>
      <c r="P443" s="118">
        <v>0</v>
      </c>
      <c r="Q443" s="119">
        <v>0</v>
      </c>
      <c r="R443" s="119">
        <v>0</v>
      </c>
      <c r="S443" s="184" t="s">
        <v>59</v>
      </c>
    </row>
    <row r="444" spans="1:19">
      <c r="A444" s="111">
        <v>443</v>
      </c>
      <c r="B444" s="121">
        <v>44949</v>
      </c>
      <c r="C444" s="113">
        <f t="shared" si="2"/>
        <v>2023</v>
      </c>
      <c r="D444" s="114">
        <f t="shared" si="3"/>
        <v>1</v>
      </c>
      <c r="E444" s="114" t="s">
        <v>15</v>
      </c>
      <c r="F444" s="114" t="s">
        <v>225</v>
      </c>
      <c r="G444" s="115" t="s">
        <v>226</v>
      </c>
      <c r="H444" s="114" t="s">
        <v>227</v>
      </c>
      <c r="I444" s="114" t="s">
        <v>173</v>
      </c>
      <c r="J444" s="186">
        <v>4</v>
      </c>
      <c r="K444" s="187">
        <v>42</v>
      </c>
      <c r="L444" s="187">
        <v>25</v>
      </c>
      <c r="M444" s="187">
        <v>2</v>
      </c>
      <c r="N444" s="187">
        <v>671</v>
      </c>
      <c r="O444" s="187">
        <v>971</v>
      </c>
      <c r="P444" s="188">
        <v>0.75</v>
      </c>
      <c r="Q444" s="189">
        <v>2685</v>
      </c>
      <c r="R444" s="189">
        <v>3883</v>
      </c>
      <c r="S444" s="184" t="s">
        <v>59</v>
      </c>
    </row>
    <row r="445" spans="1:19">
      <c r="A445" s="111">
        <v>444</v>
      </c>
      <c r="B445" s="121">
        <v>44950</v>
      </c>
      <c r="C445" s="113">
        <f t="shared" si="2"/>
        <v>2023</v>
      </c>
      <c r="D445" s="114">
        <f t="shared" si="3"/>
        <v>1</v>
      </c>
      <c r="E445" s="114" t="s">
        <v>84</v>
      </c>
      <c r="F445" s="114" t="s">
        <v>228</v>
      </c>
      <c r="G445" s="115" t="s">
        <v>229</v>
      </c>
      <c r="H445" s="114" t="s">
        <v>230</v>
      </c>
      <c r="I445" s="114" t="s">
        <v>184</v>
      </c>
      <c r="J445" s="186">
        <v>5</v>
      </c>
      <c r="K445" s="187">
        <v>36</v>
      </c>
      <c r="L445" s="187">
        <v>26</v>
      </c>
      <c r="M445" s="187">
        <v>1.6</v>
      </c>
      <c r="N445" s="187">
        <v>384</v>
      </c>
      <c r="O445" s="187">
        <v>545</v>
      </c>
      <c r="P445" s="188">
        <v>0.6</v>
      </c>
      <c r="Q445" s="189">
        <v>1918</v>
      </c>
      <c r="R445" s="189">
        <v>2727</v>
      </c>
      <c r="S445" s="184" t="s">
        <v>59</v>
      </c>
    </row>
    <row r="446" spans="1:19">
      <c r="A446" s="111">
        <v>445</v>
      </c>
      <c r="B446" s="121">
        <v>44951</v>
      </c>
      <c r="C446" s="113">
        <f t="shared" si="2"/>
        <v>2023</v>
      </c>
      <c r="D446" s="114">
        <f t="shared" si="3"/>
        <v>1</v>
      </c>
      <c r="E446" s="114" t="s">
        <v>84</v>
      </c>
      <c r="F446" s="114" t="s">
        <v>231</v>
      </c>
      <c r="G446" s="115" t="s">
        <v>232</v>
      </c>
      <c r="H446" s="114" t="s">
        <v>233</v>
      </c>
      <c r="I446" s="114" t="s">
        <v>184</v>
      </c>
      <c r="J446" s="186">
        <v>3</v>
      </c>
      <c r="K446" s="187">
        <v>19</v>
      </c>
      <c r="L446" s="187">
        <v>23</v>
      </c>
      <c r="M446" s="187">
        <v>1.4</v>
      </c>
      <c r="N446" s="187">
        <v>81</v>
      </c>
      <c r="O446" s="187">
        <v>134</v>
      </c>
      <c r="P446" s="188">
        <v>0.33</v>
      </c>
      <c r="Q446" s="186">
        <v>243</v>
      </c>
      <c r="R446" s="186">
        <v>403</v>
      </c>
      <c r="S446" s="184" t="s">
        <v>59</v>
      </c>
    </row>
    <row r="447" spans="1:19">
      <c r="A447" s="111">
        <v>446</v>
      </c>
      <c r="B447" s="121">
        <v>44952</v>
      </c>
      <c r="C447" s="113">
        <f t="shared" si="2"/>
        <v>2023</v>
      </c>
      <c r="D447" s="114">
        <f t="shared" si="3"/>
        <v>1</v>
      </c>
      <c r="E447" s="114" t="s">
        <v>84</v>
      </c>
      <c r="F447" s="114" t="s">
        <v>249</v>
      </c>
      <c r="G447" s="125" t="s">
        <v>250</v>
      </c>
      <c r="H447" s="185" t="s">
        <v>251</v>
      </c>
      <c r="I447" s="185"/>
      <c r="J447" s="119">
        <v>0</v>
      </c>
      <c r="K447" s="117">
        <v>0</v>
      </c>
      <c r="L447" s="117">
        <v>0</v>
      </c>
      <c r="M447" s="117">
        <v>0</v>
      </c>
      <c r="N447" s="117">
        <v>0</v>
      </c>
      <c r="O447" s="117">
        <v>0</v>
      </c>
      <c r="P447" s="118">
        <v>0</v>
      </c>
      <c r="Q447" s="119">
        <v>0</v>
      </c>
      <c r="R447" s="119">
        <v>0</v>
      </c>
      <c r="S447" s="184" t="s">
        <v>59</v>
      </c>
    </row>
    <row r="448" spans="1:19">
      <c r="A448" s="111">
        <v>447</v>
      </c>
      <c r="B448" s="121">
        <v>44953</v>
      </c>
      <c r="C448" s="113">
        <f t="shared" si="2"/>
        <v>2023</v>
      </c>
      <c r="D448" s="114">
        <f t="shared" si="3"/>
        <v>1</v>
      </c>
      <c r="E448" s="114" t="s">
        <v>22</v>
      </c>
      <c r="F448" s="114" t="s">
        <v>174</v>
      </c>
      <c r="G448" s="115" t="s">
        <v>175</v>
      </c>
      <c r="H448" s="114" t="s">
        <v>176</v>
      </c>
      <c r="I448" s="114" t="s">
        <v>173</v>
      </c>
      <c r="J448" s="186">
        <v>5</v>
      </c>
      <c r="K448" s="187">
        <v>82</v>
      </c>
      <c r="L448" s="187">
        <v>37</v>
      </c>
      <c r="M448" s="187">
        <v>2.4</v>
      </c>
      <c r="N448" s="187">
        <v>1983</v>
      </c>
      <c r="O448" s="187">
        <v>2891</v>
      </c>
      <c r="P448" s="188">
        <v>0.6</v>
      </c>
      <c r="Q448" s="189">
        <v>9916</v>
      </c>
      <c r="R448" s="189">
        <v>14456</v>
      </c>
      <c r="S448" s="184" t="s">
        <v>59</v>
      </c>
    </row>
    <row r="449" spans="1:19">
      <c r="A449" s="111">
        <v>448</v>
      </c>
      <c r="B449" s="121">
        <v>44954</v>
      </c>
      <c r="C449" s="113">
        <f t="shared" si="2"/>
        <v>2023</v>
      </c>
      <c r="D449" s="114">
        <f t="shared" si="3"/>
        <v>1</v>
      </c>
      <c r="E449" s="114" t="s">
        <v>22</v>
      </c>
      <c r="F449" s="114" t="s">
        <v>177</v>
      </c>
      <c r="G449" s="115" t="s">
        <v>175</v>
      </c>
      <c r="H449" s="114" t="s">
        <v>176</v>
      </c>
      <c r="I449" s="114" t="s">
        <v>173</v>
      </c>
      <c r="J449" s="119">
        <v>0</v>
      </c>
      <c r="K449" s="117">
        <v>0</v>
      </c>
      <c r="L449" s="117">
        <v>0</v>
      </c>
      <c r="M449" s="117">
        <v>0</v>
      </c>
      <c r="N449" s="117">
        <v>0</v>
      </c>
      <c r="O449" s="117">
        <v>0</v>
      </c>
      <c r="P449" s="118">
        <v>0</v>
      </c>
      <c r="Q449" s="119">
        <v>0</v>
      </c>
      <c r="R449" s="119">
        <v>0</v>
      </c>
      <c r="S449" s="184" t="s">
        <v>59</v>
      </c>
    </row>
    <row r="450" spans="1:19">
      <c r="A450" s="111">
        <v>449</v>
      </c>
      <c r="B450" s="121">
        <v>44955</v>
      </c>
      <c r="C450" s="113">
        <f t="shared" si="2"/>
        <v>2023</v>
      </c>
      <c r="D450" s="114">
        <f t="shared" si="3"/>
        <v>1</v>
      </c>
      <c r="E450" s="114" t="s">
        <v>22</v>
      </c>
      <c r="F450" s="114" t="s">
        <v>223</v>
      </c>
      <c r="G450" s="115" t="s">
        <v>175</v>
      </c>
      <c r="H450" s="114" t="s">
        <v>176</v>
      </c>
      <c r="I450" s="114" t="s">
        <v>173</v>
      </c>
      <c r="J450" s="119">
        <v>0</v>
      </c>
      <c r="K450" s="117">
        <v>0</v>
      </c>
      <c r="L450" s="117">
        <v>0</v>
      </c>
      <c r="M450" s="117">
        <v>0</v>
      </c>
      <c r="N450" s="117">
        <v>0</v>
      </c>
      <c r="O450" s="117">
        <v>0</v>
      </c>
      <c r="P450" s="118">
        <v>0</v>
      </c>
      <c r="Q450" s="119">
        <v>0</v>
      </c>
      <c r="R450" s="119">
        <v>0</v>
      </c>
      <c r="S450" s="184" t="s">
        <v>59</v>
      </c>
    </row>
    <row r="451" spans="1:19">
      <c r="A451" s="111">
        <v>450</v>
      </c>
      <c r="B451" s="121">
        <v>44956</v>
      </c>
      <c r="C451" s="113">
        <f t="shared" si="2"/>
        <v>2023</v>
      </c>
      <c r="D451" s="114">
        <f t="shared" si="3"/>
        <v>1</v>
      </c>
      <c r="E451" s="114" t="s">
        <v>12</v>
      </c>
      <c r="F451" s="114" t="s">
        <v>220</v>
      </c>
      <c r="G451" s="115" t="s">
        <v>221</v>
      </c>
      <c r="H451" s="114" t="s">
        <v>222</v>
      </c>
      <c r="I451" s="114" t="s">
        <v>184</v>
      </c>
      <c r="J451" s="186">
        <v>1</v>
      </c>
      <c r="K451" s="187">
        <v>43</v>
      </c>
      <c r="L451" s="187">
        <v>31</v>
      </c>
      <c r="M451" s="187">
        <v>1.6</v>
      </c>
      <c r="N451" s="187">
        <v>613</v>
      </c>
      <c r="O451" s="187">
        <v>776</v>
      </c>
      <c r="P451" s="188">
        <v>0</v>
      </c>
      <c r="Q451" s="186">
        <v>613</v>
      </c>
      <c r="R451" s="186">
        <v>776</v>
      </c>
      <c r="S451" s="184" t="s">
        <v>59</v>
      </c>
    </row>
    <row r="452" spans="1:19">
      <c r="A452" s="111">
        <v>451</v>
      </c>
      <c r="B452" s="121">
        <v>44957</v>
      </c>
      <c r="C452" s="113">
        <f t="shared" si="2"/>
        <v>2023</v>
      </c>
      <c r="D452" s="114">
        <f t="shared" si="3"/>
        <v>1</v>
      </c>
      <c r="E452" s="114" t="s">
        <v>12</v>
      </c>
      <c r="F452" s="114" t="s">
        <v>234</v>
      </c>
      <c r="G452" s="115" t="s">
        <v>235</v>
      </c>
      <c r="H452" s="114" t="s">
        <v>236</v>
      </c>
      <c r="I452" s="114" t="s">
        <v>184</v>
      </c>
      <c r="J452" s="186">
        <v>5</v>
      </c>
      <c r="K452" s="187">
        <v>38</v>
      </c>
      <c r="L452" s="187">
        <v>22</v>
      </c>
      <c r="M452" s="187">
        <v>2</v>
      </c>
      <c r="N452" s="187">
        <v>819</v>
      </c>
      <c r="O452" s="187">
        <v>1273</v>
      </c>
      <c r="P452" s="188">
        <v>0.8</v>
      </c>
      <c r="Q452" s="189">
        <v>4096</v>
      </c>
      <c r="R452" s="189">
        <v>6365</v>
      </c>
      <c r="S452" s="184" t="s">
        <v>59</v>
      </c>
    </row>
    <row r="453" spans="1:19">
      <c r="A453" s="111">
        <v>452</v>
      </c>
      <c r="B453" s="121">
        <v>44927</v>
      </c>
      <c r="C453" s="113">
        <f t="shared" si="2"/>
        <v>2023</v>
      </c>
      <c r="D453" s="114">
        <f t="shared" si="3"/>
        <v>1</v>
      </c>
      <c r="E453" s="114" t="s">
        <v>12</v>
      </c>
      <c r="F453" s="114" t="s">
        <v>237</v>
      </c>
      <c r="G453" s="115" t="s">
        <v>199</v>
      </c>
      <c r="H453" s="114" t="s">
        <v>199</v>
      </c>
      <c r="I453" s="114" t="s">
        <v>200</v>
      </c>
      <c r="J453" s="119">
        <v>0</v>
      </c>
      <c r="K453" s="117">
        <v>0</v>
      </c>
      <c r="L453" s="117">
        <v>0</v>
      </c>
      <c r="M453" s="117">
        <v>0</v>
      </c>
      <c r="N453" s="117">
        <v>0</v>
      </c>
      <c r="O453" s="117">
        <v>0</v>
      </c>
      <c r="P453" s="118">
        <v>0</v>
      </c>
      <c r="Q453" s="119">
        <v>0</v>
      </c>
      <c r="R453" s="119">
        <v>0</v>
      </c>
      <c r="S453" s="184" t="s">
        <v>59</v>
      </c>
    </row>
    <row r="454" spans="1:19">
      <c r="A454" s="111">
        <v>453</v>
      </c>
      <c r="B454" s="121">
        <v>44928</v>
      </c>
      <c r="C454" s="113">
        <f t="shared" si="2"/>
        <v>2023</v>
      </c>
      <c r="D454" s="114">
        <f t="shared" si="3"/>
        <v>1</v>
      </c>
      <c r="E454" s="114" t="s">
        <v>12</v>
      </c>
      <c r="F454" s="114" t="s">
        <v>252</v>
      </c>
      <c r="G454" s="115" t="s">
        <v>253</v>
      </c>
      <c r="H454" s="114" t="s">
        <v>254</v>
      </c>
      <c r="I454" s="114" t="s">
        <v>184</v>
      </c>
      <c r="J454" s="119">
        <v>0</v>
      </c>
      <c r="K454" s="117">
        <v>0</v>
      </c>
      <c r="L454" s="117">
        <v>0</v>
      </c>
      <c r="M454" s="117">
        <v>0</v>
      </c>
      <c r="N454" s="117">
        <v>0</v>
      </c>
      <c r="O454" s="117">
        <v>0</v>
      </c>
      <c r="P454" s="118">
        <v>0</v>
      </c>
      <c r="Q454" s="119">
        <v>0</v>
      </c>
      <c r="R454" s="119">
        <v>0</v>
      </c>
      <c r="S454" s="184" t="s">
        <v>59</v>
      </c>
    </row>
    <row r="455" spans="1:19">
      <c r="A455" s="111">
        <v>454</v>
      </c>
      <c r="B455" s="121">
        <v>44929</v>
      </c>
      <c r="C455" s="113">
        <f t="shared" si="2"/>
        <v>2023</v>
      </c>
      <c r="D455" s="114">
        <f t="shared" si="3"/>
        <v>1</v>
      </c>
      <c r="E455" s="114" t="s">
        <v>26</v>
      </c>
      <c r="F455" s="114" t="s">
        <v>238</v>
      </c>
      <c r="G455" s="115" t="s">
        <v>175</v>
      </c>
      <c r="H455" s="114" t="s">
        <v>176</v>
      </c>
      <c r="I455" s="114" t="s">
        <v>173</v>
      </c>
      <c r="J455" s="119">
        <v>0</v>
      </c>
      <c r="K455" s="117">
        <v>0</v>
      </c>
      <c r="L455" s="117">
        <v>0</v>
      </c>
      <c r="M455" s="117">
        <v>0</v>
      </c>
      <c r="N455" s="117">
        <v>0</v>
      </c>
      <c r="O455" s="117">
        <v>0</v>
      </c>
      <c r="P455" s="118">
        <v>0</v>
      </c>
      <c r="Q455" s="119">
        <v>0</v>
      </c>
      <c r="R455" s="119">
        <v>0</v>
      </c>
      <c r="S455" s="184" t="s">
        <v>59</v>
      </c>
    </row>
    <row r="456" spans="1:19">
      <c r="A456" s="111">
        <v>455</v>
      </c>
      <c r="B456" s="121">
        <v>44930</v>
      </c>
      <c r="C456" s="113">
        <f t="shared" si="2"/>
        <v>2023</v>
      </c>
      <c r="D456" s="114">
        <f t="shared" si="3"/>
        <v>1</v>
      </c>
      <c r="E456" s="114" t="s">
        <v>19</v>
      </c>
      <c r="F456" s="114" t="s">
        <v>178</v>
      </c>
      <c r="G456" s="115" t="s">
        <v>179</v>
      </c>
      <c r="H456" s="114" t="s">
        <v>180</v>
      </c>
      <c r="I456" s="114" t="s">
        <v>173</v>
      </c>
      <c r="J456" s="186">
        <v>1</v>
      </c>
      <c r="K456" s="187">
        <v>38</v>
      </c>
      <c r="L456" s="187">
        <v>25</v>
      </c>
      <c r="M456" s="187">
        <v>1.8</v>
      </c>
      <c r="N456" s="187">
        <v>708</v>
      </c>
      <c r="O456" s="187">
        <v>1013</v>
      </c>
      <c r="P456" s="188">
        <v>1</v>
      </c>
      <c r="Q456" s="186">
        <v>708</v>
      </c>
      <c r="R456" s="189">
        <v>1013</v>
      </c>
      <c r="S456" s="184" t="s">
        <v>59</v>
      </c>
    </row>
    <row r="457" spans="1:19">
      <c r="A457" s="111">
        <v>456</v>
      </c>
      <c r="B457" s="121">
        <v>44931</v>
      </c>
      <c r="C457" s="113">
        <f t="shared" si="2"/>
        <v>2023</v>
      </c>
      <c r="D457" s="114">
        <f t="shared" si="3"/>
        <v>1</v>
      </c>
      <c r="E457" s="114" t="s">
        <v>7</v>
      </c>
      <c r="F457" s="114" t="s">
        <v>239</v>
      </c>
      <c r="G457" s="115" t="s">
        <v>240</v>
      </c>
      <c r="H457" s="114" t="s">
        <v>241</v>
      </c>
      <c r="I457" s="114" t="s">
        <v>184</v>
      </c>
      <c r="J457" s="186">
        <v>5</v>
      </c>
      <c r="K457" s="187">
        <v>46</v>
      </c>
      <c r="L457" s="187">
        <v>30</v>
      </c>
      <c r="M457" s="187">
        <v>2</v>
      </c>
      <c r="N457" s="187">
        <v>527</v>
      </c>
      <c r="O457" s="187">
        <v>820</v>
      </c>
      <c r="P457" s="188">
        <v>0</v>
      </c>
      <c r="Q457" s="189">
        <v>2634</v>
      </c>
      <c r="R457" s="189">
        <v>4100</v>
      </c>
      <c r="S457" s="184" t="s">
        <v>59</v>
      </c>
    </row>
    <row r="458" spans="1:19">
      <c r="A458" s="111">
        <v>457</v>
      </c>
      <c r="B458" s="121">
        <v>44932</v>
      </c>
      <c r="C458" s="113">
        <f t="shared" si="2"/>
        <v>2023</v>
      </c>
      <c r="D458" s="114">
        <f t="shared" si="3"/>
        <v>1</v>
      </c>
      <c r="E458" s="114" t="s">
        <v>7</v>
      </c>
      <c r="F458" s="114" t="s">
        <v>220</v>
      </c>
      <c r="G458" s="115" t="s">
        <v>221</v>
      </c>
      <c r="H458" s="114" t="s">
        <v>222</v>
      </c>
      <c r="I458" s="114" t="s">
        <v>184</v>
      </c>
      <c r="J458" s="186">
        <v>2</v>
      </c>
      <c r="K458" s="187">
        <v>33</v>
      </c>
      <c r="L458" s="187">
        <v>30</v>
      </c>
      <c r="M458" s="187">
        <v>1.9</v>
      </c>
      <c r="N458" s="187">
        <v>592</v>
      </c>
      <c r="O458" s="187">
        <v>831</v>
      </c>
      <c r="P458" s="188">
        <v>0</v>
      </c>
      <c r="Q458" s="189">
        <v>1184</v>
      </c>
      <c r="R458" s="189">
        <v>1661</v>
      </c>
      <c r="S458" s="184" t="s">
        <v>59</v>
      </c>
    </row>
    <row r="459" spans="1:19">
      <c r="A459" s="111">
        <v>458</v>
      </c>
      <c r="B459" s="121">
        <v>44933</v>
      </c>
      <c r="C459" s="113">
        <f t="shared" si="2"/>
        <v>2023</v>
      </c>
      <c r="D459" s="114">
        <f t="shared" si="3"/>
        <v>1</v>
      </c>
      <c r="E459" s="114" t="s">
        <v>7</v>
      </c>
      <c r="F459" s="114" t="s">
        <v>242</v>
      </c>
      <c r="G459" s="115" t="s">
        <v>243</v>
      </c>
      <c r="H459" s="114" t="s">
        <v>244</v>
      </c>
      <c r="I459" s="114" t="s">
        <v>184</v>
      </c>
      <c r="J459" s="186">
        <v>5</v>
      </c>
      <c r="K459" s="187">
        <v>66</v>
      </c>
      <c r="L459" s="187">
        <v>29</v>
      </c>
      <c r="M459" s="187">
        <v>2.6</v>
      </c>
      <c r="N459" s="187">
        <v>962</v>
      </c>
      <c r="O459" s="187">
        <v>1459</v>
      </c>
      <c r="P459" s="188">
        <v>0</v>
      </c>
      <c r="Q459" s="189">
        <v>4811</v>
      </c>
      <c r="R459" s="189">
        <v>7293</v>
      </c>
      <c r="S459" s="184" t="s">
        <v>59</v>
      </c>
    </row>
    <row r="460" spans="1:19">
      <c r="A460" s="111">
        <v>459</v>
      </c>
      <c r="B460" s="121">
        <v>44934</v>
      </c>
      <c r="C460" s="113">
        <f t="shared" si="2"/>
        <v>2023</v>
      </c>
      <c r="D460" s="114">
        <f t="shared" si="3"/>
        <v>1</v>
      </c>
      <c r="E460" s="114" t="s">
        <v>7</v>
      </c>
      <c r="F460" s="114" t="s">
        <v>255</v>
      </c>
      <c r="G460" s="115" t="s">
        <v>256</v>
      </c>
      <c r="H460" s="114" t="s">
        <v>257</v>
      </c>
      <c r="I460" s="114" t="s">
        <v>173</v>
      </c>
      <c r="J460" s="119">
        <v>0</v>
      </c>
      <c r="K460" s="117">
        <v>0</v>
      </c>
      <c r="L460" s="117">
        <v>0</v>
      </c>
      <c r="M460" s="117">
        <v>0</v>
      </c>
      <c r="N460" s="117">
        <v>0</v>
      </c>
      <c r="O460" s="117">
        <v>0</v>
      </c>
      <c r="P460" s="118">
        <v>0</v>
      </c>
      <c r="Q460" s="119">
        <v>0</v>
      </c>
      <c r="R460" s="119">
        <v>0</v>
      </c>
      <c r="S460" s="184" t="s">
        <v>59</v>
      </c>
    </row>
    <row r="461" spans="1:19">
      <c r="A461" s="111">
        <v>460</v>
      </c>
      <c r="B461" s="121">
        <v>44935</v>
      </c>
      <c r="C461" s="113">
        <f t="shared" si="2"/>
        <v>2023</v>
      </c>
      <c r="D461" s="114">
        <f t="shared" si="3"/>
        <v>1</v>
      </c>
      <c r="E461" s="114" t="s">
        <v>7</v>
      </c>
      <c r="F461" s="114" t="s">
        <v>258</v>
      </c>
      <c r="G461" s="115" t="s">
        <v>256</v>
      </c>
      <c r="H461" s="114" t="s">
        <v>257</v>
      </c>
      <c r="I461" s="114" t="s">
        <v>200</v>
      </c>
      <c r="J461" s="186">
        <v>2</v>
      </c>
      <c r="K461" s="187">
        <v>32</v>
      </c>
      <c r="L461" s="187">
        <v>22</v>
      </c>
      <c r="M461" s="187">
        <v>1.7</v>
      </c>
      <c r="N461" s="187">
        <v>688</v>
      </c>
      <c r="O461" s="187">
        <v>1062</v>
      </c>
      <c r="P461" s="188">
        <v>1</v>
      </c>
      <c r="Q461" s="189">
        <v>1375</v>
      </c>
      <c r="R461" s="189">
        <v>2124</v>
      </c>
      <c r="S461" s="184" t="s">
        <v>59</v>
      </c>
    </row>
    <row r="462" spans="1:19">
      <c r="A462" s="111">
        <v>461</v>
      </c>
      <c r="B462" s="121">
        <v>44936</v>
      </c>
      <c r="C462" s="113">
        <f t="shared" si="2"/>
        <v>2023</v>
      </c>
      <c r="D462" s="114">
        <f t="shared" si="3"/>
        <v>1</v>
      </c>
      <c r="E462" s="114" t="s">
        <v>24</v>
      </c>
      <c r="F462" s="114" t="s">
        <v>259</v>
      </c>
      <c r="G462" s="115" t="s">
        <v>260</v>
      </c>
      <c r="H462" s="114" t="s">
        <v>261</v>
      </c>
      <c r="I462" s="114" t="s">
        <v>184</v>
      </c>
      <c r="J462" s="119">
        <v>0</v>
      </c>
      <c r="K462" s="117">
        <v>0</v>
      </c>
      <c r="L462" s="117">
        <v>0</v>
      </c>
      <c r="M462" s="117">
        <v>0</v>
      </c>
      <c r="N462" s="117">
        <v>0</v>
      </c>
      <c r="O462" s="117">
        <v>0</v>
      </c>
      <c r="P462" s="118">
        <v>0</v>
      </c>
      <c r="Q462" s="119">
        <v>0</v>
      </c>
      <c r="R462" s="119">
        <v>0</v>
      </c>
      <c r="S462" s="184" t="s">
        <v>59</v>
      </c>
    </row>
    <row r="463" spans="1:19">
      <c r="A463" s="111">
        <v>462</v>
      </c>
      <c r="B463" s="121">
        <v>44937</v>
      </c>
      <c r="C463" s="113">
        <f t="shared" si="2"/>
        <v>2023</v>
      </c>
      <c r="D463" s="114">
        <f t="shared" si="3"/>
        <v>1</v>
      </c>
      <c r="E463" s="114" t="s">
        <v>24</v>
      </c>
      <c r="F463" s="114" t="s">
        <v>262</v>
      </c>
      <c r="G463" s="115" t="s">
        <v>263</v>
      </c>
      <c r="H463" s="114" t="s">
        <v>264</v>
      </c>
      <c r="I463" s="114" t="s">
        <v>184</v>
      </c>
      <c r="J463" s="119">
        <v>0</v>
      </c>
      <c r="K463" s="117">
        <v>0</v>
      </c>
      <c r="L463" s="117">
        <v>0</v>
      </c>
      <c r="M463" s="117">
        <v>0</v>
      </c>
      <c r="N463" s="117">
        <v>0</v>
      </c>
      <c r="O463" s="117">
        <v>0</v>
      </c>
      <c r="P463" s="118">
        <v>0</v>
      </c>
      <c r="Q463" s="119">
        <v>0</v>
      </c>
      <c r="R463" s="119">
        <v>0</v>
      </c>
      <c r="S463" s="184" t="s">
        <v>59</v>
      </c>
    </row>
    <row r="464" spans="1:19">
      <c r="A464" s="111">
        <v>463</v>
      </c>
      <c r="B464" s="121">
        <v>44938</v>
      </c>
      <c r="C464" s="113">
        <f t="shared" si="2"/>
        <v>2023</v>
      </c>
      <c r="D464" s="114">
        <f t="shared" si="3"/>
        <v>1</v>
      </c>
      <c r="E464" s="114" t="s">
        <v>28</v>
      </c>
      <c r="F464" s="114" t="s">
        <v>265</v>
      </c>
      <c r="G464" s="115" t="s">
        <v>266</v>
      </c>
      <c r="H464" s="114" t="s">
        <v>267</v>
      </c>
      <c r="I464" s="114" t="s">
        <v>184</v>
      </c>
      <c r="J464" s="119">
        <v>0</v>
      </c>
      <c r="K464" s="117">
        <v>0</v>
      </c>
      <c r="L464" s="117">
        <v>0</v>
      </c>
      <c r="M464" s="117">
        <v>0</v>
      </c>
      <c r="N464" s="117">
        <v>0</v>
      </c>
      <c r="O464" s="117">
        <v>0</v>
      </c>
      <c r="P464" s="118">
        <v>0</v>
      </c>
      <c r="Q464" s="119">
        <v>0</v>
      </c>
      <c r="R464" s="119">
        <v>0</v>
      </c>
      <c r="S464" s="184" t="s">
        <v>59</v>
      </c>
    </row>
    <row r="465" spans="1:19">
      <c r="A465" s="111">
        <v>464</v>
      </c>
      <c r="B465" s="121">
        <v>44939</v>
      </c>
      <c r="C465" s="113">
        <f t="shared" si="2"/>
        <v>2023</v>
      </c>
      <c r="D465" s="114">
        <f t="shared" si="3"/>
        <v>1</v>
      </c>
      <c r="E465" s="114" t="s">
        <v>93</v>
      </c>
      <c r="F465" s="114" t="s">
        <v>265</v>
      </c>
      <c r="G465" s="115" t="s">
        <v>266</v>
      </c>
      <c r="H465" s="114" t="s">
        <v>267</v>
      </c>
      <c r="I465" s="114" t="s">
        <v>184</v>
      </c>
      <c r="J465" s="119">
        <v>0</v>
      </c>
      <c r="K465" s="117">
        <v>0</v>
      </c>
      <c r="L465" s="117">
        <v>0</v>
      </c>
      <c r="M465" s="117">
        <v>0</v>
      </c>
      <c r="N465" s="117">
        <v>0</v>
      </c>
      <c r="O465" s="117">
        <v>0</v>
      </c>
      <c r="P465" s="118">
        <v>0</v>
      </c>
      <c r="Q465" s="119">
        <v>0</v>
      </c>
      <c r="R465" s="119">
        <v>0</v>
      </c>
      <c r="S465" s="184" t="s">
        <v>59</v>
      </c>
    </row>
    <row r="466" spans="1:19">
      <c r="A466" s="111">
        <v>465</v>
      </c>
      <c r="B466" s="121">
        <v>44940</v>
      </c>
      <c r="C466" s="113">
        <f t="shared" si="2"/>
        <v>2023</v>
      </c>
      <c r="D466" s="114">
        <f t="shared" si="3"/>
        <v>1</v>
      </c>
      <c r="E466" s="114" t="s">
        <v>10</v>
      </c>
      <c r="F466" s="114" t="s">
        <v>268</v>
      </c>
      <c r="G466" s="115" t="s">
        <v>269</v>
      </c>
      <c r="H466" s="114" t="s">
        <v>270</v>
      </c>
      <c r="I466" s="114" t="s">
        <v>184</v>
      </c>
      <c r="J466" s="119">
        <v>0</v>
      </c>
      <c r="K466" s="117">
        <v>0</v>
      </c>
      <c r="L466" s="117">
        <v>0</v>
      </c>
      <c r="M466" s="117">
        <v>0</v>
      </c>
      <c r="N466" s="117">
        <v>0</v>
      </c>
      <c r="O466" s="117">
        <v>0</v>
      </c>
      <c r="P466" s="118">
        <v>0</v>
      </c>
      <c r="Q466" s="119">
        <v>0</v>
      </c>
      <c r="R466" s="119">
        <v>0</v>
      </c>
      <c r="S466" s="184" t="s">
        <v>59</v>
      </c>
    </row>
    <row r="467" spans="1:19">
      <c r="A467" s="111">
        <v>466</v>
      </c>
      <c r="B467" s="121">
        <v>44941</v>
      </c>
      <c r="C467" s="113">
        <f t="shared" si="2"/>
        <v>2023</v>
      </c>
      <c r="D467" s="114">
        <f t="shared" si="3"/>
        <v>1</v>
      </c>
      <c r="E467" s="114" t="s">
        <v>32</v>
      </c>
      <c r="F467" s="114" t="s">
        <v>249</v>
      </c>
      <c r="G467" s="115" t="s">
        <v>250</v>
      </c>
      <c r="H467" s="114" t="s">
        <v>251</v>
      </c>
      <c r="I467" s="114" t="s">
        <v>184</v>
      </c>
      <c r="J467" s="119">
        <v>0</v>
      </c>
      <c r="K467" s="117">
        <v>0</v>
      </c>
      <c r="L467" s="117">
        <v>0</v>
      </c>
      <c r="M467" s="117">
        <v>0</v>
      </c>
      <c r="N467" s="117">
        <v>0</v>
      </c>
      <c r="O467" s="117">
        <v>0</v>
      </c>
      <c r="P467" s="118">
        <v>0</v>
      </c>
      <c r="Q467" s="119">
        <v>0</v>
      </c>
      <c r="R467" s="119">
        <v>0</v>
      </c>
      <c r="S467" s="184" t="s">
        <v>59</v>
      </c>
    </row>
    <row r="468" spans="1:19">
      <c r="A468" s="111">
        <v>467</v>
      </c>
      <c r="B468" s="121">
        <v>44942</v>
      </c>
      <c r="C468" s="113">
        <f t="shared" si="2"/>
        <v>2023</v>
      </c>
      <c r="D468" s="114">
        <f t="shared" si="3"/>
        <v>1</v>
      </c>
      <c r="E468" s="114" t="s">
        <v>79</v>
      </c>
      <c r="F468" s="114" t="s">
        <v>255</v>
      </c>
      <c r="G468" s="115" t="s">
        <v>256</v>
      </c>
      <c r="H468" s="114" t="s">
        <v>257</v>
      </c>
      <c r="I468" s="114" t="s">
        <v>173</v>
      </c>
      <c r="J468" s="119">
        <v>0</v>
      </c>
      <c r="K468" s="117">
        <v>0</v>
      </c>
      <c r="L468" s="117">
        <v>0</v>
      </c>
      <c r="M468" s="117">
        <v>0</v>
      </c>
      <c r="N468" s="117">
        <v>0</v>
      </c>
      <c r="O468" s="117">
        <v>0</v>
      </c>
      <c r="P468" s="118">
        <v>0</v>
      </c>
      <c r="Q468" s="119">
        <v>0</v>
      </c>
      <c r="R468" s="119">
        <v>0</v>
      </c>
      <c r="S468" s="184" t="s">
        <v>59</v>
      </c>
    </row>
    <row r="469" spans="1:19">
      <c r="A469" s="111">
        <v>468</v>
      </c>
      <c r="B469" s="121">
        <v>44943</v>
      </c>
      <c r="C469" s="113">
        <f t="shared" si="2"/>
        <v>2023</v>
      </c>
      <c r="D469" s="114">
        <f t="shared" si="3"/>
        <v>1</v>
      </c>
      <c r="E469" s="114" t="s">
        <v>101</v>
      </c>
      <c r="F469" s="114" t="s">
        <v>249</v>
      </c>
      <c r="G469" s="115" t="s">
        <v>250</v>
      </c>
      <c r="H469" s="114" t="s">
        <v>251</v>
      </c>
      <c r="I469" s="114" t="s">
        <v>184</v>
      </c>
      <c r="J469" s="119">
        <v>0</v>
      </c>
      <c r="K469" s="117">
        <v>0</v>
      </c>
      <c r="L469" s="117">
        <v>0</v>
      </c>
      <c r="M469" s="117">
        <v>0</v>
      </c>
      <c r="N469" s="117">
        <v>0</v>
      </c>
      <c r="O469" s="117">
        <v>0</v>
      </c>
      <c r="P469" s="118">
        <v>0</v>
      </c>
      <c r="Q469" s="119">
        <v>0</v>
      </c>
      <c r="R469" s="119">
        <v>0</v>
      </c>
      <c r="S469" s="184" t="s">
        <v>59</v>
      </c>
    </row>
    <row r="470" spans="1:19">
      <c r="A470" s="111">
        <v>469</v>
      </c>
      <c r="B470" s="121">
        <v>44944</v>
      </c>
      <c r="C470" s="113">
        <f t="shared" si="2"/>
        <v>2023</v>
      </c>
      <c r="D470" s="114">
        <f t="shared" si="3"/>
        <v>1</v>
      </c>
      <c r="E470" s="114" t="s">
        <v>116</v>
      </c>
      <c r="F470" s="114" t="s">
        <v>271</v>
      </c>
      <c r="G470" s="185"/>
      <c r="H470" s="185"/>
      <c r="I470" s="185"/>
      <c r="J470" s="119">
        <v>0</v>
      </c>
      <c r="K470" s="117">
        <v>0</v>
      </c>
      <c r="L470" s="117">
        <v>0</v>
      </c>
      <c r="M470" s="117">
        <v>0</v>
      </c>
      <c r="N470" s="117">
        <v>0</v>
      </c>
      <c r="O470" s="117">
        <v>0</v>
      </c>
      <c r="P470" s="118">
        <v>0</v>
      </c>
      <c r="Q470" s="119">
        <v>0</v>
      </c>
      <c r="R470" s="119">
        <v>0</v>
      </c>
      <c r="S470" s="184" t="s">
        <v>59</v>
      </c>
    </row>
    <row r="471" spans="1:19">
      <c r="A471" s="111">
        <v>470</v>
      </c>
      <c r="B471" s="121">
        <v>44958</v>
      </c>
      <c r="C471" s="113">
        <f t="shared" si="2"/>
        <v>2023</v>
      </c>
      <c r="D471" s="114">
        <f t="shared" si="3"/>
        <v>2</v>
      </c>
      <c r="E471" s="114" t="s">
        <v>79</v>
      </c>
      <c r="F471" s="114" t="s">
        <v>170</v>
      </c>
      <c r="G471" s="115" t="s">
        <v>171</v>
      </c>
      <c r="H471" s="114" t="s">
        <v>172</v>
      </c>
      <c r="I471" s="114" t="s">
        <v>173</v>
      </c>
      <c r="J471" s="186">
        <v>3</v>
      </c>
      <c r="K471" s="187">
        <v>32</v>
      </c>
      <c r="L471" s="187">
        <v>24</v>
      </c>
      <c r="M471" s="187">
        <v>1.6</v>
      </c>
      <c r="N471" s="187">
        <v>342</v>
      </c>
      <c r="O471" s="187">
        <v>498</v>
      </c>
      <c r="P471" s="188">
        <v>0</v>
      </c>
      <c r="Q471" s="189">
        <v>1026</v>
      </c>
      <c r="R471" s="189">
        <v>1494</v>
      </c>
      <c r="S471" s="184" t="s">
        <v>59</v>
      </c>
    </row>
    <row r="472" spans="1:19">
      <c r="A472" s="111">
        <v>471</v>
      </c>
      <c r="B472" s="121">
        <v>44959</v>
      </c>
      <c r="C472" s="113">
        <f t="shared" si="2"/>
        <v>2023</v>
      </c>
      <c r="D472" s="114">
        <f t="shared" si="3"/>
        <v>2</v>
      </c>
      <c r="E472" s="114" t="s">
        <v>79</v>
      </c>
      <c r="F472" s="114" t="s">
        <v>174</v>
      </c>
      <c r="G472" s="115" t="s">
        <v>175</v>
      </c>
      <c r="H472" s="114" t="s">
        <v>176</v>
      </c>
      <c r="I472" s="114" t="s">
        <v>173</v>
      </c>
      <c r="J472" s="119">
        <v>0</v>
      </c>
      <c r="K472" s="117">
        <v>0</v>
      </c>
      <c r="L472" s="117">
        <v>0</v>
      </c>
      <c r="M472" s="117">
        <v>0</v>
      </c>
      <c r="N472" s="117">
        <v>0</v>
      </c>
      <c r="O472" s="117">
        <v>0</v>
      </c>
      <c r="P472" s="118">
        <v>0</v>
      </c>
      <c r="Q472" s="119">
        <v>0</v>
      </c>
      <c r="R472" s="119">
        <v>0</v>
      </c>
      <c r="S472" s="184" t="s">
        <v>59</v>
      </c>
    </row>
    <row r="473" spans="1:19">
      <c r="A473" s="111">
        <v>472</v>
      </c>
      <c r="B473" s="121">
        <v>44960</v>
      </c>
      <c r="C473" s="113">
        <f t="shared" si="2"/>
        <v>2023</v>
      </c>
      <c r="D473" s="114">
        <f t="shared" si="3"/>
        <v>2</v>
      </c>
      <c r="E473" s="114" t="s">
        <v>79</v>
      </c>
      <c r="F473" s="114" t="s">
        <v>177</v>
      </c>
      <c r="G473" s="115" t="s">
        <v>175</v>
      </c>
      <c r="H473" s="114" t="s">
        <v>176</v>
      </c>
      <c r="I473" s="114" t="s">
        <v>173</v>
      </c>
      <c r="J473" s="186">
        <v>4</v>
      </c>
      <c r="K473" s="187">
        <v>67</v>
      </c>
      <c r="L473" s="187">
        <v>34</v>
      </c>
      <c r="M473" s="187">
        <v>2.2999999999999998</v>
      </c>
      <c r="N473" s="187">
        <v>1483</v>
      </c>
      <c r="O473" s="187">
        <v>2232</v>
      </c>
      <c r="P473" s="188">
        <v>1</v>
      </c>
      <c r="Q473" s="189">
        <v>5930</v>
      </c>
      <c r="R473" s="189">
        <v>8928</v>
      </c>
      <c r="S473" s="184" t="s">
        <v>59</v>
      </c>
    </row>
    <row r="474" spans="1:19">
      <c r="A474" s="111">
        <v>473</v>
      </c>
      <c r="B474" s="121">
        <v>44961</v>
      </c>
      <c r="C474" s="113">
        <f t="shared" si="2"/>
        <v>2023</v>
      </c>
      <c r="D474" s="114">
        <f t="shared" si="3"/>
        <v>2</v>
      </c>
      <c r="E474" s="114" t="s">
        <v>20</v>
      </c>
      <c r="F474" s="114" t="s">
        <v>178</v>
      </c>
      <c r="G474" s="115" t="s">
        <v>179</v>
      </c>
      <c r="H474" s="114" t="s">
        <v>180</v>
      </c>
      <c r="I474" s="114" t="s">
        <v>173</v>
      </c>
      <c r="J474" s="186">
        <v>1</v>
      </c>
      <c r="K474" s="187">
        <v>60</v>
      </c>
      <c r="L474" s="187">
        <v>39</v>
      </c>
      <c r="M474" s="187">
        <v>1.9</v>
      </c>
      <c r="N474" s="187">
        <v>878</v>
      </c>
      <c r="O474" s="187">
        <v>1230</v>
      </c>
      <c r="P474" s="188">
        <v>1</v>
      </c>
      <c r="Q474" s="186">
        <v>878</v>
      </c>
      <c r="R474" s="189">
        <v>1230</v>
      </c>
      <c r="S474" s="184" t="s">
        <v>59</v>
      </c>
    </row>
    <row r="475" spans="1:19">
      <c r="A475" s="111">
        <v>474</v>
      </c>
      <c r="B475" s="121">
        <v>44962</v>
      </c>
      <c r="C475" s="113">
        <f t="shared" si="2"/>
        <v>2023</v>
      </c>
      <c r="D475" s="114">
        <f t="shared" si="3"/>
        <v>2</v>
      </c>
      <c r="E475" s="114" t="s">
        <v>8</v>
      </c>
      <c r="F475" s="114" t="s">
        <v>181</v>
      </c>
      <c r="G475" s="115" t="s">
        <v>182</v>
      </c>
      <c r="H475" s="114" t="s">
        <v>183</v>
      </c>
      <c r="I475" s="114" t="s">
        <v>184</v>
      </c>
      <c r="J475" s="186">
        <v>3</v>
      </c>
      <c r="K475" s="187">
        <v>41</v>
      </c>
      <c r="L475" s="187">
        <v>27</v>
      </c>
      <c r="M475" s="187">
        <v>1.9</v>
      </c>
      <c r="N475" s="187">
        <v>364</v>
      </c>
      <c r="O475" s="187">
        <v>503</v>
      </c>
      <c r="P475" s="188">
        <v>0</v>
      </c>
      <c r="Q475" s="189">
        <v>1093</v>
      </c>
      <c r="R475" s="189">
        <v>1509</v>
      </c>
      <c r="S475" s="184" t="s">
        <v>59</v>
      </c>
    </row>
    <row r="476" spans="1:19">
      <c r="A476" s="111">
        <v>475</v>
      </c>
      <c r="B476" s="121">
        <v>44963</v>
      </c>
      <c r="C476" s="113">
        <f t="shared" si="2"/>
        <v>2023</v>
      </c>
      <c r="D476" s="114">
        <f t="shared" si="3"/>
        <v>2</v>
      </c>
      <c r="E476" s="114" t="s">
        <v>8</v>
      </c>
      <c r="F476" s="114" t="s">
        <v>185</v>
      </c>
      <c r="G476" s="115" t="s">
        <v>186</v>
      </c>
      <c r="H476" s="114" t="s">
        <v>187</v>
      </c>
      <c r="I476" s="114" t="s">
        <v>184</v>
      </c>
      <c r="J476" s="186">
        <v>4</v>
      </c>
      <c r="K476" s="187">
        <v>70</v>
      </c>
      <c r="L476" s="187">
        <v>41</v>
      </c>
      <c r="M476" s="187">
        <v>2</v>
      </c>
      <c r="N476" s="187">
        <v>786</v>
      </c>
      <c r="O476" s="187">
        <v>1111</v>
      </c>
      <c r="P476" s="188">
        <v>1</v>
      </c>
      <c r="Q476" s="189">
        <v>3142</v>
      </c>
      <c r="R476" s="189">
        <v>4442</v>
      </c>
      <c r="S476" s="184" t="s">
        <v>59</v>
      </c>
    </row>
    <row r="477" spans="1:19">
      <c r="A477" s="111">
        <v>476</v>
      </c>
      <c r="B477" s="121">
        <v>44964</v>
      </c>
      <c r="C477" s="113">
        <f t="shared" si="2"/>
        <v>2023</v>
      </c>
      <c r="D477" s="114">
        <f t="shared" si="3"/>
        <v>2</v>
      </c>
      <c r="E477" s="114" t="s">
        <v>8</v>
      </c>
      <c r="F477" s="114" t="s">
        <v>188</v>
      </c>
      <c r="G477" s="115" t="s">
        <v>189</v>
      </c>
      <c r="H477" s="114" t="s">
        <v>190</v>
      </c>
      <c r="I477" s="114" t="s">
        <v>184</v>
      </c>
      <c r="J477" s="186">
        <v>3</v>
      </c>
      <c r="K477" s="187">
        <v>40</v>
      </c>
      <c r="L477" s="187">
        <v>23</v>
      </c>
      <c r="M477" s="187">
        <v>2.1</v>
      </c>
      <c r="N477" s="187">
        <v>526</v>
      </c>
      <c r="O477" s="187">
        <v>852</v>
      </c>
      <c r="P477" s="188">
        <v>0</v>
      </c>
      <c r="Q477" s="189">
        <v>1578</v>
      </c>
      <c r="R477" s="189">
        <v>2556</v>
      </c>
      <c r="S477" s="184" t="s">
        <v>59</v>
      </c>
    </row>
    <row r="478" spans="1:19">
      <c r="A478" s="111">
        <v>477</v>
      </c>
      <c r="B478" s="121">
        <v>44965</v>
      </c>
      <c r="C478" s="113">
        <f t="shared" si="2"/>
        <v>2023</v>
      </c>
      <c r="D478" s="114">
        <f t="shared" si="3"/>
        <v>2</v>
      </c>
      <c r="E478" s="114" t="s">
        <v>8</v>
      </c>
      <c r="F478" s="114" t="s">
        <v>191</v>
      </c>
      <c r="G478" s="115" t="s">
        <v>192</v>
      </c>
      <c r="H478" s="114" t="s">
        <v>193</v>
      </c>
      <c r="I478" s="114" t="s">
        <v>173</v>
      </c>
      <c r="J478" s="186">
        <v>2</v>
      </c>
      <c r="K478" s="187">
        <v>36</v>
      </c>
      <c r="L478" s="187">
        <v>24</v>
      </c>
      <c r="M478" s="187">
        <v>1.6</v>
      </c>
      <c r="N478" s="187">
        <v>591</v>
      </c>
      <c r="O478" s="187">
        <v>807</v>
      </c>
      <c r="P478" s="188">
        <v>1</v>
      </c>
      <c r="Q478" s="189">
        <v>1182</v>
      </c>
      <c r="R478" s="189">
        <v>1613</v>
      </c>
      <c r="S478" s="184" t="s">
        <v>59</v>
      </c>
    </row>
    <row r="479" spans="1:19">
      <c r="A479" s="111">
        <v>478</v>
      </c>
      <c r="B479" s="121">
        <v>44966</v>
      </c>
      <c r="C479" s="113">
        <f t="shared" si="2"/>
        <v>2023</v>
      </c>
      <c r="D479" s="114">
        <f t="shared" si="3"/>
        <v>2</v>
      </c>
      <c r="E479" s="114" t="s">
        <v>8</v>
      </c>
      <c r="F479" s="114" t="s">
        <v>245</v>
      </c>
      <c r="G479" s="115" t="s">
        <v>246</v>
      </c>
      <c r="H479" s="114" t="s">
        <v>247</v>
      </c>
      <c r="I479" s="114" t="s">
        <v>184</v>
      </c>
      <c r="J479" s="186">
        <v>2</v>
      </c>
      <c r="K479" s="187">
        <v>44</v>
      </c>
      <c r="L479" s="187">
        <v>25</v>
      </c>
      <c r="M479" s="187">
        <v>2</v>
      </c>
      <c r="N479" s="187">
        <v>1368</v>
      </c>
      <c r="O479" s="187">
        <v>1964</v>
      </c>
      <c r="P479" s="188">
        <v>0</v>
      </c>
      <c r="Q479" s="189">
        <v>1368</v>
      </c>
      <c r="R479" s="189">
        <v>1964</v>
      </c>
      <c r="S479" s="184" t="s">
        <v>59</v>
      </c>
    </row>
    <row r="480" spans="1:19">
      <c r="A480" s="111">
        <v>479</v>
      </c>
      <c r="B480" s="121">
        <v>44967</v>
      </c>
      <c r="C480" s="113">
        <f t="shared" si="2"/>
        <v>2023</v>
      </c>
      <c r="D480" s="114">
        <f t="shared" si="3"/>
        <v>2</v>
      </c>
      <c r="E480" s="114" t="s">
        <v>88</v>
      </c>
      <c r="F480" s="114" t="s">
        <v>195</v>
      </c>
      <c r="G480" s="115" t="s">
        <v>196</v>
      </c>
      <c r="H480" s="114" t="s">
        <v>197</v>
      </c>
      <c r="I480" s="114" t="s">
        <v>184</v>
      </c>
      <c r="J480" s="186">
        <v>3</v>
      </c>
      <c r="K480" s="187">
        <v>36</v>
      </c>
      <c r="L480" s="187">
        <v>24</v>
      </c>
      <c r="M480" s="187">
        <v>1.8</v>
      </c>
      <c r="N480" s="187">
        <v>591</v>
      </c>
      <c r="O480" s="187">
        <v>801</v>
      </c>
      <c r="P480" s="188">
        <v>0.33</v>
      </c>
      <c r="Q480" s="189">
        <v>1772</v>
      </c>
      <c r="R480" s="189">
        <v>2404</v>
      </c>
      <c r="S480" s="184" t="s">
        <v>59</v>
      </c>
    </row>
    <row r="481" spans="1:19">
      <c r="A481" s="111">
        <v>480</v>
      </c>
      <c r="B481" s="121">
        <v>44968</v>
      </c>
      <c r="C481" s="113">
        <f t="shared" si="2"/>
        <v>2023</v>
      </c>
      <c r="D481" s="114">
        <f t="shared" si="3"/>
        <v>2</v>
      </c>
      <c r="E481" s="114" t="s">
        <v>104</v>
      </c>
      <c r="F481" s="114" t="s">
        <v>198</v>
      </c>
      <c r="G481" s="115" t="s">
        <v>199</v>
      </c>
      <c r="H481" s="114" t="s">
        <v>199</v>
      </c>
      <c r="I481" s="114" t="s">
        <v>200</v>
      </c>
      <c r="J481" s="186">
        <v>1</v>
      </c>
      <c r="K481" s="187">
        <v>19</v>
      </c>
      <c r="L481" s="187">
        <v>18</v>
      </c>
      <c r="M481" s="187">
        <v>1.2</v>
      </c>
      <c r="N481" s="187">
        <v>184</v>
      </c>
      <c r="O481" s="187">
        <v>217</v>
      </c>
      <c r="P481" s="188">
        <v>1</v>
      </c>
      <c r="Q481" s="186">
        <v>184</v>
      </c>
      <c r="R481" s="186">
        <v>217</v>
      </c>
      <c r="S481" s="184" t="s">
        <v>59</v>
      </c>
    </row>
    <row r="482" spans="1:19">
      <c r="A482" s="111">
        <v>481</v>
      </c>
      <c r="B482" s="121">
        <v>44969</v>
      </c>
      <c r="C482" s="113">
        <f t="shared" si="2"/>
        <v>2023</v>
      </c>
      <c r="D482" s="114">
        <f t="shared" si="3"/>
        <v>2</v>
      </c>
      <c r="E482" s="114" t="s">
        <v>201</v>
      </c>
      <c r="F482" s="114" t="s">
        <v>248</v>
      </c>
      <c r="G482" s="115" t="s">
        <v>199</v>
      </c>
      <c r="H482" s="114" t="s">
        <v>199</v>
      </c>
      <c r="I482" s="114" t="s">
        <v>200</v>
      </c>
      <c r="J482" s="119">
        <v>0</v>
      </c>
      <c r="K482" s="117">
        <v>0</v>
      </c>
      <c r="L482" s="117">
        <v>0</v>
      </c>
      <c r="M482" s="117">
        <v>0</v>
      </c>
      <c r="N482" s="117">
        <v>0</v>
      </c>
      <c r="O482" s="117">
        <v>0</v>
      </c>
      <c r="P482" s="118">
        <v>0</v>
      </c>
      <c r="Q482" s="119">
        <v>0</v>
      </c>
      <c r="R482" s="119">
        <v>0</v>
      </c>
      <c r="S482" s="184" t="s">
        <v>59</v>
      </c>
    </row>
    <row r="483" spans="1:19">
      <c r="A483" s="111">
        <v>482</v>
      </c>
      <c r="B483" s="121">
        <v>44970</v>
      </c>
      <c r="C483" s="113">
        <f t="shared" si="2"/>
        <v>2023</v>
      </c>
      <c r="D483" s="114">
        <f t="shared" si="3"/>
        <v>2</v>
      </c>
      <c r="E483" s="114" t="s">
        <v>30</v>
      </c>
      <c r="F483" s="114" t="s">
        <v>205</v>
      </c>
      <c r="G483" s="115" t="s">
        <v>206</v>
      </c>
      <c r="H483" s="114" t="s">
        <v>207</v>
      </c>
      <c r="I483" s="114" t="s">
        <v>184</v>
      </c>
      <c r="J483" s="119">
        <v>0</v>
      </c>
      <c r="K483" s="117">
        <v>0</v>
      </c>
      <c r="L483" s="117">
        <v>0</v>
      </c>
      <c r="M483" s="117">
        <v>0</v>
      </c>
      <c r="N483" s="117">
        <v>0</v>
      </c>
      <c r="O483" s="117">
        <v>0</v>
      </c>
      <c r="P483" s="118">
        <v>0</v>
      </c>
      <c r="Q483" s="119">
        <v>0</v>
      </c>
      <c r="R483" s="119">
        <v>0</v>
      </c>
      <c r="S483" s="184" t="s">
        <v>59</v>
      </c>
    </row>
    <row r="484" spans="1:19">
      <c r="A484" s="111">
        <v>483</v>
      </c>
      <c r="B484" s="121">
        <v>44971</v>
      </c>
      <c r="C484" s="113">
        <f t="shared" si="2"/>
        <v>2023</v>
      </c>
      <c r="D484" s="114">
        <f t="shared" si="3"/>
        <v>2</v>
      </c>
      <c r="E484" s="114" t="s">
        <v>10</v>
      </c>
      <c r="F484" s="114" t="s">
        <v>208</v>
      </c>
      <c r="G484" s="115" t="s">
        <v>209</v>
      </c>
      <c r="H484" s="114" t="s">
        <v>210</v>
      </c>
      <c r="I484" s="114" t="s">
        <v>173</v>
      </c>
      <c r="J484" s="186">
        <v>4</v>
      </c>
      <c r="K484" s="187">
        <v>55</v>
      </c>
      <c r="L484" s="187">
        <v>31</v>
      </c>
      <c r="M484" s="187">
        <v>2.1</v>
      </c>
      <c r="N484" s="187">
        <v>1061</v>
      </c>
      <c r="O484" s="187">
        <v>1482</v>
      </c>
      <c r="P484" s="188">
        <v>0.25</v>
      </c>
      <c r="Q484" s="189">
        <v>4243</v>
      </c>
      <c r="R484" s="189">
        <v>5926</v>
      </c>
      <c r="S484" s="184" t="s">
        <v>59</v>
      </c>
    </row>
    <row r="485" spans="1:19">
      <c r="A485" s="111">
        <v>484</v>
      </c>
      <c r="B485" s="121">
        <v>44972</v>
      </c>
      <c r="C485" s="113">
        <f t="shared" si="2"/>
        <v>2023</v>
      </c>
      <c r="D485" s="114">
        <f t="shared" si="3"/>
        <v>2</v>
      </c>
      <c r="E485" s="114" t="s">
        <v>10</v>
      </c>
      <c r="F485" s="114" t="s">
        <v>211</v>
      </c>
      <c r="G485" s="115" t="s">
        <v>212</v>
      </c>
      <c r="H485" s="114" t="s">
        <v>213</v>
      </c>
      <c r="I485" s="114" t="s">
        <v>173</v>
      </c>
      <c r="J485" s="119">
        <v>0</v>
      </c>
      <c r="K485" s="117">
        <v>0</v>
      </c>
      <c r="L485" s="117">
        <v>0</v>
      </c>
      <c r="M485" s="117">
        <v>0</v>
      </c>
      <c r="N485" s="117">
        <v>0</v>
      </c>
      <c r="O485" s="117">
        <v>0</v>
      </c>
      <c r="P485" s="118">
        <v>0</v>
      </c>
      <c r="Q485" s="119">
        <v>0</v>
      </c>
      <c r="R485" s="119">
        <v>0</v>
      </c>
      <c r="S485" s="184" t="s">
        <v>59</v>
      </c>
    </row>
    <row r="486" spans="1:19">
      <c r="A486" s="111">
        <v>485</v>
      </c>
      <c r="B486" s="121">
        <v>44973</v>
      </c>
      <c r="C486" s="113">
        <f t="shared" si="2"/>
        <v>2023</v>
      </c>
      <c r="D486" s="114">
        <f t="shared" si="3"/>
        <v>2</v>
      </c>
      <c r="E486" s="114" t="s">
        <v>10</v>
      </c>
      <c r="F486" s="114" t="s">
        <v>214</v>
      </c>
      <c r="G486" s="115" t="s">
        <v>215</v>
      </c>
      <c r="H486" s="114" t="s">
        <v>216</v>
      </c>
      <c r="I486" s="114" t="s">
        <v>184</v>
      </c>
      <c r="J486" s="186">
        <v>4</v>
      </c>
      <c r="K486" s="187">
        <v>36</v>
      </c>
      <c r="L486" s="187">
        <v>29</v>
      </c>
      <c r="M486" s="187">
        <v>1.8</v>
      </c>
      <c r="N486" s="187">
        <v>422</v>
      </c>
      <c r="O486" s="187">
        <v>614</v>
      </c>
      <c r="P486" s="188">
        <v>0.25</v>
      </c>
      <c r="Q486" s="189">
        <v>1689</v>
      </c>
      <c r="R486" s="189">
        <v>2454</v>
      </c>
      <c r="S486" s="184" t="s">
        <v>59</v>
      </c>
    </row>
    <row r="487" spans="1:19">
      <c r="A487" s="111">
        <v>486</v>
      </c>
      <c r="B487" s="121">
        <v>44974</v>
      </c>
      <c r="C487" s="113">
        <f t="shared" si="2"/>
        <v>2023</v>
      </c>
      <c r="D487" s="114">
        <f t="shared" si="3"/>
        <v>2</v>
      </c>
      <c r="E487" s="114" t="s">
        <v>9</v>
      </c>
      <c r="F487" s="114" t="s">
        <v>217</v>
      </c>
      <c r="G487" s="115" t="s">
        <v>218</v>
      </c>
      <c r="H487" s="114" t="s">
        <v>219</v>
      </c>
      <c r="I487" s="114" t="s">
        <v>184</v>
      </c>
      <c r="J487" s="186">
        <v>5</v>
      </c>
      <c r="K487" s="187">
        <v>64</v>
      </c>
      <c r="L487" s="187">
        <v>32</v>
      </c>
      <c r="M487" s="187">
        <v>2.2000000000000002</v>
      </c>
      <c r="N487" s="187">
        <v>1782</v>
      </c>
      <c r="O487" s="187">
        <v>2787</v>
      </c>
      <c r="P487" s="188">
        <v>0.8</v>
      </c>
      <c r="Q487" s="189">
        <v>8912</v>
      </c>
      <c r="R487" s="189">
        <v>13935</v>
      </c>
      <c r="S487" s="184" t="s">
        <v>59</v>
      </c>
    </row>
    <row r="488" spans="1:19">
      <c r="A488" s="111">
        <v>487</v>
      </c>
      <c r="B488" s="121">
        <v>44975</v>
      </c>
      <c r="C488" s="113">
        <f t="shared" si="2"/>
        <v>2023</v>
      </c>
      <c r="D488" s="114">
        <f t="shared" si="3"/>
        <v>2</v>
      </c>
      <c r="E488" s="114" t="s">
        <v>11</v>
      </c>
      <c r="F488" s="114" t="s">
        <v>220</v>
      </c>
      <c r="G488" s="115" t="s">
        <v>221</v>
      </c>
      <c r="H488" s="114" t="s">
        <v>222</v>
      </c>
      <c r="I488" s="114" t="s">
        <v>184</v>
      </c>
      <c r="J488" s="186">
        <v>1</v>
      </c>
      <c r="K488" s="187">
        <v>29</v>
      </c>
      <c r="L488" s="187">
        <v>22</v>
      </c>
      <c r="M488" s="187">
        <v>1.4</v>
      </c>
      <c r="N488" s="187">
        <v>624</v>
      </c>
      <c r="O488" s="187">
        <v>968</v>
      </c>
      <c r="P488" s="188">
        <v>1</v>
      </c>
      <c r="Q488" s="186">
        <v>624</v>
      </c>
      <c r="R488" s="186">
        <v>968</v>
      </c>
      <c r="S488" s="184" t="s">
        <v>59</v>
      </c>
    </row>
    <row r="489" spans="1:19">
      <c r="A489" s="111">
        <v>488</v>
      </c>
      <c r="B489" s="121">
        <v>44976</v>
      </c>
      <c r="C489" s="113">
        <f t="shared" si="2"/>
        <v>2023</v>
      </c>
      <c r="D489" s="114">
        <f t="shared" si="3"/>
        <v>2</v>
      </c>
      <c r="E489" s="114" t="s">
        <v>11</v>
      </c>
      <c r="F489" s="114" t="s">
        <v>249</v>
      </c>
      <c r="G489" s="115" t="s">
        <v>250</v>
      </c>
      <c r="H489" s="114" t="s">
        <v>251</v>
      </c>
      <c r="I489" s="114" t="s">
        <v>184</v>
      </c>
      <c r="J489" s="119">
        <v>0</v>
      </c>
      <c r="K489" s="117">
        <v>0</v>
      </c>
      <c r="L489" s="117">
        <v>0</v>
      </c>
      <c r="M489" s="117">
        <v>0</v>
      </c>
      <c r="N489" s="117">
        <v>0</v>
      </c>
      <c r="O489" s="117">
        <v>0</v>
      </c>
      <c r="P489" s="118">
        <v>0</v>
      </c>
      <c r="Q489" s="119">
        <v>0</v>
      </c>
      <c r="R489" s="119">
        <v>0</v>
      </c>
      <c r="S489" s="184" t="s">
        <v>59</v>
      </c>
    </row>
    <row r="490" spans="1:19">
      <c r="A490" s="111">
        <v>489</v>
      </c>
      <c r="B490" s="121">
        <v>44977</v>
      </c>
      <c r="C490" s="113">
        <f t="shared" si="2"/>
        <v>2023</v>
      </c>
      <c r="D490" s="114">
        <f t="shared" si="3"/>
        <v>2</v>
      </c>
      <c r="E490" s="114" t="s">
        <v>91</v>
      </c>
      <c r="F490" s="114" t="s">
        <v>178</v>
      </c>
      <c r="G490" s="115" t="s">
        <v>179</v>
      </c>
      <c r="H490" s="114" t="s">
        <v>180</v>
      </c>
      <c r="I490" s="114" t="s">
        <v>173</v>
      </c>
      <c r="J490" s="186">
        <v>2</v>
      </c>
      <c r="K490" s="187">
        <v>50</v>
      </c>
      <c r="L490" s="187">
        <v>27</v>
      </c>
      <c r="M490" s="187">
        <v>2.1</v>
      </c>
      <c r="N490" s="187">
        <v>812</v>
      </c>
      <c r="O490" s="187">
        <v>1231</v>
      </c>
      <c r="P490" s="188">
        <v>1</v>
      </c>
      <c r="Q490" s="189">
        <v>1623</v>
      </c>
      <c r="R490" s="189">
        <v>2461</v>
      </c>
      <c r="S490" s="184" t="s">
        <v>59</v>
      </c>
    </row>
    <row r="491" spans="1:19">
      <c r="A491" s="111">
        <v>490</v>
      </c>
      <c r="B491" s="121">
        <v>44978</v>
      </c>
      <c r="C491" s="113">
        <f t="shared" si="2"/>
        <v>2023</v>
      </c>
      <c r="D491" s="114">
        <f t="shared" si="3"/>
        <v>2</v>
      </c>
      <c r="E491" s="114" t="s">
        <v>23</v>
      </c>
      <c r="F491" s="114" t="s">
        <v>223</v>
      </c>
      <c r="G491" s="115" t="s">
        <v>175</v>
      </c>
      <c r="H491" s="114" t="s">
        <v>176</v>
      </c>
      <c r="I491" s="114" t="s">
        <v>173</v>
      </c>
      <c r="J491" s="186">
        <v>4</v>
      </c>
      <c r="K491" s="187">
        <v>37</v>
      </c>
      <c r="L491" s="187">
        <v>29</v>
      </c>
      <c r="M491" s="187">
        <v>1.5</v>
      </c>
      <c r="N491" s="187">
        <v>324</v>
      </c>
      <c r="O491" s="187">
        <v>430</v>
      </c>
      <c r="P491" s="188">
        <v>1</v>
      </c>
      <c r="Q491" s="189">
        <v>1294</v>
      </c>
      <c r="R491" s="189">
        <v>1719</v>
      </c>
      <c r="S491" s="184" t="s">
        <v>59</v>
      </c>
    </row>
    <row r="492" spans="1:19">
      <c r="A492" s="111">
        <v>491</v>
      </c>
      <c r="B492" s="121">
        <v>44979</v>
      </c>
      <c r="C492" s="113">
        <f t="shared" si="2"/>
        <v>2023</v>
      </c>
      <c r="D492" s="114">
        <f t="shared" si="3"/>
        <v>2</v>
      </c>
      <c r="E492" s="114" t="s">
        <v>23</v>
      </c>
      <c r="F492" s="114" t="s">
        <v>224</v>
      </c>
      <c r="G492" s="115" t="s">
        <v>107</v>
      </c>
      <c r="H492" s="114" t="s">
        <v>107</v>
      </c>
      <c r="I492" s="114" t="s">
        <v>107</v>
      </c>
      <c r="J492" s="119">
        <v>0</v>
      </c>
      <c r="K492" s="117">
        <v>0</v>
      </c>
      <c r="L492" s="117">
        <v>0</v>
      </c>
      <c r="M492" s="117">
        <v>0</v>
      </c>
      <c r="N492" s="117">
        <v>0</v>
      </c>
      <c r="O492" s="117">
        <v>0</v>
      </c>
      <c r="P492" s="118">
        <v>0</v>
      </c>
      <c r="Q492" s="119">
        <v>0</v>
      </c>
      <c r="R492" s="119">
        <v>0</v>
      </c>
      <c r="S492" s="184" t="s">
        <v>59</v>
      </c>
    </row>
    <row r="493" spans="1:19">
      <c r="A493" s="111">
        <v>492</v>
      </c>
      <c r="B493" s="121">
        <v>44980</v>
      </c>
      <c r="C493" s="113">
        <f t="shared" si="2"/>
        <v>2023</v>
      </c>
      <c r="D493" s="114">
        <f t="shared" si="3"/>
        <v>2</v>
      </c>
      <c r="E493" s="114" t="s">
        <v>15</v>
      </c>
      <c r="F493" s="114" t="s">
        <v>225</v>
      </c>
      <c r="G493" s="115" t="s">
        <v>226</v>
      </c>
      <c r="H493" s="114" t="s">
        <v>227</v>
      </c>
      <c r="I493" s="114" t="s">
        <v>173</v>
      </c>
      <c r="J493" s="186">
        <v>5</v>
      </c>
      <c r="K493" s="187">
        <v>44</v>
      </c>
      <c r="L493" s="187">
        <v>24</v>
      </c>
      <c r="M493" s="187">
        <v>1.9</v>
      </c>
      <c r="N493" s="187">
        <v>891</v>
      </c>
      <c r="O493" s="187">
        <v>1274</v>
      </c>
      <c r="P493" s="188">
        <v>0.8</v>
      </c>
      <c r="Q493" s="189">
        <v>4455</v>
      </c>
      <c r="R493" s="189">
        <v>6372</v>
      </c>
      <c r="S493" s="184" t="s">
        <v>59</v>
      </c>
    </row>
    <row r="494" spans="1:19">
      <c r="A494" s="111">
        <v>493</v>
      </c>
      <c r="B494" s="121">
        <v>44981</v>
      </c>
      <c r="C494" s="113">
        <f t="shared" si="2"/>
        <v>2023</v>
      </c>
      <c r="D494" s="114">
        <f t="shared" si="3"/>
        <v>2</v>
      </c>
      <c r="E494" s="114" t="s">
        <v>84</v>
      </c>
      <c r="F494" s="114" t="s">
        <v>228</v>
      </c>
      <c r="G494" s="115" t="s">
        <v>229</v>
      </c>
      <c r="H494" s="114" t="s">
        <v>230</v>
      </c>
      <c r="I494" s="114" t="s">
        <v>184</v>
      </c>
      <c r="J494" s="186">
        <v>4</v>
      </c>
      <c r="K494" s="187">
        <v>27</v>
      </c>
      <c r="L494" s="187">
        <v>23</v>
      </c>
      <c r="M494" s="187">
        <v>1.5</v>
      </c>
      <c r="N494" s="187">
        <v>359</v>
      </c>
      <c r="O494" s="187">
        <v>504</v>
      </c>
      <c r="P494" s="188">
        <v>1</v>
      </c>
      <c r="Q494" s="189">
        <v>1437</v>
      </c>
      <c r="R494" s="189">
        <v>2015</v>
      </c>
      <c r="S494" s="184" t="s">
        <v>59</v>
      </c>
    </row>
    <row r="495" spans="1:19">
      <c r="A495" s="111">
        <v>494</v>
      </c>
      <c r="B495" s="121">
        <v>44982</v>
      </c>
      <c r="C495" s="113">
        <f t="shared" si="2"/>
        <v>2023</v>
      </c>
      <c r="D495" s="114">
        <f t="shared" si="3"/>
        <v>2</v>
      </c>
      <c r="E495" s="114" t="s">
        <v>84</v>
      </c>
      <c r="F495" s="114" t="s">
        <v>231</v>
      </c>
      <c r="G495" s="115" t="s">
        <v>232</v>
      </c>
      <c r="H495" s="114" t="s">
        <v>233</v>
      </c>
      <c r="I495" s="114" t="s">
        <v>184</v>
      </c>
      <c r="J495" s="186">
        <v>3</v>
      </c>
      <c r="K495" s="187">
        <v>15</v>
      </c>
      <c r="L495" s="187">
        <v>23</v>
      </c>
      <c r="M495" s="187">
        <v>1.3</v>
      </c>
      <c r="N495" s="187">
        <v>68</v>
      </c>
      <c r="O495" s="187">
        <v>97</v>
      </c>
      <c r="P495" s="188">
        <v>0</v>
      </c>
      <c r="Q495" s="186">
        <v>205</v>
      </c>
      <c r="R495" s="186">
        <v>291</v>
      </c>
      <c r="S495" s="184" t="s">
        <v>59</v>
      </c>
    </row>
    <row r="496" spans="1:19">
      <c r="A496" s="111">
        <v>495</v>
      </c>
      <c r="B496" s="121">
        <v>44983</v>
      </c>
      <c r="C496" s="113">
        <f t="shared" si="2"/>
        <v>2023</v>
      </c>
      <c r="D496" s="114">
        <f t="shared" si="3"/>
        <v>2</v>
      </c>
      <c r="E496" s="114" t="s">
        <v>84</v>
      </c>
      <c r="F496" s="114" t="s">
        <v>249</v>
      </c>
      <c r="G496" s="125" t="s">
        <v>250</v>
      </c>
      <c r="H496" s="185" t="s">
        <v>251</v>
      </c>
      <c r="I496" s="185"/>
      <c r="J496" s="119">
        <v>0</v>
      </c>
      <c r="K496" s="117">
        <v>0</v>
      </c>
      <c r="L496" s="117">
        <v>0</v>
      </c>
      <c r="M496" s="117">
        <v>0</v>
      </c>
      <c r="N496" s="117">
        <v>0</v>
      </c>
      <c r="O496" s="117">
        <v>0</v>
      </c>
      <c r="P496" s="118">
        <v>0</v>
      </c>
      <c r="Q496" s="119">
        <v>0</v>
      </c>
      <c r="R496" s="119">
        <v>0</v>
      </c>
      <c r="S496" s="184" t="s">
        <v>59</v>
      </c>
    </row>
    <row r="497" spans="1:19">
      <c r="A497" s="111">
        <v>496</v>
      </c>
      <c r="B497" s="121">
        <v>44984</v>
      </c>
      <c r="C497" s="113">
        <f t="shared" si="2"/>
        <v>2023</v>
      </c>
      <c r="D497" s="114">
        <f t="shared" si="3"/>
        <v>2</v>
      </c>
      <c r="E497" s="114" t="s">
        <v>22</v>
      </c>
      <c r="F497" s="114" t="s">
        <v>174</v>
      </c>
      <c r="G497" s="115" t="s">
        <v>175</v>
      </c>
      <c r="H497" s="114" t="s">
        <v>176</v>
      </c>
      <c r="I497" s="114" t="s">
        <v>173</v>
      </c>
      <c r="J497" s="186">
        <v>4</v>
      </c>
      <c r="K497" s="187">
        <v>81</v>
      </c>
      <c r="L497" s="187">
        <v>35</v>
      </c>
      <c r="M497" s="187">
        <v>2.5</v>
      </c>
      <c r="N497" s="187">
        <v>2090</v>
      </c>
      <c r="O497" s="187">
        <v>3228</v>
      </c>
      <c r="P497" s="188">
        <v>0.75</v>
      </c>
      <c r="Q497" s="189">
        <v>8361</v>
      </c>
      <c r="R497" s="189">
        <v>12911</v>
      </c>
      <c r="S497" s="184" t="s">
        <v>59</v>
      </c>
    </row>
    <row r="498" spans="1:19">
      <c r="A498" s="111">
        <v>497</v>
      </c>
      <c r="B498" s="121">
        <v>44985</v>
      </c>
      <c r="C498" s="113">
        <f t="shared" si="2"/>
        <v>2023</v>
      </c>
      <c r="D498" s="114">
        <f t="shared" si="3"/>
        <v>2</v>
      </c>
      <c r="E498" s="114" t="s">
        <v>22</v>
      </c>
      <c r="F498" s="114" t="s">
        <v>177</v>
      </c>
      <c r="G498" s="115" t="s">
        <v>175</v>
      </c>
      <c r="H498" s="114" t="s">
        <v>176</v>
      </c>
      <c r="I498" s="114" t="s">
        <v>173</v>
      </c>
      <c r="J498" s="119">
        <v>0</v>
      </c>
      <c r="K498" s="117">
        <v>0</v>
      </c>
      <c r="L498" s="117">
        <v>0</v>
      </c>
      <c r="M498" s="117">
        <v>0</v>
      </c>
      <c r="N498" s="117">
        <v>0</v>
      </c>
      <c r="O498" s="117">
        <v>0</v>
      </c>
      <c r="P498" s="118">
        <v>0</v>
      </c>
      <c r="Q498" s="119">
        <v>0</v>
      </c>
      <c r="R498" s="119">
        <v>0</v>
      </c>
      <c r="S498" s="184" t="s">
        <v>59</v>
      </c>
    </row>
    <row r="499" spans="1:19">
      <c r="A499" s="111">
        <v>498</v>
      </c>
      <c r="B499" s="121">
        <v>44958</v>
      </c>
      <c r="C499" s="113">
        <f t="shared" si="2"/>
        <v>2023</v>
      </c>
      <c r="D499" s="114">
        <f t="shared" si="3"/>
        <v>2</v>
      </c>
      <c r="E499" s="114" t="s">
        <v>22</v>
      </c>
      <c r="F499" s="114" t="s">
        <v>223</v>
      </c>
      <c r="G499" s="115" t="s">
        <v>175</v>
      </c>
      <c r="H499" s="114" t="s">
        <v>176</v>
      </c>
      <c r="I499" s="114" t="s">
        <v>173</v>
      </c>
      <c r="J499" s="119">
        <v>0</v>
      </c>
      <c r="K499" s="117">
        <v>0</v>
      </c>
      <c r="L499" s="117">
        <v>0</v>
      </c>
      <c r="M499" s="117">
        <v>0</v>
      </c>
      <c r="N499" s="117">
        <v>0</v>
      </c>
      <c r="O499" s="117">
        <v>0</v>
      </c>
      <c r="P499" s="118">
        <v>0</v>
      </c>
      <c r="Q499" s="119">
        <v>0</v>
      </c>
      <c r="R499" s="119">
        <v>0</v>
      </c>
      <c r="S499" s="184" t="s">
        <v>59</v>
      </c>
    </row>
    <row r="500" spans="1:19">
      <c r="A500" s="111">
        <v>499</v>
      </c>
      <c r="B500" s="121">
        <v>44959</v>
      </c>
      <c r="C500" s="113">
        <f t="shared" si="2"/>
        <v>2023</v>
      </c>
      <c r="D500" s="114">
        <f t="shared" si="3"/>
        <v>2</v>
      </c>
      <c r="E500" s="114" t="s">
        <v>12</v>
      </c>
      <c r="F500" s="114" t="s">
        <v>220</v>
      </c>
      <c r="G500" s="115" t="s">
        <v>221</v>
      </c>
      <c r="H500" s="114" t="s">
        <v>222</v>
      </c>
      <c r="I500" s="114" t="s">
        <v>184</v>
      </c>
      <c r="J500" s="186">
        <v>2</v>
      </c>
      <c r="K500" s="187">
        <v>37</v>
      </c>
      <c r="L500" s="187">
        <v>25</v>
      </c>
      <c r="M500" s="187">
        <v>1.3</v>
      </c>
      <c r="N500" s="187">
        <v>526</v>
      </c>
      <c r="O500" s="187">
        <v>787</v>
      </c>
      <c r="P500" s="188">
        <v>0.5</v>
      </c>
      <c r="Q500" s="189">
        <v>1051</v>
      </c>
      <c r="R500" s="189">
        <v>1573</v>
      </c>
      <c r="S500" s="184" t="s">
        <v>59</v>
      </c>
    </row>
    <row r="501" spans="1:19">
      <c r="A501" s="111">
        <v>500</v>
      </c>
      <c r="B501" s="121">
        <v>44960</v>
      </c>
      <c r="C501" s="113">
        <f t="shared" si="2"/>
        <v>2023</v>
      </c>
      <c r="D501" s="114">
        <f t="shared" si="3"/>
        <v>2</v>
      </c>
      <c r="E501" s="114" t="s">
        <v>12</v>
      </c>
      <c r="F501" s="114" t="s">
        <v>234</v>
      </c>
      <c r="G501" s="115" t="s">
        <v>235</v>
      </c>
      <c r="H501" s="114" t="s">
        <v>236</v>
      </c>
      <c r="I501" s="114" t="s">
        <v>184</v>
      </c>
      <c r="J501" s="186">
        <v>4</v>
      </c>
      <c r="K501" s="187">
        <v>40</v>
      </c>
      <c r="L501" s="187">
        <v>21</v>
      </c>
      <c r="M501" s="187">
        <v>2.1</v>
      </c>
      <c r="N501" s="187">
        <v>894</v>
      </c>
      <c r="O501" s="187">
        <v>1455</v>
      </c>
      <c r="P501" s="188">
        <v>1</v>
      </c>
      <c r="Q501" s="189">
        <v>3576</v>
      </c>
      <c r="R501" s="189">
        <v>5820</v>
      </c>
      <c r="S501" s="184" t="s">
        <v>59</v>
      </c>
    </row>
    <row r="502" spans="1:19">
      <c r="A502" s="111">
        <v>501</v>
      </c>
      <c r="B502" s="121">
        <v>44961</v>
      </c>
      <c r="C502" s="113">
        <f t="shared" si="2"/>
        <v>2023</v>
      </c>
      <c r="D502" s="114">
        <f t="shared" si="3"/>
        <v>2</v>
      </c>
      <c r="E502" s="114" t="s">
        <v>12</v>
      </c>
      <c r="F502" s="114" t="s">
        <v>237</v>
      </c>
      <c r="G502" s="115" t="s">
        <v>199</v>
      </c>
      <c r="H502" s="114" t="s">
        <v>199</v>
      </c>
      <c r="I502" s="114" t="s">
        <v>200</v>
      </c>
      <c r="J502" s="119">
        <v>0</v>
      </c>
      <c r="K502" s="117">
        <v>0</v>
      </c>
      <c r="L502" s="117">
        <v>0</v>
      </c>
      <c r="M502" s="117">
        <v>0</v>
      </c>
      <c r="N502" s="117">
        <v>0</v>
      </c>
      <c r="O502" s="117">
        <v>0</v>
      </c>
      <c r="P502" s="118">
        <v>0</v>
      </c>
      <c r="Q502" s="119">
        <v>0</v>
      </c>
      <c r="R502" s="119">
        <v>0</v>
      </c>
      <c r="S502" s="184" t="s">
        <v>59</v>
      </c>
    </row>
    <row r="503" spans="1:19">
      <c r="A503" s="111">
        <v>502</v>
      </c>
      <c r="B503" s="121">
        <v>44962</v>
      </c>
      <c r="C503" s="113">
        <f t="shared" si="2"/>
        <v>2023</v>
      </c>
      <c r="D503" s="114">
        <f t="shared" si="3"/>
        <v>2</v>
      </c>
      <c r="E503" s="114" t="s">
        <v>12</v>
      </c>
      <c r="F503" s="114" t="s">
        <v>252</v>
      </c>
      <c r="G503" s="115" t="s">
        <v>253</v>
      </c>
      <c r="H503" s="114" t="s">
        <v>254</v>
      </c>
      <c r="I503" s="114" t="s">
        <v>184</v>
      </c>
      <c r="J503" s="119">
        <v>0</v>
      </c>
      <c r="K503" s="117">
        <v>0</v>
      </c>
      <c r="L503" s="117">
        <v>0</v>
      </c>
      <c r="M503" s="117">
        <v>0</v>
      </c>
      <c r="N503" s="117">
        <v>0</v>
      </c>
      <c r="O503" s="117">
        <v>0</v>
      </c>
      <c r="P503" s="118">
        <v>0</v>
      </c>
      <c r="Q503" s="119">
        <v>0</v>
      </c>
      <c r="R503" s="119">
        <v>0</v>
      </c>
      <c r="S503" s="184" t="s">
        <v>59</v>
      </c>
    </row>
    <row r="504" spans="1:19">
      <c r="A504" s="111">
        <v>503</v>
      </c>
      <c r="B504" s="121">
        <v>44963</v>
      </c>
      <c r="C504" s="113">
        <f t="shared" si="2"/>
        <v>2023</v>
      </c>
      <c r="D504" s="114">
        <f t="shared" si="3"/>
        <v>2</v>
      </c>
      <c r="E504" s="114" t="s">
        <v>26</v>
      </c>
      <c r="F504" s="114" t="s">
        <v>238</v>
      </c>
      <c r="G504" s="115" t="s">
        <v>175</v>
      </c>
      <c r="H504" s="114" t="s">
        <v>176</v>
      </c>
      <c r="I504" s="114" t="s">
        <v>173</v>
      </c>
      <c r="J504" s="119">
        <v>0</v>
      </c>
      <c r="K504" s="117">
        <v>0</v>
      </c>
      <c r="L504" s="117">
        <v>0</v>
      </c>
      <c r="M504" s="117">
        <v>0</v>
      </c>
      <c r="N504" s="117">
        <v>0</v>
      </c>
      <c r="O504" s="117">
        <v>0</v>
      </c>
      <c r="P504" s="118">
        <v>0</v>
      </c>
      <c r="Q504" s="119">
        <v>0</v>
      </c>
      <c r="R504" s="119">
        <v>0</v>
      </c>
      <c r="S504" s="184" t="s">
        <v>59</v>
      </c>
    </row>
    <row r="505" spans="1:19">
      <c r="A505" s="111">
        <v>504</v>
      </c>
      <c r="B505" s="121">
        <v>44964</v>
      </c>
      <c r="C505" s="113">
        <f t="shared" si="2"/>
        <v>2023</v>
      </c>
      <c r="D505" s="114">
        <f t="shared" si="3"/>
        <v>2</v>
      </c>
      <c r="E505" s="114" t="s">
        <v>19</v>
      </c>
      <c r="F505" s="114" t="s">
        <v>178</v>
      </c>
      <c r="G505" s="115" t="s">
        <v>179</v>
      </c>
      <c r="H505" s="114" t="s">
        <v>180</v>
      </c>
      <c r="I505" s="114" t="s">
        <v>173</v>
      </c>
      <c r="J505" s="186">
        <v>1</v>
      </c>
      <c r="K505" s="187">
        <v>54</v>
      </c>
      <c r="L505" s="187">
        <v>27</v>
      </c>
      <c r="M505" s="187">
        <v>2.2000000000000002</v>
      </c>
      <c r="N505" s="187">
        <v>811</v>
      </c>
      <c r="O505" s="187">
        <v>1245</v>
      </c>
      <c r="P505" s="188">
        <v>1</v>
      </c>
      <c r="Q505" s="186">
        <v>811</v>
      </c>
      <c r="R505" s="189">
        <v>1245</v>
      </c>
      <c r="S505" s="184" t="s">
        <v>59</v>
      </c>
    </row>
    <row r="506" spans="1:19">
      <c r="A506" s="111">
        <v>505</v>
      </c>
      <c r="B506" s="121">
        <v>44965</v>
      </c>
      <c r="C506" s="113">
        <f t="shared" si="2"/>
        <v>2023</v>
      </c>
      <c r="D506" s="114">
        <f t="shared" si="3"/>
        <v>2</v>
      </c>
      <c r="E506" s="114" t="s">
        <v>7</v>
      </c>
      <c r="F506" s="114" t="s">
        <v>239</v>
      </c>
      <c r="G506" s="115" t="s">
        <v>240</v>
      </c>
      <c r="H506" s="114" t="s">
        <v>241</v>
      </c>
      <c r="I506" s="114" t="s">
        <v>184</v>
      </c>
      <c r="J506" s="186">
        <v>3</v>
      </c>
      <c r="K506" s="187">
        <v>50</v>
      </c>
      <c r="L506" s="187">
        <v>33</v>
      </c>
      <c r="M506" s="187">
        <v>1.9</v>
      </c>
      <c r="N506" s="187">
        <v>736</v>
      </c>
      <c r="O506" s="187">
        <v>1018</v>
      </c>
      <c r="P506" s="188">
        <v>0.33</v>
      </c>
      <c r="Q506" s="189">
        <v>2209</v>
      </c>
      <c r="R506" s="189">
        <v>3053</v>
      </c>
      <c r="S506" s="184" t="s">
        <v>59</v>
      </c>
    </row>
    <row r="507" spans="1:19">
      <c r="A507" s="111">
        <v>506</v>
      </c>
      <c r="B507" s="121">
        <v>44966</v>
      </c>
      <c r="C507" s="113">
        <f t="shared" si="2"/>
        <v>2023</v>
      </c>
      <c r="D507" s="114">
        <f t="shared" si="3"/>
        <v>2</v>
      </c>
      <c r="E507" s="114" t="s">
        <v>7</v>
      </c>
      <c r="F507" s="114" t="s">
        <v>220</v>
      </c>
      <c r="G507" s="115" t="s">
        <v>221</v>
      </c>
      <c r="H507" s="114" t="s">
        <v>222</v>
      </c>
      <c r="I507" s="114" t="s">
        <v>184</v>
      </c>
      <c r="J507" s="186">
        <v>1</v>
      </c>
      <c r="K507" s="187">
        <v>39</v>
      </c>
      <c r="L507" s="187">
        <v>27</v>
      </c>
      <c r="M507" s="187">
        <v>1.7</v>
      </c>
      <c r="N507" s="187">
        <v>500</v>
      </c>
      <c r="O507" s="187">
        <v>724</v>
      </c>
      <c r="P507" s="188">
        <v>0</v>
      </c>
      <c r="Q507" s="186">
        <v>500</v>
      </c>
      <c r="R507" s="186">
        <v>724</v>
      </c>
      <c r="S507" s="184" t="s">
        <v>59</v>
      </c>
    </row>
    <row r="508" spans="1:19">
      <c r="A508" s="111">
        <v>507</v>
      </c>
      <c r="B508" s="121">
        <v>44967</v>
      </c>
      <c r="C508" s="113">
        <f t="shared" si="2"/>
        <v>2023</v>
      </c>
      <c r="D508" s="114">
        <f t="shared" si="3"/>
        <v>2</v>
      </c>
      <c r="E508" s="114" t="s">
        <v>7</v>
      </c>
      <c r="F508" s="114" t="s">
        <v>242</v>
      </c>
      <c r="G508" s="115" t="s">
        <v>243</v>
      </c>
      <c r="H508" s="114" t="s">
        <v>244</v>
      </c>
      <c r="I508" s="114" t="s">
        <v>184</v>
      </c>
      <c r="J508" s="186">
        <v>3</v>
      </c>
      <c r="K508" s="187">
        <v>60</v>
      </c>
      <c r="L508" s="187">
        <v>31</v>
      </c>
      <c r="M508" s="187">
        <v>2.1</v>
      </c>
      <c r="N508" s="187">
        <v>1056</v>
      </c>
      <c r="O508" s="187">
        <v>1672</v>
      </c>
      <c r="P508" s="188">
        <v>0.33</v>
      </c>
      <c r="Q508" s="189">
        <v>3169</v>
      </c>
      <c r="R508" s="189">
        <v>5015</v>
      </c>
      <c r="S508" s="184" t="s">
        <v>59</v>
      </c>
    </row>
    <row r="509" spans="1:19">
      <c r="A509" s="111">
        <v>508</v>
      </c>
      <c r="B509" s="121">
        <v>44968</v>
      </c>
      <c r="C509" s="113">
        <f t="shared" si="2"/>
        <v>2023</v>
      </c>
      <c r="D509" s="114">
        <f t="shared" si="3"/>
        <v>2</v>
      </c>
      <c r="E509" s="114" t="s">
        <v>7</v>
      </c>
      <c r="F509" s="114" t="s">
        <v>255</v>
      </c>
      <c r="G509" s="115" t="s">
        <v>256</v>
      </c>
      <c r="H509" s="114" t="s">
        <v>257</v>
      </c>
      <c r="I509" s="114" t="s">
        <v>173</v>
      </c>
      <c r="J509" s="119">
        <v>0</v>
      </c>
      <c r="K509" s="117">
        <v>0</v>
      </c>
      <c r="L509" s="117">
        <v>0</v>
      </c>
      <c r="M509" s="117">
        <v>0</v>
      </c>
      <c r="N509" s="117">
        <v>0</v>
      </c>
      <c r="O509" s="117">
        <v>0</v>
      </c>
      <c r="P509" s="118">
        <v>0</v>
      </c>
      <c r="Q509" s="119">
        <v>0</v>
      </c>
      <c r="R509" s="119">
        <v>0</v>
      </c>
      <c r="S509" s="184" t="s">
        <v>59</v>
      </c>
    </row>
    <row r="510" spans="1:19">
      <c r="A510" s="111">
        <v>509</v>
      </c>
      <c r="B510" s="121">
        <v>44969</v>
      </c>
      <c r="C510" s="113">
        <f t="shared" si="2"/>
        <v>2023</v>
      </c>
      <c r="D510" s="114">
        <f t="shared" si="3"/>
        <v>2</v>
      </c>
      <c r="E510" s="114" t="s">
        <v>7</v>
      </c>
      <c r="F510" s="114" t="s">
        <v>258</v>
      </c>
      <c r="G510" s="115" t="s">
        <v>256</v>
      </c>
      <c r="H510" s="114" t="s">
        <v>257</v>
      </c>
      <c r="I510" s="114" t="s">
        <v>200</v>
      </c>
      <c r="J510" s="186">
        <v>3</v>
      </c>
      <c r="K510" s="187">
        <v>40</v>
      </c>
      <c r="L510" s="187">
        <v>27</v>
      </c>
      <c r="M510" s="187">
        <v>1.6</v>
      </c>
      <c r="N510" s="187">
        <v>770</v>
      </c>
      <c r="O510" s="187">
        <v>1189</v>
      </c>
      <c r="P510" s="188">
        <v>1</v>
      </c>
      <c r="Q510" s="189">
        <v>2311</v>
      </c>
      <c r="R510" s="189">
        <v>3568</v>
      </c>
      <c r="S510" s="184" t="s">
        <v>59</v>
      </c>
    </row>
    <row r="511" spans="1:19">
      <c r="A511" s="111">
        <v>510</v>
      </c>
      <c r="B511" s="121">
        <v>44970</v>
      </c>
      <c r="C511" s="113">
        <f t="shared" si="2"/>
        <v>2023</v>
      </c>
      <c r="D511" s="114">
        <f t="shared" si="3"/>
        <v>2</v>
      </c>
      <c r="E511" s="114" t="s">
        <v>24</v>
      </c>
      <c r="F511" s="114" t="s">
        <v>259</v>
      </c>
      <c r="G511" s="115" t="s">
        <v>260</v>
      </c>
      <c r="H511" s="114" t="s">
        <v>261</v>
      </c>
      <c r="I511" s="114" t="s">
        <v>184</v>
      </c>
      <c r="J511" s="186">
        <v>1</v>
      </c>
      <c r="K511" s="187">
        <v>8</v>
      </c>
      <c r="L511" s="187">
        <v>20</v>
      </c>
      <c r="M511" s="187">
        <v>1.3</v>
      </c>
      <c r="N511" s="187">
        <v>37</v>
      </c>
      <c r="O511" s="187">
        <v>59</v>
      </c>
      <c r="P511" s="188">
        <v>0</v>
      </c>
      <c r="Q511" s="186">
        <v>37</v>
      </c>
      <c r="R511" s="186">
        <v>59</v>
      </c>
      <c r="S511" s="184" t="s">
        <v>59</v>
      </c>
    </row>
    <row r="512" spans="1:19">
      <c r="A512" s="111">
        <v>511</v>
      </c>
      <c r="B512" s="121">
        <v>44971</v>
      </c>
      <c r="C512" s="113">
        <f t="shared" ref="C512:C766" si="4">YEAR(B512)</f>
        <v>2023</v>
      </c>
      <c r="D512" s="114">
        <f t="shared" ref="D512:D766" si="5">MONTH(B512)</f>
        <v>2</v>
      </c>
      <c r="E512" s="114" t="s">
        <v>24</v>
      </c>
      <c r="F512" s="114" t="s">
        <v>262</v>
      </c>
      <c r="G512" s="115" t="s">
        <v>263</v>
      </c>
      <c r="H512" s="114" t="s">
        <v>264</v>
      </c>
      <c r="I512" s="114" t="s">
        <v>184</v>
      </c>
      <c r="J512" s="186">
        <v>3</v>
      </c>
      <c r="K512" s="187">
        <v>10</v>
      </c>
      <c r="L512" s="187">
        <v>20</v>
      </c>
      <c r="M512" s="187">
        <v>0.8</v>
      </c>
      <c r="N512" s="187">
        <v>61</v>
      </c>
      <c r="O512" s="187">
        <v>97</v>
      </c>
      <c r="P512" s="188">
        <v>0.67</v>
      </c>
      <c r="Q512" s="186">
        <v>182</v>
      </c>
      <c r="R512" s="186">
        <v>291</v>
      </c>
      <c r="S512" s="184" t="s">
        <v>59</v>
      </c>
    </row>
    <row r="513" spans="1:19">
      <c r="A513" s="111">
        <v>512</v>
      </c>
      <c r="B513" s="121">
        <v>44972</v>
      </c>
      <c r="C513" s="113">
        <f t="shared" si="4"/>
        <v>2023</v>
      </c>
      <c r="D513" s="114">
        <f t="shared" si="5"/>
        <v>2</v>
      </c>
      <c r="E513" s="114" t="s">
        <v>28</v>
      </c>
      <c r="F513" s="114" t="s">
        <v>265</v>
      </c>
      <c r="G513" s="115" t="s">
        <v>266</v>
      </c>
      <c r="H513" s="114" t="s">
        <v>267</v>
      </c>
      <c r="I513" s="114" t="s">
        <v>184</v>
      </c>
      <c r="J513" s="119">
        <v>0</v>
      </c>
      <c r="K513" s="117">
        <v>0</v>
      </c>
      <c r="L513" s="117">
        <v>0</v>
      </c>
      <c r="M513" s="117">
        <v>0</v>
      </c>
      <c r="N513" s="117">
        <v>0</v>
      </c>
      <c r="O513" s="117">
        <v>0</v>
      </c>
      <c r="P513" s="118">
        <v>0</v>
      </c>
      <c r="Q513" s="119">
        <v>0</v>
      </c>
      <c r="R513" s="119">
        <v>0</v>
      </c>
      <c r="S513" s="184" t="s">
        <v>59</v>
      </c>
    </row>
    <row r="514" spans="1:19">
      <c r="A514" s="111">
        <v>513</v>
      </c>
      <c r="B514" s="121">
        <v>44973</v>
      </c>
      <c r="C514" s="113">
        <f t="shared" si="4"/>
        <v>2023</v>
      </c>
      <c r="D514" s="114">
        <f t="shared" si="5"/>
        <v>2</v>
      </c>
      <c r="E514" s="114" t="s">
        <v>93</v>
      </c>
      <c r="F514" s="114" t="s">
        <v>265</v>
      </c>
      <c r="G514" s="115" t="s">
        <v>266</v>
      </c>
      <c r="H514" s="114" t="s">
        <v>267</v>
      </c>
      <c r="I514" s="114" t="s">
        <v>184</v>
      </c>
      <c r="J514" s="119">
        <v>0</v>
      </c>
      <c r="K514" s="117">
        <v>0</v>
      </c>
      <c r="L514" s="117">
        <v>0</v>
      </c>
      <c r="M514" s="117">
        <v>0</v>
      </c>
      <c r="N514" s="117">
        <v>0</v>
      </c>
      <c r="O514" s="117">
        <v>0</v>
      </c>
      <c r="P514" s="118">
        <v>0</v>
      </c>
      <c r="Q514" s="119">
        <v>0</v>
      </c>
      <c r="R514" s="119">
        <v>0</v>
      </c>
      <c r="S514" s="184" t="s">
        <v>59</v>
      </c>
    </row>
    <row r="515" spans="1:19">
      <c r="A515" s="111">
        <v>514</v>
      </c>
      <c r="B515" s="121">
        <v>44974</v>
      </c>
      <c r="C515" s="113">
        <f t="shared" si="4"/>
        <v>2023</v>
      </c>
      <c r="D515" s="114">
        <f t="shared" si="5"/>
        <v>2</v>
      </c>
      <c r="E515" s="114" t="s">
        <v>10</v>
      </c>
      <c r="F515" s="114" t="s">
        <v>268</v>
      </c>
      <c r="G515" s="115" t="s">
        <v>269</v>
      </c>
      <c r="H515" s="114" t="s">
        <v>270</v>
      </c>
      <c r="I515" s="114" t="s">
        <v>184</v>
      </c>
      <c r="J515" s="119">
        <v>0</v>
      </c>
      <c r="K515" s="117">
        <v>0</v>
      </c>
      <c r="L515" s="117">
        <v>0</v>
      </c>
      <c r="M515" s="117">
        <v>0</v>
      </c>
      <c r="N515" s="117">
        <v>0</v>
      </c>
      <c r="O515" s="117">
        <v>0</v>
      </c>
      <c r="P515" s="118">
        <v>0</v>
      </c>
      <c r="Q515" s="119">
        <v>0</v>
      </c>
      <c r="R515" s="119">
        <v>0</v>
      </c>
      <c r="S515" s="184" t="s">
        <v>59</v>
      </c>
    </row>
    <row r="516" spans="1:19">
      <c r="A516" s="111">
        <v>515</v>
      </c>
      <c r="B516" s="121">
        <v>44975</v>
      </c>
      <c r="C516" s="113">
        <f t="shared" si="4"/>
        <v>2023</v>
      </c>
      <c r="D516" s="114">
        <f t="shared" si="5"/>
        <v>2</v>
      </c>
      <c r="E516" s="114" t="s">
        <v>32</v>
      </c>
      <c r="F516" s="114" t="s">
        <v>249</v>
      </c>
      <c r="G516" s="115" t="s">
        <v>250</v>
      </c>
      <c r="H516" s="114" t="s">
        <v>251</v>
      </c>
      <c r="I516" s="114" t="s">
        <v>184</v>
      </c>
      <c r="J516" s="119">
        <v>0</v>
      </c>
      <c r="K516" s="117">
        <v>0</v>
      </c>
      <c r="L516" s="117">
        <v>0</v>
      </c>
      <c r="M516" s="117">
        <v>0</v>
      </c>
      <c r="N516" s="117">
        <v>0</v>
      </c>
      <c r="O516" s="117">
        <v>0</v>
      </c>
      <c r="P516" s="118">
        <v>0</v>
      </c>
      <c r="Q516" s="119">
        <v>0</v>
      </c>
      <c r="R516" s="119">
        <v>0</v>
      </c>
      <c r="S516" s="184" t="s">
        <v>59</v>
      </c>
    </row>
    <row r="517" spans="1:19">
      <c r="A517" s="111">
        <v>516</v>
      </c>
      <c r="B517" s="121">
        <v>44976</v>
      </c>
      <c r="C517" s="113">
        <f t="shared" si="4"/>
        <v>2023</v>
      </c>
      <c r="D517" s="114">
        <f t="shared" si="5"/>
        <v>2</v>
      </c>
      <c r="E517" s="114" t="s">
        <v>79</v>
      </c>
      <c r="F517" s="114" t="s">
        <v>255</v>
      </c>
      <c r="G517" s="115" t="s">
        <v>256</v>
      </c>
      <c r="H517" s="114" t="s">
        <v>257</v>
      </c>
      <c r="I517" s="114" t="s">
        <v>173</v>
      </c>
      <c r="J517" s="119">
        <v>0</v>
      </c>
      <c r="K517" s="117">
        <v>0</v>
      </c>
      <c r="L517" s="117">
        <v>0</v>
      </c>
      <c r="M517" s="117">
        <v>0</v>
      </c>
      <c r="N517" s="117">
        <v>0</v>
      </c>
      <c r="O517" s="117">
        <v>0</v>
      </c>
      <c r="P517" s="118">
        <v>0</v>
      </c>
      <c r="Q517" s="119">
        <v>0</v>
      </c>
      <c r="R517" s="119">
        <v>0</v>
      </c>
      <c r="S517" s="184" t="s">
        <v>59</v>
      </c>
    </row>
    <row r="518" spans="1:19">
      <c r="A518" s="111">
        <v>517</v>
      </c>
      <c r="B518" s="121">
        <v>44977</v>
      </c>
      <c r="C518" s="113">
        <f t="shared" si="4"/>
        <v>2023</v>
      </c>
      <c r="D518" s="114">
        <f t="shared" si="5"/>
        <v>2</v>
      </c>
      <c r="E518" s="114" t="s">
        <v>101</v>
      </c>
      <c r="F518" s="114" t="s">
        <v>249</v>
      </c>
      <c r="G518" s="115" t="s">
        <v>250</v>
      </c>
      <c r="H518" s="114" t="s">
        <v>251</v>
      </c>
      <c r="I518" s="114" t="s">
        <v>184</v>
      </c>
      <c r="J518" s="119">
        <v>0</v>
      </c>
      <c r="K518" s="117">
        <v>0</v>
      </c>
      <c r="L518" s="117">
        <v>0</v>
      </c>
      <c r="M518" s="117">
        <v>0</v>
      </c>
      <c r="N518" s="117">
        <v>0</v>
      </c>
      <c r="O518" s="117">
        <v>0</v>
      </c>
      <c r="P518" s="118">
        <v>0</v>
      </c>
      <c r="Q518" s="119">
        <v>0</v>
      </c>
      <c r="R518" s="119">
        <v>0</v>
      </c>
      <c r="S518" s="184" t="s">
        <v>59</v>
      </c>
    </row>
    <row r="519" spans="1:19">
      <c r="A519" s="111">
        <v>518</v>
      </c>
      <c r="B519" s="121">
        <v>44978</v>
      </c>
      <c r="C519" s="113">
        <f t="shared" si="4"/>
        <v>2023</v>
      </c>
      <c r="D519" s="114">
        <f t="shared" si="5"/>
        <v>2</v>
      </c>
      <c r="E519" s="114" t="s">
        <v>116</v>
      </c>
      <c r="F519" s="114" t="s">
        <v>271</v>
      </c>
      <c r="G519" s="185"/>
      <c r="H519" s="185"/>
      <c r="I519" s="185"/>
      <c r="J519" s="119">
        <v>0</v>
      </c>
      <c r="K519" s="117">
        <v>0</v>
      </c>
      <c r="L519" s="117">
        <v>0</v>
      </c>
      <c r="M519" s="117">
        <v>0</v>
      </c>
      <c r="N519" s="117">
        <v>0</v>
      </c>
      <c r="O519" s="117">
        <v>0</v>
      </c>
      <c r="P519" s="118">
        <v>0</v>
      </c>
      <c r="Q519" s="119">
        <v>0</v>
      </c>
      <c r="R519" s="119">
        <v>0</v>
      </c>
      <c r="S519" s="184" t="s">
        <v>59</v>
      </c>
    </row>
    <row r="520" spans="1:19">
      <c r="A520" s="111">
        <v>519</v>
      </c>
      <c r="B520" s="121">
        <v>44986</v>
      </c>
      <c r="C520" s="113">
        <f t="shared" si="4"/>
        <v>2023</v>
      </c>
      <c r="D520" s="114">
        <f t="shared" si="5"/>
        <v>3</v>
      </c>
      <c r="E520" s="114" t="s">
        <v>79</v>
      </c>
      <c r="F520" s="114" t="s">
        <v>170</v>
      </c>
      <c r="G520" s="115" t="s">
        <v>171</v>
      </c>
      <c r="H520" s="114" t="s">
        <v>172</v>
      </c>
      <c r="I520" s="114" t="s">
        <v>173</v>
      </c>
      <c r="J520" s="186">
        <v>3</v>
      </c>
      <c r="K520" s="187">
        <v>33</v>
      </c>
      <c r="L520" s="187">
        <v>37</v>
      </c>
      <c r="M520" s="187">
        <v>1.7</v>
      </c>
      <c r="N520" s="187">
        <v>256</v>
      </c>
      <c r="O520" s="187">
        <v>340</v>
      </c>
      <c r="P520" s="188">
        <v>0.33</v>
      </c>
      <c r="Q520" s="186">
        <v>768</v>
      </c>
      <c r="R520" s="189">
        <v>1020</v>
      </c>
      <c r="S520" s="184" t="s">
        <v>59</v>
      </c>
    </row>
    <row r="521" spans="1:19">
      <c r="A521" s="111">
        <v>520</v>
      </c>
      <c r="B521" s="121">
        <v>44987</v>
      </c>
      <c r="C521" s="113">
        <f t="shared" si="4"/>
        <v>2023</v>
      </c>
      <c r="D521" s="114">
        <f t="shared" si="5"/>
        <v>3</v>
      </c>
      <c r="E521" s="114" t="s">
        <v>79</v>
      </c>
      <c r="F521" s="114" t="s">
        <v>174</v>
      </c>
      <c r="G521" s="115" t="s">
        <v>175</v>
      </c>
      <c r="H521" s="114" t="s">
        <v>176</v>
      </c>
      <c r="I521" s="114" t="s">
        <v>173</v>
      </c>
      <c r="J521" s="119">
        <v>0</v>
      </c>
      <c r="K521" s="117">
        <v>0</v>
      </c>
      <c r="L521" s="117">
        <v>0</v>
      </c>
      <c r="M521" s="117">
        <v>0</v>
      </c>
      <c r="N521" s="117">
        <v>0</v>
      </c>
      <c r="O521" s="117">
        <v>0</v>
      </c>
      <c r="P521" s="118">
        <v>0</v>
      </c>
      <c r="Q521" s="119">
        <v>0</v>
      </c>
      <c r="R521" s="119">
        <v>0</v>
      </c>
      <c r="S521" s="184" t="s">
        <v>59</v>
      </c>
    </row>
    <row r="522" spans="1:19">
      <c r="A522" s="111">
        <v>521</v>
      </c>
      <c r="B522" s="121">
        <v>44988</v>
      </c>
      <c r="C522" s="113">
        <f t="shared" si="4"/>
        <v>2023</v>
      </c>
      <c r="D522" s="114">
        <f t="shared" si="5"/>
        <v>3</v>
      </c>
      <c r="E522" s="114" t="s">
        <v>79</v>
      </c>
      <c r="F522" s="114" t="s">
        <v>177</v>
      </c>
      <c r="G522" s="115" t="s">
        <v>175</v>
      </c>
      <c r="H522" s="114" t="s">
        <v>176</v>
      </c>
      <c r="I522" s="114" t="s">
        <v>173</v>
      </c>
      <c r="J522" s="186">
        <v>5</v>
      </c>
      <c r="K522" s="187">
        <v>82</v>
      </c>
      <c r="L522" s="187">
        <v>38</v>
      </c>
      <c r="M522" s="187">
        <v>2.5</v>
      </c>
      <c r="N522" s="187">
        <v>1674</v>
      </c>
      <c r="O522" s="187">
        <v>2497</v>
      </c>
      <c r="P522" s="188">
        <v>1</v>
      </c>
      <c r="Q522" s="189">
        <v>8368</v>
      </c>
      <c r="R522" s="189">
        <v>12486</v>
      </c>
      <c r="S522" s="184" t="s">
        <v>59</v>
      </c>
    </row>
    <row r="523" spans="1:19">
      <c r="A523" s="111">
        <v>522</v>
      </c>
      <c r="B523" s="121">
        <v>44989</v>
      </c>
      <c r="C523" s="113">
        <f t="shared" si="4"/>
        <v>2023</v>
      </c>
      <c r="D523" s="114">
        <f t="shared" si="5"/>
        <v>3</v>
      </c>
      <c r="E523" s="114" t="s">
        <v>20</v>
      </c>
      <c r="F523" s="114" t="s">
        <v>178</v>
      </c>
      <c r="G523" s="115" t="s">
        <v>179</v>
      </c>
      <c r="H523" s="114" t="s">
        <v>180</v>
      </c>
      <c r="I523" s="114" t="s">
        <v>173</v>
      </c>
      <c r="J523" s="186">
        <v>2</v>
      </c>
      <c r="K523" s="187">
        <v>48</v>
      </c>
      <c r="L523" s="187">
        <v>28</v>
      </c>
      <c r="M523" s="187">
        <v>1.9</v>
      </c>
      <c r="N523" s="187">
        <v>915</v>
      </c>
      <c r="O523" s="187">
        <v>1309</v>
      </c>
      <c r="P523" s="188">
        <v>1</v>
      </c>
      <c r="Q523" s="189">
        <v>1830</v>
      </c>
      <c r="R523" s="189">
        <v>2617</v>
      </c>
      <c r="S523" s="184" t="s">
        <v>59</v>
      </c>
    </row>
    <row r="524" spans="1:19">
      <c r="A524" s="111">
        <v>523</v>
      </c>
      <c r="B524" s="121">
        <v>44990</v>
      </c>
      <c r="C524" s="113">
        <f t="shared" si="4"/>
        <v>2023</v>
      </c>
      <c r="D524" s="114">
        <f t="shared" si="5"/>
        <v>3</v>
      </c>
      <c r="E524" s="114" t="s">
        <v>8</v>
      </c>
      <c r="F524" s="114" t="s">
        <v>181</v>
      </c>
      <c r="G524" s="115" t="s">
        <v>182</v>
      </c>
      <c r="H524" s="114" t="s">
        <v>183</v>
      </c>
      <c r="I524" s="114" t="s">
        <v>184</v>
      </c>
      <c r="J524" s="186">
        <v>4</v>
      </c>
      <c r="K524" s="187">
        <v>52</v>
      </c>
      <c r="L524" s="187">
        <v>32</v>
      </c>
      <c r="M524" s="187">
        <v>1.9</v>
      </c>
      <c r="N524" s="187">
        <v>546</v>
      </c>
      <c r="O524" s="187">
        <v>818</v>
      </c>
      <c r="P524" s="188">
        <v>0</v>
      </c>
      <c r="Q524" s="189">
        <v>2182</v>
      </c>
      <c r="R524" s="189">
        <v>3273</v>
      </c>
      <c r="S524" s="184" t="s">
        <v>59</v>
      </c>
    </row>
    <row r="525" spans="1:19">
      <c r="A525" s="111">
        <v>524</v>
      </c>
      <c r="B525" s="121">
        <v>44991</v>
      </c>
      <c r="C525" s="113">
        <f t="shared" si="4"/>
        <v>2023</v>
      </c>
      <c r="D525" s="114">
        <f t="shared" si="5"/>
        <v>3</v>
      </c>
      <c r="E525" s="114" t="s">
        <v>8</v>
      </c>
      <c r="F525" s="114" t="s">
        <v>185</v>
      </c>
      <c r="G525" s="115" t="s">
        <v>186</v>
      </c>
      <c r="H525" s="114" t="s">
        <v>187</v>
      </c>
      <c r="I525" s="114" t="s">
        <v>184</v>
      </c>
      <c r="J525" s="186">
        <v>4</v>
      </c>
      <c r="K525" s="187">
        <v>56</v>
      </c>
      <c r="L525" s="187">
        <v>30</v>
      </c>
      <c r="M525" s="187">
        <v>2.1</v>
      </c>
      <c r="N525" s="187">
        <v>925</v>
      </c>
      <c r="O525" s="187">
        <v>1442</v>
      </c>
      <c r="P525" s="188">
        <v>0.75</v>
      </c>
      <c r="Q525" s="189">
        <v>3699</v>
      </c>
      <c r="R525" s="189">
        <v>5767</v>
      </c>
      <c r="S525" s="184" t="s">
        <v>59</v>
      </c>
    </row>
    <row r="526" spans="1:19">
      <c r="A526" s="111">
        <v>525</v>
      </c>
      <c r="B526" s="121">
        <v>44992</v>
      </c>
      <c r="C526" s="113">
        <f t="shared" si="4"/>
        <v>2023</v>
      </c>
      <c r="D526" s="114">
        <f t="shared" si="5"/>
        <v>3</v>
      </c>
      <c r="E526" s="114" t="s">
        <v>8</v>
      </c>
      <c r="F526" s="114" t="s">
        <v>188</v>
      </c>
      <c r="G526" s="115" t="s">
        <v>189</v>
      </c>
      <c r="H526" s="114" t="s">
        <v>190</v>
      </c>
      <c r="I526" s="114" t="s">
        <v>184</v>
      </c>
      <c r="J526" s="186">
        <v>5</v>
      </c>
      <c r="K526" s="187">
        <v>39</v>
      </c>
      <c r="L526" s="187">
        <v>28</v>
      </c>
      <c r="M526" s="187">
        <v>1.6</v>
      </c>
      <c r="N526" s="187">
        <v>533</v>
      </c>
      <c r="O526" s="187">
        <v>856</v>
      </c>
      <c r="P526" s="188">
        <v>0</v>
      </c>
      <c r="Q526" s="189">
        <v>2663</v>
      </c>
      <c r="R526" s="189">
        <v>4279</v>
      </c>
      <c r="S526" s="184" t="s">
        <v>59</v>
      </c>
    </row>
    <row r="527" spans="1:19">
      <c r="A527" s="111">
        <v>526</v>
      </c>
      <c r="B527" s="121">
        <v>44993</v>
      </c>
      <c r="C527" s="113">
        <f t="shared" si="4"/>
        <v>2023</v>
      </c>
      <c r="D527" s="114">
        <f t="shared" si="5"/>
        <v>3</v>
      </c>
      <c r="E527" s="114" t="s">
        <v>8</v>
      </c>
      <c r="F527" s="114" t="s">
        <v>191</v>
      </c>
      <c r="G527" s="115" t="s">
        <v>192</v>
      </c>
      <c r="H527" s="114" t="s">
        <v>193</v>
      </c>
      <c r="I527" s="114" t="s">
        <v>173</v>
      </c>
      <c r="J527" s="119">
        <v>0</v>
      </c>
      <c r="K527" s="117">
        <v>0</v>
      </c>
      <c r="L527" s="117">
        <v>0</v>
      </c>
      <c r="M527" s="117">
        <v>0</v>
      </c>
      <c r="N527" s="117">
        <v>0</v>
      </c>
      <c r="O527" s="117">
        <v>0</v>
      </c>
      <c r="P527" s="118">
        <v>0</v>
      </c>
      <c r="Q527" s="119">
        <v>0</v>
      </c>
      <c r="R527" s="119">
        <v>0</v>
      </c>
      <c r="S527" s="184" t="s">
        <v>59</v>
      </c>
    </row>
    <row r="528" spans="1:19">
      <c r="A528" s="111">
        <v>527</v>
      </c>
      <c r="B528" s="121">
        <v>44994</v>
      </c>
      <c r="C528" s="113">
        <f t="shared" si="4"/>
        <v>2023</v>
      </c>
      <c r="D528" s="114">
        <f t="shared" si="5"/>
        <v>3</v>
      </c>
      <c r="E528" s="114" t="s">
        <v>8</v>
      </c>
      <c r="F528" s="114" t="s">
        <v>245</v>
      </c>
      <c r="G528" s="115" t="s">
        <v>246</v>
      </c>
      <c r="H528" s="114" t="s">
        <v>247</v>
      </c>
      <c r="I528" s="114" t="s">
        <v>184</v>
      </c>
      <c r="J528" s="186">
        <v>4</v>
      </c>
      <c r="K528" s="187">
        <v>47</v>
      </c>
      <c r="L528" s="187">
        <v>28</v>
      </c>
      <c r="M528" s="187">
        <v>2</v>
      </c>
      <c r="N528" s="187">
        <v>2760</v>
      </c>
      <c r="O528" s="187">
        <v>4085</v>
      </c>
      <c r="P528" s="188">
        <v>0</v>
      </c>
      <c r="Q528" s="189">
        <v>2760</v>
      </c>
      <c r="R528" s="189">
        <v>4085</v>
      </c>
      <c r="S528" s="184" t="s">
        <v>59</v>
      </c>
    </row>
    <row r="529" spans="1:19">
      <c r="A529" s="111">
        <v>528</v>
      </c>
      <c r="B529" s="121">
        <v>44995</v>
      </c>
      <c r="C529" s="113">
        <f t="shared" si="4"/>
        <v>2023</v>
      </c>
      <c r="D529" s="114">
        <f t="shared" si="5"/>
        <v>3</v>
      </c>
      <c r="E529" s="114" t="s">
        <v>88</v>
      </c>
      <c r="F529" s="114" t="s">
        <v>195</v>
      </c>
      <c r="G529" s="115" t="s">
        <v>196</v>
      </c>
      <c r="H529" s="114" t="s">
        <v>197</v>
      </c>
      <c r="I529" s="114" t="s">
        <v>184</v>
      </c>
      <c r="J529" s="186">
        <v>4</v>
      </c>
      <c r="K529" s="187">
        <v>32</v>
      </c>
      <c r="L529" s="187">
        <v>23</v>
      </c>
      <c r="M529" s="187">
        <v>1.6</v>
      </c>
      <c r="N529" s="187">
        <v>453</v>
      </c>
      <c r="O529" s="187">
        <v>645</v>
      </c>
      <c r="P529" s="188">
        <v>0.5</v>
      </c>
      <c r="Q529" s="189">
        <v>1811</v>
      </c>
      <c r="R529" s="189">
        <v>2581</v>
      </c>
      <c r="S529" s="184" t="s">
        <v>59</v>
      </c>
    </row>
    <row r="530" spans="1:19">
      <c r="A530" s="111">
        <v>529</v>
      </c>
      <c r="B530" s="121">
        <v>44996</v>
      </c>
      <c r="C530" s="113">
        <f t="shared" si="4"/>
        <v>2023</v>
      </c>
      <c r="D530" s="114">
        <f t="shared" si="5"/>
        <v>3</v>
      </c>
      <c r="E530" s="114" t="s">
        <v>104</v>
      </c>
      <c r="F530" s="114" t="s">
        <v>198</v>
      </c>
      <c r="G530" s="115" t="s">
        <v>199</v>
      </c>
      <c r="H530" s="114" t="s">
        <v>199</v>
      </c>
      <c r="I530" s="114" t="s">
        <v>200</v>
      </c>
      <c r="J530" s="119">
        <v>0</v>
      </c>
      <c r="K530" s="117">
        <v>0</v>
      </c>
      <c r="L530" s="117">
        <v>0</v>
      </c>
      <c r="M530" s="117">
        <v>0</v>
      </c>
      <c r="N530" s="117">
        <v>0</v>
      </c>
      <c r="O530" s="117">
        <v>0</v>
      </c>
      <c r="P530" s="118">
        <v>0</v>
      </c>
      <c r="Q530" s="119">
        <v>0</v>
      </c>
      <c r="R530" s="119">
        <v>0</v>
      </c>
      <c r="S530" s="184" t="s">
        <v>59</v>
      </c>
    </row>
    <row r="531" spans="1:19">
      <c r="A531" s="111">
        <v>530</v>
      </c>
      <c r="B531" s="121">
        <v>44997</v>
      </c>
      <c r="C531" s="113">
        <f t="shared" si="4"/>
        <v>2023</v>
      </c>
      <c r="D531" s="114">
        <f t="shared" si="5"/>
        <v>3</v>
      </c>
      <c r="E531" s="114" t="s">
        <v>93</v>
      </c>
      <c r="F531" s="114" t="s">
        <v>248</v>
      </c>
      <c r="G531" s="115" t="s">
        <v>199</v>
      </c>
      <c r="H531" s="114" t="s">
        <v>199</v>
      </c>
      <c r="I531" s="114" t="s">
        <v>200</v>
      </c>
      <c r="J531" s="186">
        <v>1</v>
      </c>
      <c r="K531" s="187">
        <v>32</v>
      </c>
      <c r="L531" s="187">
        <v>26</v>
      </c>
      <c r="M531" s="187">
        <v>2</v>
      </c>
      <c r="N531" s="187">
        <v>269</v>
      </c>
      <c r="O531" s="187">
        <v>326</v>
      </c>
      <c r="P531" s="188">
        <v>1</v>
      </c>
      <c r="Q531" s="186">
        <v>269</v>
      </c>
      <c r="R531" s="186">
        <v>326</v>
      </c>
      <c r="S531" s="184" t="s">
        <v>59</v>
      </c>
    </row>
    <row r="532" spans="1:19">
      <c r="A532" s="111">
        <v>531</v>
      </c>
      <c r="B532" s="121">
        <v>44998</v>
      </c>
      <c r="C532" s="113">
        <f t="shared" si="4"/>
        <v>2023</v>
      </c>
      <c r="D532" s="114">
        <f t="shared" si="5"/>
        <v>3</v>
      </c>
      <c r="E532" s="114" t="s">
        <v>30</v>
      </c>
      <c r="F532" s="114" t="s">
        <v>205</v>
      </c>
      <c r="G532" s="115" t="s">
        <v>206</v>
      </c>
      <c r="H532" s="114" t="s">
        <v>207</v>
      </c>
      <c r="I532" s="114" t="s">
        <v>184</v>
      </c>
      <c r="J532" s="119">
        <v>0</v>
      </c>
      <c r="K532" s="117">
        <v>0</v>
      </c>
      <c r="L532" s="117">
        <v>0</v>
      </c>
      <c r="M532" s="117">
        <v>0</v>
      </c>
      <c r="N532" s="117">
        <v>0</v>
      </c>
      <c r="O532" s="117">
        <v>0</v>
      </c>
      <c r="P532" s="118">
        <v>0</v>
      </c>
      <c r="Q532" s="119">
        <v>0</v>
      </c>
      <c r="R532" s="119">
        <v>0</v>
      </c>
      <c r="S532" s="184" t="s">
        <v>59</v>
      </c>
    </row>
    <row r="533" spans="1:19">
      <c r="A533" s="111">
        <v>532</v>
      </c>
      <c r="B533" s="121">
        <v>44999</v>
      </c>
      <c r="C533" s="113">
        <f t="shared" si="4"/>
        <v>2023</v>
      </c>
      <c r="D533" s="114">
        <f t="shared" si="5"/>
        <v>3</v>
      </c>
      <c r="E533" s="114" t="s">
        <v>10</v>
      </c>
      <c r="F533" s="114" t="s">
        <v>208</v>
      </c>
      <c r="G533" s="115" t="s">
        <v>209</v>
      </c>
      <c r="H533" s="114" t="s">
        <v>210</v>
      </c>
      <c r="I533" s="114" t="s">
        <v>173</v>
      </c>
      <c r="J533" s="186">
        <v>4</v>
      </c>
      <c r="K533" s="187">
        <v>65</v>
      </c>
      <c r="L533" s="187">
        <v>29</v>
      </c>
      <c r="M533" s="187">
        <v>2.2999999999999998</v>
      </c>
      <c r="N533" s="187">
        <v>1322</v>
      </c>
      <c r="O533" s="187">
        <v>1782</v>
      </c>
      <c r="P533" s="188">
        <v>0.25</v>
      </c>
      <c r="Q533" s="189">
        <v>5287</v>
      </c>
      <c r="R533" s="189">
        <v>7129</v>
      </c>
      <c r="S533" s="184" t="s">
        <v>59</v>
      </c>
    </row>
    <row r="534" spans="1:19">
      <c r="A534" s="111">
        <v>533</v>
      </c>
      <c r="B534" s="121">
        <v>45000</v>
      </c>
      <c r="C534" s="113">
        <f t="shared" si="4"/>
        <v>2023</v>
      </c>
      <c r="D534" s="114">
        <f t="shared" si="5"/>
        <v>3</v>
      </c>
      <c r="E534" s="114" t="s">
        <v>10</v>
      </c>
      <c r="F534" s="114" t="s">
        <v>211</v>
      </c>
      <c r="G534" s="115" t="s">
        <v>212</v>
      </c>
      <c r="H534" s="114" t="s">
        <v>213</v>
      </c>
      <c r="I534" s="114" t="s">
        <v>173</v>
      </c>
      <c r="J534" s="119">
        <v>0</v>
      </c>
      <c r="K534" s="117">
        <v>0</v>
      </c>
      <c r="L534" s="117">
        <v>0</v>
      </c>
      <c r="M534" s="117">
        <v>0</v>
      </c>
      <c r="N534" s="117">
        <v>0</v>
      </c>
      <c r="O534" s="117">
        <v>0</v>
      </c>
      <c r="P534" s="118">
        <v>0</v>
      </c>
      <c r="Q534" s="119">
        <v>0</v>
      </c>
      <c r="R534" s="119">
        <v>0</v>
      </c>
      <c r="S534" s="184" t="s">
        <v>59</v>
      </c>
    </row>
    <row r="535" spans="1:19">
      <c r="A535" s="111">
        <v>534</v>
      </c>
      <c r="B535" s="121">
        <v>45001</v>
      </c>
      <c r="C535" s="113">
        <f t="shared" si="4"/>
        <v>2023</v>
      </c>
      <c r="D535" s="114">
        <f t="shared" si="5"/>
        <v>3</v>
      </c>
      <c r="E535" s="114" t="s">
        <v>10</v>
      </c>
      <c r="F535" s="114" t="s">
        <v>214</v>
      </c>
      <c r="G535" s="115" t="s">
        <v>215</v>
      </c>
      <c r="H535" s="114" t="s">
        <v>216</v>
      </c>
      <c r="I535" s="114" t="s">
        <v>184</v>
      </c>
      <c r="J535" s="186">
        <v>4</v>
      </c>
      <c r="K535" s="187">
        <v>45</v>
      </c>
      <c r="L535" s="187">
        <v>31</v>
      </c>
      <c r="M535" s="187">
        <v>1.8</v>
      </c>
      <c r="N535" s="187">
        <v>518</v>
      </c>
      <c r="O535" s="187">
        <v>752</v>
      </c>
      <c r="P535" s="188">
        <v>0.25</v>
      </c>
      <c r="Q535" s="189">
        <v>2071</v>
      </c>
      <c r="R535" s="189">
        <v>3008</v>
      </c>
      <c r="S535" s="184" t="s">
        <v>59</v>
      </c>
    </row>
    <row r="536" spans="1:19">
      <c r="A536" s="111">
        <v>535</v>
      </c>
      <c r="B536" s="121">
        <v>45002</v>
      </c>
      <c r="C536" s="113">
        <f t="shared" si="4"/>
        <v>2023</v>
      </c>
      <c r="D536" s="114">
        <f t="shared" si="5"/>
        <v>3</v>
      </c>
      <c r="E536" s="114" t="s">
        <v>9</v>
      </c>
      <c r="F536" s="114" t="s">
        <v>217</v>
      </c>
      <c r="G536" s="115" t="s">
        <v>218</v>
      </c>
      <c r="H536" s="114" t="s">
        <v>219</v>
      </c>
      <c r="I536" s="114" t="s">
        <v>184</v>
      </c>
      <c r="J536" s="186">
        <v>4</v>
      </c>
      <c r="K536" s="187">
        <v>80</v>
      </c>
      <c r="L536" s="187">
        <v>30</v>
      </c>
      <c r="M536" s="187">
        <v>2.8</v>
      </c>
      <c r="N536" s="187">
        <v>2128</v>
      </c>
      <c r="O536" s="187">
        <v>3432</v>
      </c>
      <c r="P536" s="188">
        <v>0.5</v>
      </c>
      <c r="Q536" s="189">
        <v>8510</v>
      </c>
      <c r="R536" s="189">
        <v>13727</v>
      </c>
      <c r="S536" s="184" t="s">
        <v>59</v>
      </c>
    </row>
    <row r="537" spans="1:19">
      <c r="A537" s="111">
        <v>536</v>
      </c>
      <c r="B537" s="121">
        <v>45003</v>
      </c>
      <c r="C537" s="113">
        <f t="shared" si="4"/>
        <v>2023</v>
      </c>
      <c r="D537" s="114">
        <f t="shared" si="5"/>
        <v>3</v>
      </c>
      <c r="E537" s="114" t="s">
        <v>11</v>
      </c>
      <c r="F537" s="114" t="s">
        <v>220</v>
      </c>
      <c r="G537" s="115" t="s">
        <v>221</v>
      </c>
      <c r="H537" s="114" t="s">
        <v>222</v>
      </c>
      <c r="I537" s="114" t="s">
        <v>184</v>
      </c>
      <c r="J537" s="186">
        <v>1</v>
      </c>
      <c r="K537" s="187">
        <v>65</v>
      </c>
      <c r="L537" s="187">
        <v>35</v>
      </c>
      <c r="M537" s="187">
        <v>2.1</v>
      </c>
      <c r="N537" s="187">
        <v>1068</v>
      </c>
      <c r="O537" s="187">
        <v>1487</v>
      </c>
      <c r="P537" s="188">
        <v>1</v>
      </c>
      <c r="Q537" s="189">
        <v>1068</v>
      </c>
      <c r="R537" s="189">
        <v>1487</v>
      </c>
      <c r="S537" s="184" t="s">
        <v>59</v>
      </c>
    </row>
    <row r="538" spans="1:19">
      <c r="A538" s="111">
        <v>537</v>
      </c>
      <c r="B538" s="121">
        <v>45004</v>
      </c>
      <c r="C538" s="113">
        <f t="shared" si="4"/>
        <v>2023</v>
      </c>
      <c r="D538" s="114">
        <f t="shared" si="5"/>
        <v>3</v>
      </c>
      <c r="E538" s="114" t="s">
        <v>11</v>
      </c>
      <c r="F538" s="114" t="s">
        <v>249</v>
      </c>
      <c r="G538" s="115" t="s">
        <v>250</v>
      </c>
      <c r="H538" s="114" t="s">
        <v>251</v>
      </c>
      <c r="I538" s="114" t="s">
        <v>184</v>
      </c>
      <c r="J538" s="119">
        <v>0</v>
      </c>
      <c r="K538" s="117">
        <v>0</v>
      </c>
      <c r="L538" s="117">
        <v>0</v>
      </c>
      <c r="M538" s="117">
        <v>0</v>
      </c>
      <c r="N538" s="117">
        <v>0</v>
      </c>
      <c r="O538" s="117">
        <v>0</v>
      </c>
      <c r="P538" s="118">
        <v>0</v>
      </c>
      <c r="Q538" s="119">
        <v>0</v>
      </c>
      <c r="R538" s="119">
        <v>0</v>
      </c>
      <c r="S538" s="184" t="s">
        <v>59</v>
      </c>
    </row>
    <row r="539" spans="1:19">
      <c r="A539" s="111">
        <v>538</v>
      </c>
      <c r="B539" s="121">
        <v>45005</v>
      </c>
      <c r="C539" s="113">
        <f t="shared" si="4"/>
        <v>2023</v>
      </c>
      <c r="D539" s="114">
        <f t="shared" si="5"/>
        <v>3</v>
      </c>
      <c r="E539" s="114" t="s">
        <v>91</v>
      </c>
      <c r="F539" s="114" t="s">
        <v>178</v>
      </c>
      <c r="G539" s="115" t="s">
        <v>179</v>
      </c>
      <c r="H539" s="114" t="s">
        <v>180</v>
      </c>
      <c r="I539" s="114" t="s">
        <v>173</v>
      </c>
      <c r="J539" s="186">
        <v>1</v>
      </c>
      <c r="K539" s="187">
        <v>48</v>
      </c>
      <c r="L539" s="187">
        <v>26</v>
      </c>
      <c r="M539" s="187">
        <v>2</v>
      </c>
      <c r="N539" s="187">
        <v>963</v>
      </c>
      <c r="O539" s="187">
        <v>1455</v>
      </c>
      <c r="P539" s="188">
        <v>0</v>
      </c>
      <c r="Q539" s="186">
        <v>963</v>
      </c>
      <c r="R539" s="189">
        <v>1455</v>
      </c>
      <c r="S539" s="184" t="s">
        <v>59</v>
      </c>
    </row>
    <row r="540" spans="1:19">
      <c r="A540" s="111">
        <v>539</v>
      </c>
      <c r="B540" s="121">
        <v>45006</v>
      </c>
      <c r="C540" s="113">
        <f t="shared" si="4"/>
        <v>2023</v>
      </c>
      <c r="D540" s="114">
        <f t="shared" si="5"/>
        <v>3</v>
      </c>
      <c r="E540" s="114" t="s">
        <v>23</v>
      </c>
      <c r="F540" s="114" t="s">
        <v>223</v>
      </c>
      <c r="G540" s="115" t="s">
        <v>175</v>
      </c>
      <c r="H540" s="114" t="s">
        <v>176</v>
      </c>
      <c r="I540" s="114" t="s">
        <v>173</v>
      </c>
      <c r="J540" s="186">
        <v>2</v>
      </c>
      <c r="K540" s="187">
        <v>32</v>
      </c>
      <c r="L540" s="187">
        <v>28</v>
      </c>
      <c r="M540" s="187">
        <v>1.4</v>
      </c>
      <c r="N540" s="187">
        <v>330</v>
      </c>
      <c r="O540" s="187">
        <v>453</v>
      </c>
      <c r="P540" s="188">
        <v>0.5</v>
      </c>
      <c r="Q540" s="186">
        <v>660</v>
      </c>
      <c r="R540" s="186">
        <v>906</v>
      </c>
      <c r="S540" s="184" t="s">
        <v>59</v>
      </c>
    </row>
    <row r="541" spans="1:19">
      <c r="A541" s="111">
        <v>540</v>
      </c>
      <c r="B541" s="121">
        <v>45007</v>
      </c>
      <c r="C541" s="113">
        <f t="shared" si="4"/>
        <v>2023</v>
      </c>
      <c r="D541" s="114">
        <f t="shared" si="5"/>
        <v>3</v>
      </c>
      <c r="E541" s="114" t="s">
        <v>23</v>
      </c>
      <c r="F541" s="114" t="s">
        <v>224</v>
      </c>
      <c r="G541" s="115" t="s">
        <v>107</v>
      </c>
      <c r="H541" s="114" t="s">
        <v>107</v>
      </c>
      <c r="I541" s="114" t="s">
        <v>107</v>
      </c>
      <c r="J541" s="119">
        <v>0</v>
      </c>
      <c r="K541" s="117">
        <v>0</v>
      </c>
      <c r="L541" s="117">
        <v>0</v>
      </c>
      <c r="M541" s="117">
        <v>0</v>
      </c>
      <c r="N541" s="117">
        <v>0</v>
      </c>
      <c r="O541" s="117">
        <v>0</v>
      </c>
      <c r="P541" s="118">
        <v>0</v>
      </c>
      <c r="Q541" s="119">
        <v>0</v>
      </c>
      <c r="R541" s="119">
        <v>0</v>
      </c>
      <c r="S541" s="184" t="s">
        <v>59</v>
      </c>
    </row>
    <row r="542" spans="1:19">
      <c r="A542" s="111">
        <v>541</v>
      </c>
      <c r="B542" s="121">
        <v>45008</v>
      </c>
      <c r="C542" s="113">
        <f t="shared" si="4"/>
        <v>2023</v>
      </c>
      <c r="D542" s="114">
        <f t="shared" si="5"/>
        <v>3</v>
      </c>
      <c r="E542" s="114" t="s">
        <v>15</v>
      </c>
      <c r="F542" s="114" t="s">
        <v>225</v>
      </c>
      <c r="G542" s="115" t="s">
        <v>226</v>
      </c>
      <c r="H542" s="114" t="s">
        <v>227</v>
      </c>
      <c r="I542" s="114" t="s">
        <v>173</v>
      </c>
      <c r="J542" s="186">
        <v>2</v>
      </c>
      <c r="K542" s="187">
        <v>46</v>
      </c>
      <c r="L542" s="187">
        <v>22</v>
      </c>
      <c r="M542" s="187">
        <v>2.2000000000000002</v>
      </c>
      <c r="N542" s="187">
        <v>892</v>
      </c>
      <c r="O542" s="187">
        <v>1255</v>
      </c>
      <c r="P542" s="188">
        <v>0</v>
      </c>
      <c r="Q542" s="189">
        <v>1783</v>
      </c>
      <c r="R542" s="189">
        <v>2509</v>
      </c>
      <c r="S542" s="184" t="s">
        <v>59</v>
      </c>
    </row>
    <row r="543" spans="1:19">
      <c r="A543" s="111">
        <v>542</v>
      </c>
      <c r="B543" s="121">
        <v>45009</v>
      </c>
      <c r="C543" s="113">
        <f t="shared" si="4"/>
        <v>2023</v>
      </c>
      <c r="D543" s="114">
        <f t="shared" si="5"/>
        <v>3</v>
      </c>
      <c r="E543" s="114" t="s">
        <v>84</v>
      </c>
      <c r="F543" s="114" t="s">
        <v>228</v>
      </c>
      <c r="G543" s="115" t="s">
        <v>229</v>
      </c>
      <c r="H543" s="114" t="s">
        <v>230</v>
      </c>
      <c r="I543" s="114" t="s">
        <v>184</v>
      </c>
      <c r="J543" s="186">
        <v>4</v>
      </c>
      <c r="K543" s="187">
        <v>29</v>
      </c>
      <c r="L543" s="187">
        <v>18</v>
      </c>
      <c r="M543" s="187">
        <v>1.8</v>
      </c>
      <c r="N543" s="187">
        <v>374</v>
      </c>
      <c r="O543" s="187">
        <v>538</v>
      </c>
      <c r="P543" s="188">
        <v>1</v>
      </c>
      <c r="Q543" s="189">
        <v>1497</v>
      </c>
      <c r="R543" s="189">
        <v>2153</v>
      </c>
      <c r="S543" s="184" t="s">
        <v>59</v>
      </c>
    </row>
    <row r="544" spans="1:19">
      <c r="A544" s="111">
        <v>543</v>
      </c>
      <c r="B544" s="121">
        <v>45010</v>
      </c>
      <c r="C544" s="113">
        <f t="shared" si="4"/>
        <v>2023</v>
      </c>
      <c r="D544" s="114">
        <f t="shared" si="5"/>
        <v>3</v>
      </c>
      <c r="E544" s="114" t="s">
        <v>84</v>
      </c>
      <c r="F544" s="114" t="s">
        <v>231</v>
      </c>
      <c r="G544" s="115" t="s">
        <v>232</v>
      </c>
      <c r="H544" s="114" t="s">
        <v>233</v>
      </c>
      <c r="I544" s="114" t="s">
        <v>184</v>
      </c>
      <c r="J544" s="186">
        <v>5</v>
      </c>
      <c r="K544" s="187">
        <v>19</v>
      </c>
      <c r="L544" s="187">
        <v>19</v>
      </c>
      <c r="M544" s="187">
        <v>1.5</v>
      </c>
      <c r="N544" s="187">
        <v>109</v>
      </c>
      <c r="O544" s="187">
        <v>151</v>
      </c>
      <c r="P544" s="188">
        <v>0</v>
      </c>
      <c r="Q544" s="186">
        <v>543</v>
      </c>
      <c r="R544" s="186">
        <v>757</v>
      </c>
      <c r="S544" s="184" t="s">
        <v>59</v>
      </c>
    </row>
    <row r="545" spans="1:19">
      <c r="A545" s="111">
        <v>544</v>
      </c>
      <c r="B545" s="121">
        <v>45011</v>
      </c>
      <c r="C545" s="113">
        <f t="shared" si="4"/>
        <v>2023</v>
      </c>
      <c r="D545" s="114">
        <f t="shared" si="5"/>
        <v>3</v>
      </c>
      <c r="E545" s="114" t="s">
        <v>84</v>
      </c>
      <c r="F545" s="114" t="s">
        <v>249</v>
      </c>
      <c r="G545" s="125" t="s">
        <v>250</v>
      </c>
      <c r="H545" s="185" t="s">
        <v>251</v>
      </c>
      <c r="I545" s="185"/>
      <c r="J545" s="119">
        <v>0</v>
      </c>
      <c r="K545" s="117">
        <v>0</v>
      </c>
      <c r="L545" s="117">
        <v>0</v>
      </c>
      <c r="M545" s="117">
        <v>0</v>
      </c>
      <c r="N545" s="117">
        <v>0</v>
      </c>
      <c r="O545" s="117">
        <v>0</v>
      </c>
      <c r="P545" s="118">
        <v>0</v>
      </c>
      <c r="Q545" s="119">
        <v>0</v>
      </c>
      <c r="R545" s="119">
        <v>0</v>
      </c>
      <c r="S545" s="184" t="s">
        <v>59</v>
      </c>
    </row>
    <row r="546" spans="1:19">
      <c r="A546" s="111">
        <v>545</v>
      </c>
      <c r="B546" s="121">
        <v>45012</v>
      </c>
      <c r="C546" s="113">
        <f t="shared" si="4"/>
        <v>2023</v>
      </c>
      <c r="D546" s="114">
        <f t="shared" si="5"/>
        <v>3</v>
      </c>
      <c r="E546" s="114" t="s">
        <v>22</v>
      </c>
      <c r="F546" s="114" t="s">
        <v>174</v>
      </c>
      <c r="G546" s="115" t="s">
        <v>175</v>
      </c>
      <c r="H546" s="114" t="s">
        <v>176</v>
      </c>
      <c r="I546" s="114" t="s">
        <v>173</v>
      </c>
      <c r="J546" s="186">
        <v>4</v>
      </c>
      <c r="K546" s="187">
        <v>98</v>
      </c>
      <c r="L546" s="187">
        <v>36</v>
      </c>
      <c r="M546" s="187">
        <v>2.9</v>
      </c>
      <c r="N546" s="187">
        <v>2193</v>
      </c>
      <c r="O546" s="187">
        <v>3382</v>
      </c>
      <c r="P546" s="188">
        <v>0.25</v>
      </c>
      <c r="Q546" s="189">
        <v>8773</v>
      </c>
      <c r="R546" s="189">
        <v>13528</v>
      </c>
      <c r="S546" s="184" t="s">
        <v>59</v>
      </c>
    </row>
    <row r="547" spans="1:19">
      <c r="A547" s="111">
        <v>546</v>
      </c>
      <c r="B547" s="121">
        <v>45013</v>
      </c>
      <c r="C547" s="113">
        <f t="shared" si="4"/>
        <v>2023</v>
      </c>
      <c r="D547" s="114">
        <f t="shared" si="5"/>
        <v>3</v>
      </c>
      <c r="E547" s="114" t="s">
        <v>22</v>
      </c>
      <c r="F547" s="114" t="s">
        <v>177</v>
      </c>
      <c r="G547" s="115" t="s">
        <v>175</v>
      </c>
      <c r="H547" s="114" t="s">
        <v>176</v>
      </c>
      <c r="I547" s="114" t="s">
        <v>173</v>
      </c>
      <c r="J547" s="119">
        <v>0</v>
      </c>
      <c r="K547" s="117">
        <v>0</v>
      </c>
      <c r="L547" s="117">
        <v>0</v>
      </c>
      <c r="M547" s="117">
        <v>0</v>
      </c>
      <c r="N547" s="117">
        <v>0</v>
      </c>
      <c r="O547" s="117">
        <v>0</v>
      </c>
      <c r="P547" s="118">
        <v>0</v>
      </c>
      <c r="Q547" s="119">
        <v>0</v>
      </c>
      <c r="R547" s="119">
        <v>0</v>
      </c>
      <c r="S547" s="184" t="s">
        <v>59</v>
      </c>
    </row>
    <row r="548" spans="1:19">
      <c r="A548" s="111">
        <v>547</v>
      </c>
      <c r="B548" s="121">
        <v>45014</v>
      </c>
      <c r="C548" s="113">
        <f t="shared" si="4"/>
        <v>2023</v>
      </c>
      <c r="D548" s="114">
        <f t="shared" si="5"/>
        <v>3</v>
      </c>
      <c r="E548" s="114" t="s">
        <v>22</v>
      </c>
      <c r="F548" s="114" t="s">
        <v>223</v>
      </c>
      <c r="G548" s="115" t="s">
        <v>175</v>
      </c>
      <c r="H548" s="114" t="s">
        <v>176</v>
      </c>
      <c r="I548" s="114" t="s">
        <v>173</v>
      </c>
      <c r="J548" s="119">
        <v>0</v>
      </c>
      <c r="K548" s="117">
        <v>0</v>
      </c>
      <c r="L548" s="117">
        <v>0</v>
      </c>
      <c r="M548" s="117">
        <v>0</v>
      </c>
      <c r="N548" s="117">
        <v>0</v>
      </c>
      <c r="O548" s="117">
        <v>0</v>
      </c>
      <c r="P548" s="118">
        <v>0</v>
      </c>
      <c r="Q548" s="119">
        <v>0</v>
      </c>
      <c r="R548" s="119">
        <v>0</v>
      </c>
      <c r="S548" s="184" t="s">
        <v>59</v>
      </c>
    </row>
    <row r="549" spans="1:19">
      <c r="A549" s="111">
        <v>548</v>
      </c>
      <c r="B549" s="121">
        <v>45015</v>
      </c>
      <c r="C549" s="113">
        <f t="shared" si="4"/>
        <v>2023</v>
      </c>
      <c r="D549" s="114">
        <f t="shared" si="5"/>
        <v>3</v>
      </c>
      <c r="E549" s="114" t="s">
        <v>12</v>
      </c>
      <c r="F549" s="114" t="s">
        <v>220</v>
      </c>
      <c r="G549" s="115" t="s">
        <v>221</v>
      </c>
      <c r="H549" s="114" t="s">
        <v>222</v>
      </c>
      <c r="I549" s="114" t="s">
        <v>184</v>
      </c>
      <c r="J549" s="186">
        <v>1</v>
      </c>
      <c r="K549" s="187">
        <v>61</v>
      </c>
      <c r="L549" s="187">
        <v>35</v>
      </c>
      <c r="M549" s="187">
        <v>1.9</v>
      </c>
      <c r="N549" s="187">
        <v>983</v>
      </c>
      <c r="O549" s="187">
        <v>1384</v>
      </c>
      <c r="P549" s="188">
        <v>1</v>
      </c>
      <c r="Q549" s="186">
        <v>983</v>
      </c>
      <c r="R549" s="189">
        <v>1384</v>
      </c>
      <c r="S549" s="184" t="s">
        <v>59</v>
      </c>
    </row>
    <row r="550" spans="1:19">
      <c r="A550" s="111">
        <v>549</v>
      </c>
      <c r="B550" s="121">
        <v>45016</v>
      </c>
      <c r="C550" s="113">
        <f t="shared" si="4"/>
        <v>2023</v>
      </c>
      <c r="D550" s="114">
        <f t="shared" si="5"/>
        <v>3</v>
      </c>
      <c r="E550" s="114" t="s">
        <v>12</v>
      </c>
      <c r="F550" s="114" t="s">
        <v>234</v>
      </c>
      <c r="G550" s="115" t="s">
        <v>235</v>
      </c>
      <c r="H550" s="114" t="s">
        <v>236</v>
      </c>
      <c r="I550" s="114" t="s">
        <v>184</v>
      </c>
      <c r="J550" s="186">
        <v>4</v>
      </c>
      <c r="K550" s="187">
        <v>42</v>
      </c>
      <c r="L550" s="187">
        <v>22</v>
      </c>
      <c r="M550" s="187">
        <v>2.1</v>
      </c>
      <c r="N550" s="187">
        <v>836</v>
      </c>
      <c r="O550" s="187">
        <v>1326</v>
      </c>
      <c r="P550" s="188">
        <v>0.75</v>
      </c>
      <c r="Q550" s="189">
        <v>3343</v>
      </c>
      <c r="R550" s="189">
        <v>5304</v>
      </c>
      <c r="S550" s="184" t="s">
        <v>59</v>
      </c>
    </row>
    <row r="551" spans="1:19">
      <c r="A551" s="111">
        <v>550</v>
      </c>
      <c r="B551" s="121">
        <v>44986</v>
      </c>
      <c r="C551" s="113">
        <f t="shared" si="4"/>
        <v>2023</v>
      </c>
      <c r="D551" s="114">
        <f t="shared" si="5"/>
        <v>3</v>
      </c>
      <c r="E551" s="114" t="s">
        <v>12</v>
      </c>
      <c r="F551" s="114" t="s">
        <v>237</v>
      </c>
      <c r="G551" s="115" t="s">
        <v>199</v>
      </c>
      <c r="H551" s="114" t="s">
        <v>199</v>
      </c>
      <c r="I551" s="114" t="s">
        <v>200</v>
      </c>
      <c r="J551" s="186">
        <v>1</v>
      </c>
      <c r="K551" s="187">
        <v>39</v>
      </c>
      <c r="L551" s="187">
        <v>33</v>
      </c>
      <c r="M551" s="187">
        <v>1.3</v>
      </c>
      <c r="N551" s="187">
        <v>507</v>
      </c>
      <c r="O551" s="187">
        <v>826</v>
      </c>
      <c r="P551" s="188">
        <v>1</v>
      </c>
      <c r="Q551" s="186">
        <v>507</v>
      </c>
      <c r="R551" s="186">
        <v>826</v>
      </c>
      <c r="S551" s="184" t="s">
        <v>59</v>
      </c>
    </row>
    <row r="552" spans="1:19">
      <c r="A552" s="111">
        <v>551</v>
      </c>
      <c r="B552" s="121">
        <v>44987</v>
      </c>
      <c r="C552" s="113">
        <f t="shared" si="4"/>
        <v>2023</v>
      </c>
      <c r="D552" s="114">
        <f t="shared" si="5"/>
        <v>3</v>
      </c>
      <c r="E552" s="114" t="s">
        <v>12</v>
      </c>
      <c r="F552" s="114" t="s">
        <v>252</v>
      </c>
      <c r="G552" s="115" t="s">
        <v>253</v>
      </c>
      <c r="H552" s="114" t="s">
        <v>254</v>
      </c>
      <c r="I552" s="114" t="s">
        <v>184</v>
      </c>
      <c r="J552" s="186">
        <v>2</v>
      </c>
      <c r="K552" s="187">
        <v>44</v>
      </c>
      <c r="L552" s="187">
        <v>25</v>
      </c>
      <c r="M552" s="187">
        <v>2</v>
      </c>
      <c r="N552" s="187">
        <v>760</v>
      </c>
      <c r="O552" s="187">
        <v>1379</v>
      </c>
      <c r="P552" s="188">
        <v>0</v>
      </c>
      <c r="Q552" s="189">
        <v>1519</v>
      </c>
      <c r="R552" s="189">
        <v>2757</v>
      </c>
      <c r="S552" s="184" t="s">
        <v>59</v>
      </c>
    </row>
    <row r="553" spans="1:19">
      <c r="A553" s="111">
        <v>552</v>
      </c>
      <c r="B553" s="121">
        <v>44988</v>
      </c>
      <c r="C553" s="113">
        <f t="shared" si="4"/>
        <v>2023</v>
      </c>
      <c r="D553" s="114">
        <f t="shared" si="5"/>
        <v>3</v>
      </c>
      <c r="E553" s="114" t="s">
        <v>26</v>
      </c>
      <c r="F553" s="114" t="s">
        <v>238</v>
      </c>
      <c r="G553" s="115" t="s">
        <v>175</v>
      </c>
      <c r="H553" s="114" t="s">
        <v>176</v>
      </c>
      <c r="I553" s="114" t="s">
        <v>173</v>
      </c>
      <c r="J553" s="119">
        <v>0</v>
      </c>
      <c r="K553" s="117">
        <v>0</v>
      </c>
      <c r="L553" s="117">
        <v>0</v>
      </c>
      <c r="M553" s="117">
        <v>0</v>
      </c>
      <c r="N553" s="117">
        <v>0</v>
      </c>
      <c r="O553" s="117">
        <v>0</v>
      </c>
      <c r="P553" s="118">
        <v>0</v>
      </c>
      <c r="Q553" s="119">
        <v>0</v>
      </c>
      <c r="R553" s="119">
        <v>0</v>
      </c>
      <c r="S553" s="184" t="s">
        <v>59</v>
      </c>
    </row>
    <row r="554" spans="1:19">
      <c r="A554" s="111">
        <v>553</v>
      </c>
      <c r="B554" s="121">
        <v>44989</v>
      </c>
      <c r="C554" s="113">
        <f t="shared" si="4"/>
        <v>2023</v>
      </c>
      <c r="D554" s="114">
        <f t="shared" si="5"/>
        <v>3</v>
      </c>
      <c r="E554" s="114" t="s">
        <v>19</v>
      </c>
      <c r="F554" s="114" t="s">
        <v>178</v>
      </c>
      <c r="G554" s="115" t="s">
        <v>179</v>
      </c>
      <c r="H554" s="114" t="s">
        <v>180</v>
      </c>
      <c r="I554" s="114" t="s">
        <v>173</v>
      </c>
      <c r="J554" s="186">
        <v>3</v>
      </c>
      <c r="K554" s="187">
        <v>50</v>
      </c>
      <c r="L554" s="187">
        <v>26</v>
      </c>
      <c r="M554" s="187">
        <v>2.1</v>
      </c>
      <c r="N554" s="187">
        <v>802</v>
      </c>
      <c r="O554" s="187">
        <v>1139</v>
      </c>
      <c r="P554" s="188">
        <v>0.33</v>
      </c>
      <c r="Q554" s="189">
        <v>2406</v>
      </c>
      <c r="R554" s="189">
        <v>3416</v>
      </c>
      <c r="S554" s="184" t="s">
        <v>59</v>
      </c>
    </row>
    <row r="555" spans="1:19">
      <c r="A555" s="111">
        <v>554</v>
      </c>
      <c r="B555" s="121">
        <v>44990</v>
      </c>
      <c r="C555" s="113">
        <f t="shared" si="4"/>
        <v>2023</v>
      </c>
      <c r="D555" s="114">
        <f t="shared" si="5"/>
        <v>3</v>
      </c>
      <c r="E555" s="114" t="s">
        <v>7</v>
      </c>
      <c r="F555" s="114" t="s">
        <v>239</v>
      </c>
      <c r="G555" s="115" t="s">
        <v>240</v>
      </c>
      <c r="H555" s="114" t="s">
        <v>241</v>
      </c>
      <c r="I555" s="114" t="s">
        <v>184</v>
      </c>
      <c r="J555" s="186">
        <v>4</v>
      </c>
      <c r="K555" s="187">
        <v>57</v>
      </c>
      <c r="L555" s="187">
        <v>29</v>
      </c>
      <c r="M555" s="187">
        <v>2.2000000000000002</v>
      </c>
      <c r="N555" s="187">
        <v>709</v>
      </c>
      <c r="O555" s="187">
        <v>989</v>
      </c>
      <c r="P555" s="188">
        <v>0.25</v>
      </c>
      <c r="Q555" s="189">
        <v>2836</v>
      </c>
      <c r="R555" s="189">
        <v>3957</v>
      </c>
      <c r="S555" s="184" t="s">
        <v>59</v>
      </c>
    </row>
    <row r="556" spans="1:19">
      <c r="A556" s="111">
        <v>555</v>
      </c>
      <c r="B556" s="121">
        <v>44991</v>
      </c>
      <c r="C556" s="113">
        <f t="shared" si="4"/>
        <v>2023</v>
      </c>
      <c r="D556" s="114">
        <f t="shared" si="5"/>
        <v>3</v>
      </c>
      <c r="E556" s="114" t="s">
        <v>7</v>
      </c>
      <c r="F556" s="114" t="s">
        <v>220</v>
      </c>
      <c r="G556" s="115" t="s">
        <v>221</v>
      </c>
      <c r="H556" s="114" t="s">
        <v>222</v>
      </c>
      <c r="I556" s="114" t="s">
        <v>184</v>
      </c>
      <c r="J556" s="186">
        <v>2</v>
      </c>
      <c r="K556" s="187">
        <v>40</v>
      </c>
      <c r="L556" s="187">
        <v>22</v>
      </c>
      <c r="M556" s="187">
        <v>2</v>
      </c>
      <c r="N556" s="187">
        <v>707</v>
      </c>
      <c r="O556" s="187">
        <v>1046</v>
      </c>
      <c r="P556" s="188">
        <v>1</v>
      </c>
      <c r="Q556" s="189">
        <v>1413</v>
      </c>
      <c r="R556" s="189">
        <v>2092</v>
      </c>
      <c r="S556" s="184" t="s">
        <v>59</v>
      </c>
    </row>
    <row r="557" spans="1:19">
      <c r="A557" s="111">
        <v>556</v>
      </c>
      <c r="B557" s="121">
        <v>44992</v>
      </c>
      <c r="C557" s="113">
        <f t="shared" si="4"/>
        <v>2023</v>
      </c>
      <c r="D557" s="114">
        <f t="shared" si="5"/>
        <v>3</v>
      </c>
      <c r="E557" s="114" t="s">
        <v>7</v>
      </c>
      <c r="F557" s="114" t="s">
        <v>242</v>
      </c>
      <c r="G557" s="115" t="s">
        <v>243</v>
      </c>
      <c r="H557" s="114" t="s">
        <v>244</v>
      </c>
      <c r="I557" s="114" t="s">
        <v>184</v>
      </c>
      <c r="J557" s="186">
        <v>4</v>
      </c>
      <c r="K557" s="187">
        <v>56</v>
      </c>
      <c r="L557" s="187">
        <v>28</v>
      </c>
      <c r="M557" s="187">
        <v>2.2000000000000002</v>
      </c>
      <c r="N557" s="187">
        <v>782</v>
      </c>
      <c r="O557" s="187">
        <v>1278</v>
      </c>
      <c r="P557" s="188">
        <v>0.25</v>
      </c>
      <c r="Q557" s="189">
        <v>3129</v>
      </c>
      <c r="R557" s="189">
        <v>5112</v>
      </c>
      <c r="S557" s="184" t="s">
        <v>59</v>
      </c>
    </row>
    <row r="558" spans="1:19">
      <c r="A558" s="111">
        <v>557</v>
      </c>
      <c r="B558" s="121">
        <v>44993</v>
      </c>
      <c r="C558" s="113">
        <f t="shared" si="4"/>
        <v>2023</v>
      </c>
      <c r="D558" s="114">
        <f t="shared" si="5"/>
        <v>3</v>
      </c>
      <c r="E558" s="114" t="s">
        <v>7</v>
      </c>
      <c r="F558" s="114" t="s">
        <v>255</v>
      </c>
      <c r="G558" s="115" t="s">
        <v>256</v>
      </c>
      <c r="H558" s="114" t="s">
        <v>257</v>
      </c>
      <c r="I558" s="114" t="s">
        <v>173</v>
      </c>
      <c r="J558" s="186">
        <v>4</v>
      </c>
      <c r="K558" s="187">
        <v>52</v>
      </c>
      <c r="L558" s="187">
        <v>24</v>
      </c>
      <c r="M558" s="187">
        <v>2.2000000000000002</v>
      </c>
      <c r="N558" s="187">
        <v>1350</v>
      </c>
      <c r="O558" s="187">
        <v>2051</v>
      </c>
      <c r="P558" s="188">
        <v>0</v>
      </c>
      <c r="Q558" s="189">
        <v>5398</v>
      </c>
      <c r="R558" s="189">
        <v>8204</v>
      </c>
      <c r="S558" s="184" t="s">
        <v>59</v>
      </c>
    </row>
    <row r="559" spans="1:19">
      <c r="A559" s="111">
        <v>558</v>
      </c>
      <c r="B559" s="121">
        <v>44994</v>
      </c>
      <c r="C559" s="113">
        <f t="shared" si="4"/>
        <v>2023</v>
      </c>
      <c r="D559" s="114">
        <f t="shared" si="5"/>
        <v>3</v>
      </c>
      <c r="E559" s="114" t="s">
        <v>7</v>
      </c>
      <c r="F559" s="114" t="s">
        <v>258</v>
      </c>
      <c r="G559" s="115" t="s">
        <v>256</v>
      </c>
      <c r="H559" s="114" t="s">
        <v>257</v>
      </c>
      <c r="I559" s="114" t="s">
        <v>200</v>
      </c>
      <c r="J559" s="119">
        <v>0</v>
      </c>
      <c r="K559" s="117">
        <v>0</v>
      </c>
      <c r="L559" s="117">
        <v>0</v>
      </c>
      <c r="M559" s="117">
        <v>0</v>
      </c>
      <c r="N559" s="117">
        <v>0</v>
      </c>
      <c r="O559" s="117">
        <v>0</v>
      </c>
      <c r="P559" s="118">
        <v>0</v>
      </c>
      <c r="Q559" s="119">
        <v>0</v>
      </c>
      <c r="R559" s="119">
        <v>0</v>
      </c>
      <c r="S559" s="184" t="s">
        <v>59</v>
      </c>
    </row>
    <row r="560" spans="1:19">
      <c r="A560" s="111">
        <v>559</v>
      </c>
      <c r="B560" s="121">
        <v>44995</v>
      </c>
      <c r="C560" s="113">
        <f t="shared" si="4"/>
        <v>2023</v>
      </c>
      <c r="D560" s="114">
        <f t="shared" si="5"/>
        <v>3</v>
      </c>
      <c r="E560" s="114" t="s">
        <v>24</v>
      </c>
      <c r="F560" s="114" t="s">
        <v>259</v>
      </c>
      <c r="G560" s="115" t="s">
        <v>260</v>
      </c>
      <c r="H560" s="114" t="s">
        <v>261</v>
      </c>
      <c r="I560" s="114" t="s">
        <v>184</v>
      </c>
      <c r="J560" s="186">
        <v>2</v>
      </c>
      <c r="K560" s="187">
        <v>6</v>
      </c>
      <c r="L560" s="187">
        <v>18</v>
      </c>
      <c r="M560" s="187">
        <v>0.8</v>
      </c>
      <c r="N560" s="187">
        <v>19</v>
      </c>
      <c r="O560" s="187">
        <v>26</v>
      </c>
      <c r="P560" s="188">
        <v>0</v>
      </c>
      <c r="Q560" s="186">
        <v>37</v>
      </c>
      <c r="R560" s="186">
        <v>51</v>
      </c>
      <c r="S560" s="184" t="s">
        <v>59</v>
      </c>
    </row>
    <row r="561" spans="1:19">
      <c r="A561" s="111">
        <v>560</v>
      </c>
      <c r="B561" s="121">
        <v>44996</v>
      </c>
      <c r="C561" s="113">
        <f t="shared" si="4"/>
        <v>2023</v>
      </c>
      <c r="D561" s="114">
        <f t="shared" si="5"/>
        <v>3</v>
      </c>
      <c r="E561" s="114" t="s">
        <v>24</v>
      </c>
      <c r="F561" s="114" t="s">
        <v>262</v>
      </c>
      <c r="G561" s="115" t="s">
        <v>263</v>
      </c>
      <c r="H561" s="114" t="s">
        <v>264</v>
      </c>
      <c r="I561" s="114" t="s">
        <v>184</v>
      </c>
      <c r="J561" s="186">
        <v>4</v>
      </c>
      <c r="K561" s="187">
        <v>19</v>
      </c>
      <c r="L561" s="187">
        <v>26</v>
      </c>
      <c r="M561" s="187">
        <v>1.2</v>
      </c>
      <c r="N561" s="187">
        <v>159</v>
      </c>
      <c r="O561" s="187">
        <v>257</v>
      </c>
      <c r="P561" s="188">
        <v>0.5</v>
      </c>
      <c r="Q561" s="186">
        <v>636</v>
      </c>
      <c r="R561" s="186">
        <v>1028</v>
      </c>
      <c r="S561" s="184" t="s">
        <v>59</v>
      </c>
    </row>
    <row r="562" spans="1:19">
      <c r="A562" s="111">
        <v>561</v>
      </c>
      <c r="B562" s="121">
        <v>44997</v>
      </c>
      <c r="C562" s="113">
        <f t="shared" si="4"/>
        <v>2023</v>
      </c>
      <c r="D562" s="114">
        <f t="shared" si="5"/>
        <v>3</v>
      </c>
      <c r="E562" s="114" t="s">
        <v>28</v>
      </c>
      <c r="F562" s="114" t="s">
        <v>265</v>
      </c>
      <c r="G562" s="115" t="s">
        <v>266</v>
      </c>
      <c r="H562" s="114" t="s">
        <v>267</v>
      </c>
      <c r="I562" s="114" t="s">
        <v>184</v>
      </c>
      <c r="J562" s="119">
        <v>0</v>
      </c>
      <c r="K562" s="117">
        <v>0</v>
      </c>
      <c r="L562" s="117">
        <v>0</v>
      </c>
      <c r="M562" s="117">
        <v>0</v>
      </c>
      <c r="N562" s="117">
        <v>0</v>
      </c>
      <c r="O562" s="117">
        <v>0</v>
      </c>
      <c r="P562" s="118">
        <v>0</v>
      </c>
      <c r="Q562" s="119">
        <v>0</v>
      </c>
      <c r="R562" s="119">
        <v>0</v>
      </c>
      <c r="S562" s="184" t="s">
        <v>59</v>
      </c>
    </row>
    <row r="563" spans="1:19">
      <c r="A563" s="111">
        <v>562</v>
      </c>
      <c r="B563" s="121">
        <v>44998</v>
      </c>
      <c r="C563" s="113">
        <f t="shared" si="4"/>
        <v>2023</v>
      </c>
      <c r="D563" s="114">
        <f t="shared" si="5"/>
        <v>3</v>
      </c>
      <c r="E563" s="114" t="s">
        <v>93</v>
      </c>
      <c r="F563" s="114" t="s">
        <v>265</v>
      </c>
      <c r="G563" s="115" t="s">
        <v>266</v>
      </c>
      <c r="H563" s="114" t="s">
        <v>267</v>
      </c>
      <c r="I563" s="114" t="s">
        <v>184</v>
      </c>
      <c r="J563" s="119">
        <v>0</v>
      </c>
      <c r="K563" s="117">
        <v>0</v>
      </c>
      <c r="L563" s="117">
        <v>0</v>
      </c>
      <c r="M563" s="117">
        <v>0</v>
      </c>
      <c r="N563" s="117">
        <v>0</v>
      </c>
      <c r="O563" s="117">
        <v>0</v>
      </c>
      <c r="P563" s="118">
        <v>0</v>
      </c>
      <c r="Q563" s="119">
        <v>0</v>
      </c>
      <c r="R563" s="119">
        <v>0</v>
      </c>
      <c r="S563" s="184" t="s">
        <v>59</v>
      </c>
    </row>
    <row r="564" spans="1:19">
      <c r="A564" s="111">
        <v>563</v>
      </c>
      <c r="B564" s="121">
        <v>44999</v>
      </c>
      <c r="C564" s="113">
        <f t="shared" si="4"/>
        <v>2023</v>
      </c>
      <c r="D564" s="114">
        <f t="shared" si="5"/>
        <v>3</v>
      </c>
      <c r="E564" s="114" t="s">
        <v>10</v>
      </c>
      <c r="F564" s="114" t="s">
        <v>268</v>
      </c>
      <c r="G564" s="115" t="s">
        <v>269</v>
      </c>
      <c r="H564" s="114" t="s">
        <v>270</v>
      </c>
      <c r="I564" s="114" t="s">
        <v>184</v>
      </c>
      <c r="J564" s="119">
        <v>0</v>
      </c>
      <c r="K564" s="117">
        <v>0</v>
      </c>
      <c r="L564" s="117">
        <v>0</v>
      </c>
      <c r="M564" s="117">
        <v>0</v>
      </c>
      <c r="N564" s="117">
        <v>0</v>
      </c>
      <c r="O564" s="117">
        <v>0</v>
      </c>
      <c r="P564" s="118">
        <v>0</v>
      </c>
      <c r="Q564" s="119">
        <v>0</v>
      </c>
      <c r="R564" s="119">
        <v>0</v>
      </c>
      <c r="S564" s="184" t="s">
        <v>59</v>
      </c>
    </row>
    <row r="565" spans="1:19">
      <c r="A565" s="111">
        <v>564</v>
      </c>
      <c r="B565" s="121">
        <v>45000</v>
      </c>
      <c r="C565" s="113">
        <f t="shared" si="4"/>
        <v>2023</v>
      </c>
      <c r="D565" s="114">
        <f t="shared" si="5"/>
        <v>3</v>
      </c>
      <c r="E565" s="114" t="s">
        <v>32</v>
      </c>
      <c r="F565" s="114" t="s">
        <v>249</v>
      </c>
      <c r="G565" s="115" t="s">
        <v>250</v>
      </c>
      <c r="H565" s="114" t="s">
        <v>251</v>
      </c>
      <c r="I565" s="114" t="s">
        <v>184</v>
      </c>
      <c r="J565" s="119">
        <v>0</v>
      </c>
      <c r="K565" s="117">
        <v>0</v>
      </c>
      <c r="L565" s="117">
        <v>0</v>
      </c>
      <c r="M565" s="117">
        <v>0</v>
      </c>
      <c r="N565" s="117">
        <v>0</v>
      </c>
      <c r="O565" s="117">
        <v>0</v>
      </c>
      <c r="P565" s="118">
        <v>0</v>
      </c>
      <c r="Q565" s="119">
        <v>0</v>
      </c>
      <c r="R565" s="119">
        <v>0</v>
      </c>
      <c r="S565" s="184" t="s">
        <v>59</v>
      </c>
    </row>
    <row r="566" spans="1:19">
      <c r="A566" s="111">
        <v>565</v>
      </c>
      <c r="B566" s="121">
        <v>45001</v>
      </c>
      <c r="C566" s="113">
        <f t="shared" si="4"/>
        <v>2023</v>
      </c>
      <c r="D566" s="114">
        <f t="shared" si="5"/>
        <v>3</v>
      </c>
      <c r="E566" s="114" t="s">
        <v>79</v>
      </c>
      <c r="F566" s="114" t="s">
        <v>255</v>
      </c>
      <c r="G566" s="115" t="s">
        <v>256</v>
      </c>
      <c r="H566" s="114" t="s">
        <v>257</v>
      </c>
      <c r="I566" s="114" t="s">
        <v>173</v>
      </c>
      <c r="J566" s="119">
        <v>0</v>
      </c>
      <c r="K566" s="117">
        <v>0</v>
      </c>
      <c r="L566" s="117">
        <v>0</v>
      </c>
      <c r="M566" s="117">
        <v>0</v>
      </c>
      <c r="N566" s="117">
        <v>0</v>
      </c>
      <c r="O566" s="117">
        <v>0</v>
      </c>
      <c r="P566" s="118">
        <v>0</v>
      </c>
      <c r="Q566" s="119">
        <v>0</v>
      </c>
      <c r="R566" s="119">
        <v>0</v>
      </c>
      <c r="S566" s="184" t="s">
        <v>59</v>
      </c>
    </row>
    <row r="567" spans="1:19">
      <c r="A567" s="111">
        <v>566</v>
      </c>
      <c r="B567" s="121">
        <v>45002</v>
      </c>
      <c r="C567" s="113">
        <f t="shared" si="4"/>
        <v>2023</v>
      </c>
      <c r="D567" s="114">
        <f t="shared" si="5"/>
        <v>3</v>
      </c>
      <c r="E567" s="114" t="s">
        <v>101</v>
      </c>
      <c r="F567" s="114" t="s">
        <v>249</v>
      </c>
      <c r="G567" s="115" t="s">
        <v>250</v>
      </c>
      <c r="H567" s="114" t="s">
        <v>251</v>
      </c>
      <c r="I567" s="114" t="s">
        <v>184</v>
      </c>
      <c r="J567" s="119">
        <v>0</v>
      </c>
      <c r="K567" s="117">
        <v>0</v>
      </c>
      <c r="L567" s="117">
        <v>0</v>
      </c>
      <c r="M567" s="117">
        <v>0</v>
      </c>
      <c r="N567" s="117">
        <v>0</v>
      </c>
      <c r="O567" s="117">
        <v>0</v>
      </c>
      <c r="P567" s="118">
        <v>0</v>
      </c>
      <c r="Q567" s="119">
        <v>0</v>
      </c>
      <c r="R567" s="119">
        <v>0</v>
      </c>
      <c r="S567" s="184" t="s">
        <v>59</v>
      </c>
    </row>
    <row r="568" spans="1:19">
      <c r="A568" s="111">
        <v>567</v>
      </c>
      <c r="B568" s="121">
        <v>45003</v>
      </c>
      <c r="C568" s="113">
        <f t="shared" si="4"/>
        <v>2023</v>
      </c>
      <c r="D568" s="114">
        <f t="shared" si="5"/>
        <v>3</v>
      </c>
      <c r="E568" s="114" t="s">
        <v>116</v>
      </c>
      <c r="F568" s="114" t="s">
        <v>271</v>
      </c>
      <c r="G568" s="185"/>
      <c r="H568" s="185"/>
      <c r="I568" s="185"/>
      <c r="J568" s="119">
        <v>0</v>
      </c>
      <c r="K568" s="117">
        <v>0</v>
      </c>
      <c r="L568" s="117">
        <v>0</v>
      </c>
      <c r="M568" s="117">
        <v>0</v>
      </c>
      <c r="N568" s="117">
        <v>0</v>
      </c>
      <c r="O568" s="117">
        <v>0</v>
      </c>
      <c r="P568" s="118">
        <v>0</v>
      </c>
      <c r="Q568" s="119">
        <v>0</v>
      </c>
      <c r="R568" s="119">
        <v>0</v>
      </c>
      <c r="S568" s="184" t="s">
        <v>59</v>
      </c>
    </row>
    <row r="569" spans="1:19">
      <c r="A569" s="111">
        <v>568</v>
      </c>
      <c r="B569" s="121">
        <v>45017</v>
      </c>
      <c r="C569" s="113">
        <f t="shared" si="4"/>
        <v>2023</v>
      </c>
      <c r="D569" s="114">
        <f t="shared" si="5"/>
        <v>4</v>
      </c>
      <c r="E569" s="114" t="s">
        <v>79</v>
      </c>
      <c r="F569" s="114" t="s">
        <v>170</v>
      </c>
      <c r="G569" s="115" t="s">
        <v>171</v>
      </c>
      <c r="H569" s="114" t="s">
        <v>172</v>
      </c>
      <c r="I569" s="114" t="s">
        <v>173</v>
      </c>
      <c r="J569" s="186">
        <v>3</v>
      </c>
      <c r="K569" s="187">
        <v>43</v>
      </c>
      <c r="L569" s="187">
        <v>31</v>
      </c>
      <c r="M569" s="187">
        <v>1.8</v>
      </c>
      <c r="N569" s="187">
        <v>273</v>
      </c>
      <c r="O569" s="187">
        <v>325</v>
      </c>
      <c r="P569" s="188">
        <v>0.67</v>
      </c>
      <c r="Q569" s="186">
        <v>818</v>
      </c>
      <c r="R569" s="186">
        <v>974</v>
      </c>
      <c r="S569" s="184" t="s">
        <v>59</v>
      </c>
    </row>
    <row r="570" spans="1:19">
      <c r="A570" s="111">
        <v>569</v>
      </c>
      <c r="B570" s="121">
        <v>45018</v>
      </c>
      <c r="C570" s="113">
        <f t="shared" si="4"/>
        <v>2023</v>
      </c>
      <c r="D570" s="114">
        <f t="shared" si="5"/>
        <v>4</v>
      </c>
      <c r="E570" s="114" t="s">
        <v>79</v>
      </c>
      <c r="F570" s="114" t="s">
        <v>174</v>
      </c>
      <c r="G570" s="115" t="s">
        <v>175</v>
      </c>
      <c r="H570" s="114" t="s">
        <v>176</v>
      </c>
      <c r="I570" s="114" t="s">
        <v>173</v>
      </c>
      <c r="J570" s="186">
        <v>0</v>
      </c>
      <c r="K570" s="187">
        <v>0</v>
      </c>
      <c r="L570" s="187">
        <v>0</v>
      </c>
      <c r="M570" s="187">
        <v>0</v>
      </c>
      <c r="N570" s="187">
        <v>0</v>
      </c>
      <c r="O570" s="187">
        <v>0</v>
      </c>
      <c r="P570" s="188">
        <v>0</v>
      </c>
      <c r="Q570" s="186">
        <v>0</v>
      </c>
      <c r="R570" s="186">
        <v>0</v>
      </c>
      <c r="S570" s="184" t="s">
        <v>59</v>
      </c>
    </row>
    <row r="571" spans="1:19">
      <c r="A571" s="111">
        <v>570</v>
      </c>
      <c r="B571" s="121">
        <v>45019</v>
      </c>
      <c r="C571" s="113">
        <f t="shared" si="4"/>
        <v>2023</v>
      </c>
      <c r="D571" s="114">
        <f t="shared" si="5"/>
        <v>4</v>
      </c>
      <c r="E571" s="114" t="s">
        <v>79</v>
      </c>
      <c r="F571" s="114" t="s">
        <v>177</v>
      </c>
      <c r="G571" s="115" t="s">
        <v>175</v>
      </c>
      <c r="H571" s="114" t="s">
        <v>176</v>
      </c>
      <c r="I571" s="114" t="s">
        <v>173</v>
      </c>
      <c r="J571" s="186">
        <v>4</v>
      </c>
      <c r="K571" s="187">
        <v>76</v>
      </c>
      <c r="L571" s="187">
        <v>34</v>
      </c>
      <c r="M571" s="187">
        <v>2.6</v>
      </c>
      <c r="N571" s="187">
        <v>1444</v>
      </c>
      <c r="O571" s="187">
        <v>2136</v>
      </c>
      <c r="P571" s="188">
        <v>0.25</v>
      </c>
      <c r="Q571" s="189">
        <v>5776</v>
      </c>
      <c r="R571" s="189">
        <v>8543</v>
      </c>
      <c r="S571" s="184" t="s">
        <v>59</v>
      </c>
    </row>
    <row r="572" spans="1:19">
      <c r="A572" s="111">
        <v>571</v>
      </c>
      <c r="B572" s="121">
        <v>45020</v>
      </c>
      <c r="C572" s="113">
        <f t="shared" si="4"/>
        <v>2023</v>
      </c>
      <c r="D572" s="114">
        <f t="shared" si="5"/>
        <v>4</v>
      </c>
      <c r="E572" s="114" t="s">
        <v>20</v>
      </c>
      <c r="F572" s="114" t="s">
        <v>178</v>
      </c>
      <c r="G572" s="115" t="s">
        <v>179</v>
      </c>
      <c r="H572" s="114" t="s">
        <v>180</v>
      </c>
      <c r="I572" s="114" t="s">
        <v>173</v>
      </c>
      <c r="J572" s="186">
        <v>1</v>
      </c>
      <c r="K572" s="187">
        <v>48</v>
      </c>
      <c r="L572" s="187">
        <v>30</v>
      </c>
      <c r="M572" s="187">
        <v>1.7</v>
      </c>
      <c r="N572" s="187">
        <v>896</v>
      </c>
      <c r="O572" s="187">
        <v>1264</v>
      </c>
      <c r="P572" s="188">
        <v>0</v>
      </c>
      <c r="Q572" s="186">
        <v>896</v>
      </c>
      <c r="R572" s="189">
        <v>1264</v>
      </c>
      <c r="S572" s="184" t="s">
        <v>59</v>
      </c>
    </row>
    <row r="573" spans="1:19">
      <c r="A573" s="111">
        <v>572</v>
      </c>
      <c r="B573" s="121">
        <v>45021</v>
      </c>
      <c r="C573" s="113">
        <f t="shared" si="4"/>
        <v>2023</v>
      </c>
      <c r="D573" s="114">
        <f t="shared" si="5"/>
        <v>4</v>
      </c>
      <c r="E573" s="114" t="s">
        <v>8</v>
      </c>
      <c r="F573" s="114" t="s">
        <v>181</v>
      </c>
      <c r="G573" s="115" t="s">
        <v>182</v>
      </c>
      <c r="H573" s="114" t="s">
        <v>183</v>
      </c>
      <c r="I573" s="114" t="s">
        <v>184</v>
      </c>
      <c r="J573" s="186">
        <v>4</v>
      </c>
      <c r="K573" s="187">
        <v>45</v>
      </c>
      <c r="L573" s="187">
        <v>26</v>
      </c>
      <c r="M573" s="187">
        <v>1.7</v>
      </c>
      <c r="N573" s="187">
        <v>481</v>
      </c>
      <c r="O573" s="187">
        <v>753</v>
      </c>
      <c r="P573" s="188">
        <v>0</v>
      </c>
      <c r="Q573" s="189">
        <v>1922</v>
      </c>
      <c r="R573" s="189">
        <v>3012</v>
      </c>
      <c r="S573" s="184" t="s">
        <v>59</v>
      </c>
    </row>
    <row r="574" spans="1:19">
      <c r="A574" s="111">
        <v>573</v>
      </c>
      <c r="B574" s="121">
        <v>45022</v>
      </c>
      <c r="C574" s="113">
        <f t="shared" si="4"/>
        <v>2023</v>
      </c>
      <c r="D574" s="114">
        <f t="shared" si="5"/>
        <v>4</v>
      </c>
      <c r="E574" s="114" t="s">
        <v>8</v>
      </c>
      <c r="F574" s="114" t="s">
        <v>185</v>
      </c>
      <c r="G574" s="115" t="s">
        <v>186</v>
      </c>
      <c r="H574" s="114" t="s">
        <v>187</v>
      </c>
      <c r="I574" s="114" t="s">
        <v>184</v>
      </c>
      <c r="J574" s="186">
        <v>3</v>
      </c>
      <c r="K574" s="187">
        <v>61</v>
      </c>
      <c r="L574" s="187">
        <v>36</v>
      </c>
      <c r="M574" s="187">
        <v>2</v>
      </c>
      <c r="N574" s="187">
        <v>703</v>
      </c>
      <c r="O574" s="187">
        <v>1067</v>
      </c>
      <c r="P574" s="188">
        <v>1</v>
      </c>
      <c r="Q574" s="189">
        <v>2108</v>
      </c>
      <c r="R574" s="189">
        <v>3201</v>
      </c>
      <c r="S574" s="184" t="s">
        <v>59</v>
      </c>
    </row>
    <row r="575" spans="1:19">
      <c r="A575" s="111">
        <v>574</v>
      </c>
      <c r="B575" s="121">
        <v>45023</v>
      </c>
      <c r="C575" s="113">
        <f t="shared" si="4"/>
        <v>2023</v>
      </c>
      <c r="D575" s="114">
        <f t="shared" si="5"/>
        <v>4</v>
      </c>
      <c r="E575" s="114" t="s">
        <v>8</v>
      </c>
      <c r="F575" s="114" t="s">
        <v>188</v>
      </c>
      <c r="G575" s="115" t="s">
        <v>189</v>
      </c>
      <c r="H575" s="114" t="s">
        <v>190</v>
      </c>
      <c r="I575" s="114" t="s">
        <v>184</v>
      </c>
      <c r="J575" s="186">
        <v>4</v>
      </c>
      <c r="K575" s="187">
        <v>36</v>
      </c>
      <c r="L575" s="187">
        <v>21</v>
      </c>
      <c r="M575" s="187">
        <v>1.9</v>
      </c>
      <c r="N575" s="187">
        <v>547</v>
      </c>
      <c r="O575" s="187">
        <v>858</v>
      </c>
      <c r="P575" s="188">
        <v>0.25</v>
      </c>
      <c r="Q575" s="189">
        <v>2189</v>
      </c>
      <c r="R575" s="189">
        <v>3430</v>
      </c>
      <c r="S575" s="184" t="s">
        <v>59</v>
      </c>
    </row>
    <row r="576" spans="1:19">
      <c r="A576" s="111">
        <v>575</v>
      </c>
      <c r="B576" s="121">
        <v>45024</v>
      </c>
      <c r="C576" s="113">
        <f t="shared" si="4"/>
        <v>2023</v>
      </c>
      <c r="D576" s="114">
        <f t="shared" si="5"/>
        <v>4</v>
      </c>
      <c r="E576" s="114" t="s">
        <v>8</v>
      </c>
      <c r="F576" s="114" t="s">
        <v>191</v>
      </c>
      <c r="G576" s="115" t="s">
        <v>192</v>
      </c>
      <c r="H576" s="114" t="s">
        <v>193</v>
      </c>
      <c r="I576" s="114" t="s">
        <v>173</v>
      </c>
      <c r="J576" s="186">
        <v>0</v>
      </c>
      <c r="K576" s="187">
        <v>0</v>
      </c>
      <c r="L576" s="187">
        <v>0</v>
      </c>
      <c r="M576" s="187">
        <v>0</v>
      </c>
      <c r="N576" s="187">
        <v>0</v>
      </c>
      <c r="O576" s="187">
        <v>0</v>
      </c>
      <c r="P576" s="188">
        <v>0</v>
      </c>
      <c r="Q576" s="186">
        <v>0</v>
      </c>
      <c r="R576" s="186">
        <v>0</v>
      </c>
      <c r="S576" s="184" t="s">
        <v>59</v>
      </c>
    </row>
    <row r="577" spans="1:19">
      <c r="A577" s="111">
        <v>576</v>
      </c>
      <c r="B577" s="121">
        <v>45025</v>
      </c>
      <c r="C577" s="113">
        <f t="shared" si="4"/>
        <v>2023</v>
      </c>
      <c r="D577" s="114">
        <f t="shared" si="5"/>
        <v>4</v>
      </c>
      <c r="E577" s="114" t="s">
        <v>8</v>
      </c>
      <c r="F577" s="114" t="s">
        <v>245</v>
      </c>
      <c r="G577" s="115" t="s">
        <v>246</v>
      </c>
      <c r="H577" s="114" t="s">
        <v>247</v>
      </c>
      <c r="I577" s="114" t="s">
        <v>184</v>
      </c>
      <c r="J577" s="186">
        <v>3</v>
      </c>
      <c r="K577" s="187">
        <v>40</v>
      </c>
      <c r="L577" s="187">
        <v>26</v>
      </c>
      <c r="M577" s="187">
        <v>2</v>
      </c>
      <c r="N577" s="187">
        <v>1784</v>
      </c>
      <c r="O577" s="187">
        <v>2620</v>
      </c>
      <c r="P577" s="188">
        <v>0</v>
      </c>
      <c r="Q577" s="189">
        <v>1784</v>
      </c>
      <c r="R577" s="189">
        <v>2620</v>
      </c>
      <c r="S577" s="184" t="s">
        <v>59</v>
      </c>
    </row>
    <row r="578" spans="1:19">
      <c r="A578" s="111">
        <v>577</v>
      </c>
      <c r="B578" s="121">
        <v>45026</v>
      </c>
      <c r="C578" s="113">
        <f t="shared" si="4"/>
        <v>2023</v>
      </c>
      <c r="D578" s="114">
        <f t="shared" si="5"/>
        <v>4</v>
      </c>
      <c r="E578" s="114" t="s">
        <v>88</v>
      </c>
      <c r="F578" s="114" t="s">
        <v>195</v>
      </c>
      <c r="G578" s="115" t="s">
        <v>196</v>
      </c>
      <c r="H578" s="114" t="s">
        <v>197</v>
      </c>
      <c r="I578" s="114" t="s">
        <v>184</v>
      </c>
      <c r="J578" s="186">
        <v>2</v>
      </c>
      <c r="K578" s="187">
        <v>40</v>
      </c>
      <c r="L578" s="187">
        <v>29</v>
      </c>
      <c r="M578" s="187">
        <v>1.5</v>
      </c>
      <c r="N578" s="187">
        <v>547</v>
      </c>
      <c r="O578" s="187">
        <v>768</v>
      </c>
      <c r="P578" s="188">
        <v>0</v>
      </c>
      <c r="Q578" s="189">
        <v>1094</v>
      </c>
      <c r="R578" s="189">
        <v>1536</v>
      </c>
      <c r="S578" s="184" t="s">
        <v>59</v>
      </c>
    </row>
    <row r="579" spans="1:19">
      <c r="A579" s="111">
        <v>578</v>
      </c>
      <c r="B579" s="121">
        <v>45027</v>
      </c>
      <c r="C579" s="113">
        <f t="shared" si="4"/>
        <v>2023</v>
      </c>
      <c r="D579" s="114">
        <f t="shared" si="5"/>
        <v>4</v>
      </c>
      <c r="E579" s="114" t="s">
        <v>104</v>
      </c>
      <c r="F579" s="114" t="s">
        <v>198</v>
      </c>
      <c r="G579" s="115" t="s">
        <v>199</v>
      </c>
      <c r="H579" s="114" t="s">
        <v>199</v>
      </c>
      <c r="I579" s="114" t="s">
        <v>200</v>
      </c>
      <c r="J579" s="186">
        <v>0</v>
      </c>
      <c r="K579" s="187">
        <v>0</v>
      </c>
      <c r="L579" s="187">
        <v>0</v>
      </c>
      <c r="M579" s="187">
        <v>0</v>
      </c>
      <c r="N579" s="187">
        <v>0</v>
      </c>
      <c r="O579" s="187">
        <v>0</v>
      </c>
      <c r="P579" s="188">
        <v>0</v>
      </c>
      <c r="Q579" s="186">
        <v>0</v>
      </c>
      <c r="R579" s="186">
        <v>0</v>
      </c>
      <c r="S579" s="184" t="s">
        <v>59</v>
      </c>
    </row>
    <row r="580" spans="1:19">
      <c r="A580" s="111">
        <v>579</v>
      </c>
      <c r="B580" s="121">
        <v>45028</v>
      </c>
      <c r="C580" s="113">
        <f t="shared" si="4"/>
        <v>2023</v>
      </c>
      <c r="D580" s="114">
        <f t="shared" si="5"/>
        <v>4</v>
      </c>
      <c r="E580" s="114" t="s">
        <v>93</v>
      </c>
      <c r="F580" s="114" t="s">
        <v>248</v>
      </c>
      <c r="G580" s="115" t="s">
        <v>199</v>
      </c>
      <c r="H580" s="114" t="s">
        <v>199</v>
      </c>
      <c r="I580" s="114" t="s">
        <v>200</v>
      </c>
      <c r="J580" s="186">
        <v>1</v>
      </c>
      <c r="K580" s="187">
        <v>32</v>
      </c>
      <c r="L580" s="187">
        <v>26</v>
      </c>
      <c r="M580" s="187">
        <v>2</v>
      </c>
      <c r="N580" s="187">
        <v>269</v>
      </c>
      <c r="O580" s="187">
        <v>326</v>
      </c>
      <c r="P580" s="188">
        <v>0</v>
      </c>
      <c r="Q580" s="186">
        <v>0</v>
      </c>
      <c r="R580" s="186">
        <v>0</v>
      </c>
      <c r="S580" s="184" t="s">
        <v>59</v>
      </c>
    </row>
    <row r="581" spans="1:19">
      <c r="A581" s="111">
        <v>580</v>
      </c>
      <c r="B581" s="121">
        <v>45029</v>
      </c>
      <c r="C581" s="113">
        <f t="shared" si="4"/>
        <v>2023</v>
      </c>
      <c r="D581" s="114">
        <f t="shared" si="5"/>
        <v>4</v>
      </c>
      <c r="E581" s="114" t="s">
        <v>30</v>
      </c>
      <c r="F581" s="114" t="s">
        <v>205</v>
      </c>
      <c r="G581" s="115" t="s">
        <v>206</v>
      </c>
      <c r="H581" s="114" t="s">
        <v>207</v>
      </c>
      <c r="I581" s="114" t="s">
        <v>184</v>
      </c>
      <c r="J581" s="186">
        <v>0</v>
      </c>
      <c r="K581" s="187">
        <v>0</v>
      </c>
      <c r="L581" s="187">
        <v>0</v>
      </c>
      <c r="M581" s="187">
        <v>0</v>
      </c>
      <c r="N581" s="187">
        <v>0</v>
      </c>
      <c r="O581" s="187">
        <v>0</v>
      </c>
      <c r="P581" s="188">
        <v>0</v>
      </c>
      <c r="Q581" s="186">
        <v>0</v>
      </c>
      <c r="R581" s="186">
        <v>0</v>
      </c>
      <c r="S581" s="184" t="s">
        <v>59</v>
      </c>
    </row>
    <row r="582" spans="1:19">
      <c r="A582" s="111">
        <v>581</v>
      </c>
      <c r="B582" s="121">
        <v>45030</v>
      </c>
      <c r="C582" s="113">
        <f t="shared" si="4"/>
        <v>2023</v>
      </c>
      <c r="D582" s="114">
        <f t="shared" si="5"/>
        <v>4</v>
      </c>
      <c r="E582" s="114" t="s">
        <v>10</v>
      </c>
      <c r="F582" s="114" t="s">
        <v>208</v>
      </c>
      <c r="G582" s="115" t="s">
        <v>209</v>
      </c>
      <c r="H582" s="114" t="s">
        <v>210</v>
      </c>
      <c r="I582" s="114" t="s">
        <v>173</v>
      </c>
      <c r="J582" s="186">
        <v>4</v>
      </c>
      <c r="K582" s="187">
        <v>58</v>
      </c>
      <c r="L582" s="187">
        <v>33</v>
      </c>
      <c r="M582" s="187">
        <v>2</v>
      </c>
      <c r="N582" s="187">
        <v>1103</v>
      </c>
      <c r="O582" s="187">
        <v>1570</v>
      </c>
      <c r="P582" s="188">
        <v>0</v>
      </c>
      <c r="Q582" s="189">
        <v>4412</v>
      </c>
      <c r="R582" s="189">
        <v>6279</v>
      </c>
      <c r="S582" s="184" t="s">
        <v>59</v>
      </c>
    </row>
    <row r="583" spans="1:19">
      <c r="A583" s="111">
        <v>582</v>
      </c>
      <c r="B583" s="121">
        <v>45031</v>
      </c>
      <c r="C583" s="113">
        <f t="shared" si="4"/>
        <v>2023</v>
      </c>
      <c r="D583" s="114">
        <f t="shared" si="5"/>
        <v>4</v>
      </c>
      <c r="E583" s="114" t="s">
        <v>10</v>
      </c>
      <c r="F583" s="114" t="s">
        <v>211</v>
      </c>
      <c r="G583" s="115" t="s">
        <v>212</v>
      </c>
      <c r="H583" s="114" t="s">
        <v>213</v>
      </c>
      <c r="I583" s="114" t="s">
        <v>173</v>
      </c>
      <c r="J583" s="186">
        <v>0</v>
      </c>
      <c r="K583" s="187">
        <v>0</v>
      </c>
      <c r="L583" s="187">
        <v>0</v>
      </c>
      <c r="M583" s="187">
        <v>0</v>
      </c>
      <c r="N583" s="187">
        <v>0</v>
      </c>
      <c r="O583" s="187">
        <v>0</v>
      </c>
      <c r="P583" s="188">
        <v>0</v>
      </c>
      <c r="Q583" s="186">
        <v>0</v>
      </c>
      <c r="R583" s="186">
        <v>0</v>
      </c>
      <c r="S583" s="184" t="s">
        <v>59</v>
      </c>
    </row>
    <row r="584" spans="1:19">
      <c r="A584" s="111">
        <v>583</v>
      </c>
      <c r="B584" s="121">
        <v>45032</v>
      </c>
      <c r="C584" s="113">
        <f t="shared" si="4"/>
        <v>2023</v>
      </c>
      <c r="D584" s="114">
        <f t="shared" si="5"/>
        <v>4</v>
      </c>
      <c r="E584" s="114" t="s">
        <v>10</v>
      </c>
      <c r="F584" s="114" t="s">
        <v>214</v>
      </c>
      <c r="G584" s="115" t="s">
        <v>215</v>
      </c>
      <c r="H584" s="114" t="s">
        <v>216</v>
      </c>
      <c r="I584" s="114" t="s">
        <v>184</v>
      </c>
      <c r="J584" s="186">
        <v>4</v>
      </c>
      <c r="K584" s="187">
        <v>43</v>
      </c>
      <c r="L584" s="187">
        <v>32</v>
      </c>
      <c r="M584" s="187">
        <v>1.5</v>
      </c>
      <c r="N584" s="187">
        <v>726</v>
      </c>
      <c r="O584" s="187">
        <v>1009</v>
      </c>
      <c r="P584" s="188">
        <v>0</v>
      </c>
      <c r="Q584" s="189">
        <v>2902</v>
      </c>
      <c r="R584" s="189">
        <v>4037</v>
      </c>
      <c r="S584" s="184" t="s">
        <v>59</v>
      </c>
    </row>
    <row r="585" spans="1:19">
      <c r="A585" s="111">
        <v>584</v>
      </c>
      <c r="B585" s="121">
        <v>45033</v>
      </c>
      <c r="C585" s="113">
        <f t="shared" si="4"/>
        <v>2023</v>
      </c>
      <c r="D585" s="114">
        <f t="shared" si="5"/>
        <v>4</v>
      </c>
      <c r="E585" s="114" t="s">
        <v>9</v>
      </c>
      <c r="F585" s="114" t="s">
        <v>217</v>
      </c>
      <c r="G585" s="115" t="s">
        <v>218</v>
      </c>
      <c r="H585" s="114" t="s">
        <v>219</v>
      </c>
      <c r="I585" s="114" t="s">
        <v>184</v>
      </c>
      <c r="J585" s="186">
        <v>5</v>
      </c>
      <c r="K585" s="187">
        <v>73</v>
      </c>
      <c r="L585" s="187">
        <v>32</v>
      </c>
      <c r="M585" s="187">
        <v>2.4</v>
      </c>
      <c r="N585" s="187">
        <v>2204</v>
      </c>
      <c r="O585" s="187">
        <v>3484</v>
      </c>
      <c r="P585" s="188">
        <v>0.2</v>
      </c>
      <c r="Q585" s="189">
        <v>11018</v>
      </c>
      <c r="R585" s="189">
        <v>17421</v>
      </c>
      <c r="S585" s="184" t="s">
        <v>59</v>
      </c>
    </row>
    <row r="586" spans="1:19">
      <c r="A586" s="111">
        <v>585</v>
      </c>
      <c r="B586" s="121">
        <v>45034</v>
      </c>
      <c r="C586" s="113">
        <f t="shared" si="4"/>
        <v>2023</v>
      </c>
      <c r="D586" s="114">
        <f t="shared" si="5"/>
        <v>4</v>
      </c>
      <c r="E586" s="114" t="s">
        <v>11</v>
      </c>
      <c r="F586" s="114" t="s">
        <v>220</v>
      </c>
      <c r="G586" s="115" t="s">
        <v>221</v>
      </c>
      <c r="H586" s="114" t="s">
        <v>222</v>
      </c>
      <c r="I586" s="114" t="s">
        <v>184</v>
      </c>
      <c r="J586" s="186">
        <v>2</v>
      </c>
      <c r="K586" s="187">
        <v>47</v>
      </c>
      <c r="L586" s="187">
        <v>26</v>
      </c>
      <c r="M586" s="187">
        <v>2.1</v>
      </c>
      <c r="N586" s="187">
        <v>599</v>
      </c>
      <c r="O586" s="187">
        <v>896</v>
      </c>
      <c r="P586" s="188">
        <v>1</v>
      </c>
      <c r="Q586" s="189">
        <v>1198</v>
      </c>
      <c r="R586" s="189">
        <v>1791</v>
      </c>
      <c r="S586" s="184" t="s">
        <v>59</v>
      </c>
    </row>
    <row r="587" spans="1:19">
      <c r="A587" s="111">
        <v>586</v>
      </c>
      <c r="B587" s="121">
        <v>45035</v>
      </c>
      <c r="C587" s="113">
        <f t="shared" si="4"/>
        <v>2023</v>
      </c>
      <c r="D587" s="114">
        <f t="shared" si="5"/>
        <v>4</v>
      </c>
      <c r="E587" s="114" t="s">
        <v>11</v>
      </c>
      <c r="F587" s="114" t="s">
        <v>249</v>
      </c>
      <c r="G587" s="115" t="s">
        <v>250</v>
      </c>
      <c r="H587" s="114" t="s">
        <v>251</v>
      </c>
      <c r="I587" s="114" t="s">
        <v>184</v>
      </c>
      <c r="J587" s="186">
        <v>0</v>
      </c>
      <c r="K587" s="187">
        <v>0</v>
      </c>
      <c r="L587" s="187">
        <v>0</v>
      </c>
      <c r="M587" s="187">
        <v>0</v>
      </c>
      <c r="N587" s="187">
        <v>0</v>
      </c>
      <c r="O587" s="187">
        <v>0</v>
      </c>
      <c r="P587" s="188">
        <v>0</v>
      </c>
      <c r="Q587" s="186">
        <v>0</v>
      </c>
      <c r="R587" s="186">
        <v>0</v>
      </c>
      <c r="S587" s="184" t="s">
        <v>59</v>
      </c>
    </row>
    <row r="588" spans="1:19">
      <c r="A588" s="111">
        <v>587</v>
      </c>
      <c r="B588" s="121">
        <v>45036</v>
      </c>
      <c r="C588" s="113">
        <f t="shared" si="4"/>
        <v>2023</v>
      </c>
      <c r="D588" s="114">
        <f t="shared" si="5"/>
        <v>4</v>
      </c>
      <c r="E588" s="114" t="s">
        <v>91</v>
      </c>
      <c r="F588" s="114" t="s">
        <v>178</v>
      </c>
      <c r="G588" s="115" t="s">
        <v>179</v>
      </c>
      <c r="H588" s="114" t="s">
        <v>180</v>
      </c>
      <c r="I588" s="114" t="s">
        <v>173</v>
      </c>
      <c r="J588" s="186">
        <v>2</v>
      </c>
      <c r="K588" s="187">
        <v>51</v>
      </c>
      <c r="L588" s="187">
        <v>25</v>
      </c>
      <c r="M588" s="187">
        <v>2.2999999999999998</v>
      </c>
      <c r="N588" s="187">
        <v>712</v>
      </c>
      <c r="O588" s="187">
        <v>996</v>
      </c>
      <c r="P588" s="188">
        <v>0.5</v>
      </c>
      <c r="Q588" s="189">
        <v>1423</v>
      </c>
      <c r="R588" s="189">
        <v>1991</v>
      </c>
      <c r="S588" s="184" t="s">
        <v>59</v>
      </c>
    </row>
    <row r="589" spans="1:19">
      <c r="A589" s="111">
        <v>588</v>
      </c>
      <c r="B589" s="121">
        <v>45037</v>
      </c>
      <c r="C589" s="113">
        <f t="shared" si="4"/>
        <v>2023</v>
      </c>
      <c r="D589" s="114">
        <f t="shared" si="5"/>
        <v>4</v>
      </c>
      <c r="E589" s="114" t="s">
        <v>23</v>
      </c>
      <c r="F589" s="114" t="s">
        <v>223</v>
      </c>
      <c r="G589" s="115" t="s">
        <v>175</v>
      </c>
      <c r="H589" s="114" t="s">
        <v>176</v>
      </c>
      <c r="I589" s="114" t="s">
        <v>173</v>
      </c>
      <c r="J589" s="186">
        <v>0</v>
      </c>
      <c r="K589" s="187">
        <v>0</v>
      </c>
      <c r="L589" s="187">
        <v>0</v>
      </c>
      <c r="M589" s="187">
        <v>0</v>
      </c>
      <c r="N589" s="187">
        <v>0</v>
      </c>
      <c r="O589" s="187">
        <v>0</v>
      </c>
      <c r="P589" s="188">
        <v>0</v>
      </c>
      <c r="Q589" s="186">
        <v>0</v>
      </c>
      <c r="R589" s="186">
        <v>0</v>
      </c>
      <c r="S589" s="184" t="s">
        <v>59</v>
      </c>
    </row>
    <row r="590" spans="1:19">
      <c r="A590" s="111">
        <v>589</v>
      </c>
      <c r="B590" s="121">
        <v>45038</v>
      </c>
      <c r="C590" s="113">
        <f t="shared" si="4"/>
        <v>2023</v>
      </c>
      <c r="D590" s="114">
        <f t="shared" si="5"/>
        <v>4</v>
      </c>
      <c r="E590" s="114" t="s">
        <v>23</v>
      </c>
      <c r="F590" s="114" t="s">
        <v>224</v>
      </c>
      <c r="G590" s="115" t="s">
        <v>107</v>
      </c>
      <c r="H590" s="114" t="s">
        <v>107</v>
      </c>
      <c r="I590" s="114" t="s">
        <v>107</v>
      </c>
      <c r="J590" s="186">
        <v>0</v>
      </c>
      <c r="K590" s="187">
        <v>0</v>
      </c>
      <c r="L590" s="187">
        <v>0</v>
      </c>
      <c r="M590" s="187">
        <v>0</v>
      </c>
      <c r="N590" s="187">
        <v>0</v>
      </c>
      <c r="O590" s="187">
        <v>0</v>
      </c>
      <c r="P590" s="188">
        <v>0</v>
      </c>
      <c r="Q590" s="186">
        <v>0</v>
      </c>
      <c r="R590" s="186">
        <v>0</v>
      </c>
      <c r="S590" s="184" t="s">
        <v>59</v>
      </c>
    </row>
    <row r="591" spans="1:19">
      <c r="A591" s="111">
        <v>590</v>
      </c>
      <c r="B591" s="121">
        <v>45039</v>
      </c>
      <c r="C591" s="113">
        <f t="shared" si="4"/>
        <v>2023</v>
      </c>
      <c r="D591" s="114">
        <f t="shared" si="5"/>
        <v>4</v>
      </c>
      <c r="E591" s="114" t="s">
        <v>15</v>
      </c>
      <c r="F591" s="114" t="s">
        <v>225</v>
      </c>
      <c r="G591" s="115" t="s">
        <v>226</v>
      </c>
      <c r="H591" s="114" t="s">
        <v>227</v>
      </c>
      <c r="I591" s="114" t="s">
        <v>173</v>
      </c>
      <c r="J591" s="186">
        <v>0</v>
      </c>
      <c r="K591" s="187">
        <v>0</v>
      </c>
      <c r="L591" s="187">
        <v>0</v>
      </c>
      <c r="M591" s="187">
        <v>0</v>
      </c>
      <c r="N591" s="187">
        <v>0</v>
      </c>
      <c r="O591" s="187">
        <v>0</v>
      </c>
      <c r="P591" s="188">
        <v>0</v>
      </c>
      <c r="Q591" s="186">
        <v>0</v>
      </c>
      <c r="R591" s="186">
        <v>0</v>
      </c>
      <c r="S591" s="184" t="s">
        <v>59</v>
      </c>
    </row>
    <row r="592" spans="1:19">
      <c r="A592" s="111">
        <v>591</v>
      </c>
      <c r="B592" s="121">
        <v>45040</v>
      </c>
      <c r="C592" s="113">
        <f t="shared" si="4"/>
        <v>2023</v>
      </c>
      <c r="D592" s="114">
        <f t="shared" si="5"/>
        <v>4</v>
      </c>
      <c r="E592" s="114" t="s">
        <v>84</v>
      </c>
      <c r="F592" s="114" t="s">
        <v>228</v>
      </c>
      <c r="G592" s="115" t="s">
        <v>229</v>
      </c>
      <c r="H592" s="114" t="s">
        <v>230</v>
      </c>
      <c r="I592" s="114" t="s">
        <v>184</v>
      </c>
      <c r="J592" s="186">
        <v>4</v>
      </c>
      <c r="K592" s="187">
        <v>30</v>
      </c>
      <c r="L592" s="187">
        <v>21</v>
      </c>
      <c r="M592" s="187">
        <v>1.5</v>
      </c>
      <c r="N592" s="187">
        <v>423</v>
      </c>
      <c r="O592" s="187">
        <v>561</v>
      </c>
      <c r="P592" s="188">
        <v>0.5</v>
      </c>
      <c r="Q592" s="189">
        <v>1692</v>
      </c>
      <c r="R592" s="189">
        <v>2245</v>
      </c>
      <c r="S592" s="184" t="s">
        <v>59</v>
      </c>
    </row>
    <row r="593" spans="1:19">
      <c r="A593" s="111">
        <v>592</v>
      </c>
      <c r="B593" s="121">
        <v>45041</v>
      </c>
      <c r="C593" s="113">
        <f t="shared" si="4"/>
        <v>2023</v>
      </c>
      <c r="D593" s="114">
        <f t="shared" si="5"/>
        <v>4</v>
      </c>
      <c r="E593" s="114" t="s">
        <v>84</v>
      </c>
      <c r="F593" s="114" t="s">
        <v>231</v>
      </c>
      <c r="G593" s="115" t="s">
        <v>232</v>
      </c>
      <c r="H593" s="114" t="s">
        <v>233</v>
      </c>
      <c r="I593" s="114" t="s">
        <v>184</v>
      </c>
      <c r="J593" s="186">
        <v>3</v>
      </c>
      <c r="K593" s="187">
        <v>19</v>
      </c>
      <c r="L593" s="187">
        <v>20</v>
      </c>
      <c r="M593" s="187">
        <v>1.3</v>
      </c>
      <c r="N593" s="187">
        <v>114</v>
      </c>
      <c r="O593" s="187">
        <v>176</v>
      </c>
      <c r="P593" s="188">
        <v>0.33</v>
      </c>
      <c r="Q593" s="186">
        <v>343</v>
      </c>
      <c r="R593" s="186">
        <v>527</v>
      </c>
      <c r="S593" s="184" t="s">
        <v>59</v>
      </c>
    </row>
    <row r="594" spans="1:19">
      <c r="A594" s="111">
        <v>593</v>
      </c>
      <c r="B594" s="121">
        <v>45042</v>
      </c>
      <c r="C594" s="113">
        <f t="shared" si="4"/>
        <v>2023</v>
      </c>
      <c r="D594" s="114">
        <f t="shared" si="5"/>
        <v>4</v>
      </c>
      <c r="E594" s="114" t="s">
        <v>84</v>
      </c>
      <c r="F594" s="114" t="s">
        <v>249</v>
      </c>
      <c r="G594" s="125" t="s">
        <v>250</v>
      </c>
      <c r="H594" s="185" t="s">
        <v>251</v>
      </c>
      <c r="I594" s="185"/>
      <c r="J594" s="186">
        <v>0</v>
      </c>
      <c r="K594" s="187">
        <v>0</v>
      </c>
      <c r="L594" s="187">
        <v>0</v>
      </c>
      <c r="M594" s="187">
        <v>0</v>
      </c>
      <c r="N594" s="187">
        <v>0</v>
      </c>
      <c r="O594" s="187">
        <v>0</v>
      </c>
      <c r="P594" s="188">
        <v>0</v>
      </c>
      <c r="Q594" s="186">
        <v>0</v>
      </c>
      <c r="R594" s="186">
        <v>0</v>
      </c>
      <c r="S594" s="184" t="s">
        <v>59</v>
      </c>
    </row>
    <row r="595" spans="1:19">
      <c r="A595" s="111">
        <v>594</v>
      </c>
      <c r="B595" s="121">
        <v>45043</v>
      </c>
      <c r="C595" s="113">
        <f t="shared" si="4"/>
        <v>2023</v>
      </c>
      <c r="D595" s="114">
        <f t="shared" si="5"/>
        <v>4</v>
      </c>
      <c r="E595" s="114" t="s">
        <v>22</v>
      </c>
      <c r="F595" s="114" t="s">
        <v>174</v>
      </c>
      <c r="G595" s="115" t="s">
        <v>175</v>
      </c>
      <c r="H595" s="114" t="s">
        <v>176</v>
      </c>
      <c r="I595" s="114" t="s">
        <v>173</v>
      </c>
      <c r="J595" s="186">
        <v>4</v>
      </c>
      <c r="K595" s="187">
        <v>74</v>
      </c>
      <c r="L595" s="187">
        <v>35</v>
      </c>
      <c r="M595" s="187">
        <v>2.2000000000000002</v>
      </c>
      <c r="N595" s="187">
        <v>1962</v>
      </c>
      <c r="O595" s="187">
        <v>3092</v>
      </c>
      <c r="P595" s="188">
        <v>0.5</v>
      </c>
      <c r="Q595" s="189">
        <v>7849</v>
      </c>
      <c r="R595" s="189">
        <v>12368</v>
      </c>
      <c r="S595" s="184" t="s">
        <v>59</v>
      </c>
    </row>
    <row r="596" spans="1:19">
      <c r="A596" s="111">
        <v>595</v>
      </c>
      <c r="B596" s="121">
        <v>45044</v>
      </c>
      <c r="C596" s="113">
        <f t="shared" si="4"/>
        <v>2023</v>
      </c>
      <c r="D596" s="114">
        <f t="shared" si="5"/>
        <v>4</v>
      </c>
      <c r="E596" s="114" t="s">
        <v>22</v>
      </c>
      <c r="F596" s="114" t="s">
        <v>177</v>
      </c>
      <c r="G596" s="115" t="s">
        <v>175</v>
      </c>
      <c r="H596" s="114" t="s">
        <v>176</v>
      </c>
      <c r="I596" s="114" t="s">
        <v>173</v>
      </c>
      <c r="J596" s="186">
        <v>0</v>
      </c>
      <c r="K596" s="187">
        <v>0</v>
      </c>
      <c r="L596" s="187">
        <v>0</v>
      </c>
      <c r="M596" s="187">
        <v>0</v>
      </c>
      <c r="N596" s="187">
        <v>0</v>
      </c>
      <c r="O596" s="187">
        <v>0</v>
      </c>
      <c r="P596" s="188">
        <v>0</v>
      </c>
      <c r="Q596" s="186">
        <v>0</v>
      </c>
      <c r="R596" s="186">
        <v>0</v>
      </c>
      <c r="S596" s="184" t="s">
        <v>59</v>
      </c>
    </row>
    <row r="597" spans="1:19">
      <c r="A597" s="111">
        <v>596</v>
      </c>
      <c r="B597" s="121">
        <v>45045</v>
      </c>
      <c r="C597" s="113">
        <f t="shared" si="4"/>
        <v>2023</v>
      </c>
      <c r="D597" s="114">
        <f t="shared" si="5"/>
        <v>4</v>
      </c>
      <c r="E597" s="114" t="s">
        <v>22</v>
      </c>
      <c r="F597" s="114" t="s">
        <v>223</v>
      </c>
      <c r="G597" s="115" t="s">
        <v>175</v>
      </c>
      <c r="H597" s="114" t="s">
        <v>176</v>
      </c>
      <c r="I597" s="114" t="s">
        <v>173</v>
      </c>
      <c r="J597" s="186">
        <v>0</v>
      </c>
      <c r="K597" s="187">
        <v>0</v>
      </c>
      <c r="L597" s="187">
        <v>0</v>
      </c>
      <c r="M597" s="187">
        <v>0</v>
      </c>
      <c r="N597" s="187">
        <v>0</v>
      </c>
      <c r="O597" s="187">
        <v>0</v>
      </c>
      <c r="P597" s="188">
        <v>0</v>
      </c>
      <c r="Q597" s="186">
        <v>0</v>
      </c>
      <c r="R597" s="186">
        <v>0</v>
      </c>
      <c r="S597" s="184" t="s">
        <v>59</v>
      </c>
    </row>
    <row r="598" spans="1:19">
      <c r="A598" s="111">
        <v>597</v>
      </c>
      <c r="B598" s="121">
        <v>45046</v>
      </c>
      <c r="C598" s="113">
        <f t="shared" si="4"/>
        <v>2023</v>
      </c>
      <c r="D598" s="114">
        <f t="shared" si="5"/>
        <v>4</v>
      </c>
      <c r="E598" s="114" t="s">
        <v>12</v>
      </c>
      <c r="F598" s="114" t="s">
        <v>220</v>
      </c>
      <c r="G598" s="115" t="s">
        <v>221</v>
      </c>
      <c r="H598" s="114" t="s">
        <v>222</v>
      </c>
      <c r="I598" s="114" t="s">
        <v>184</v>
      </c>
      <c r="J598" s="186">
        <v>1</v>
      </c>
      <c r="K598" s="187">
        <v>50</v>
      </c>
      <c r="L598" s="187">
        <v>26</v>
      </c>
      <c r="M598" s="187">
        <v>2.1</v>
      </c>
      <c r="N598" s="187">
        <v>1099</v>
      </c>
      <c r="O598" s="187">
        <v>1641</v>
      </c>
      <c r="P598" s="188">
        <v>1</v>
      </c>
      <c r="Q598" s="189">
        <v>1099</v>
      </c>
      <c r="R598" s="189">
        <v>1641</v>
      </c>
      <c r="S598" s="184" t="s">
        <v>59</v>
      </c>
    </row>
    <row r="599" spans="1:19">
      <c r="A599" s="111">
        <v>598</v>
      </c>
      <c r="B599" s="121">
        <v>45017</v>
      </c>
      <c r="C599" s="113">
        <f t="shared" si="4"/>
        <v>2023</v>
      </c>
      <c r="D599" s="114">
        <f t="shared" si="5"/>
        <v>4</v>
      </c>
      <c r="E599" s="114" t="s">
        <v>12</v>
      </c>
      <c r="F599" s="114" t="s">
        <v>234</v>
      </c>
      <c r="G599" s="115" t="s">
        <v>235</v>
      </c>
      <c r="H599" s="114" t="s">
        <v>236</v>
      </c>
      <c r="I599" s="114" t="s">
        <v>184</v>
      </c>
      <c r="J599" s="186">
        <v>4</v>
      </c>
      <c r="K599" s="187">
        <v>35</v>
      </c>
      <c r="L599" s="187">
        <v>22</v>
      </c>
      <c r="M599" s="187">
        <v>1.7</v>
      </c>
      <c r="N599" s="187">
        <v>750</v>
      </c>
      <c r="O599" s="187">
        <v>1163</v>
      </c>
      <c r="P599" s="188">
        <v>0.5</v>
      </c>
      <c r="Q599" s="189">
        <v>3001</v>
      </c>
      <c r="R599" s="189">
        <v>4652</v>
      </c>
      <c r="S599" s="184" t="s">
        <v>59</v>
      </c>
    </row>
    <row r="600" spans="1:19">
      <c r="A600" s="111">
        <v>599</v>
      </c>
      <c r="B600" s="121">
        <v>45018</v>
      </c>
      <c r="C600" s="113">
        <f t="shared" si="4"/>
        <v>2023</v>
      </c>
      <c r="D600" s="114">
        <f t="shared" si="5"/>
        <v>4</v>
      </c>
      <c r="E600" s="114" t="s">
        <v>12</v>
      </c>
      <c r="F600" s="114" t="s">
        <v>237</v>
      </c>
      <c r="G600" s="115" t="s">
        <v>199</v>
      </c>
      <c r="H600" s="114" t="s">
        <v>199</v>
      </c>
      <c r="I600" s="114" t="s">
        <v>200</v>
      </c>
      <c r="J600" s="186">
        <v>0</v>
      </c>
      <c r="K600" s="187">
        <v>0</v>
      </c>
      <c r="L600" s="187">
        <v>0</v>
      </c>
      <c r="M600" s="187">
        <v>0</v>
      </c>
      <c r="N600" s="187">
        <v>0</v>
      </c>
      <c r="O600" s="187">
        <v>0</v>
      </c>
      <c r="P600" s="188">
        <v>0</v>
      </c>
      <c r="Q600" s="186">
        <v>0</v>
      </c>
      <c r="R600" s="186">
        <v>0</v>
      </c>
      <c r="S600" s="184" t="s">
        <v>59</v>
      </c>
    </row>
    <row r="601" spans="1:19">
      <c r="A601" s="111">
        <v>600</v>
      </c>
      <c r="B601" s="121">
        <v>45019</v>
      </c>
      <c r="C601" s="113">
        <f t="shared" si="4"/>
        <v>2023</v>
      </c>
      <c r="D601" s="114">
        <f t="shared" si="5"/>
        <v>4</v>
      </c>
      <c r="E601" s="114" t="s">
        <v>12</v>
      </c>
      <c r="F601" s="114" t="s">
        <v>252</v>
      </c>
      <c r="G601" s="115" t="s">
        <v>253</v>
      </c>
      <c r="H601" s="114" t="s">
        <v>254</v>
      </c>
      <c r="I601" s="114" t="s">
        <v>184</v>
      </c>
      <c r="J601" s="186">
        <v>0</v>
      </c>
      <c r="K601" s="187">
        <v>0</v>
      </c>
      <c r="L601" s="187">
        <v>0</v>
      </c>
      <c r="M601" s="187">
        <v>0</v>
      </c>
      <c r="N601" s="187">
        <v>0</v>
      </c>
      <c r="O601" s="187">
        <v>0</v>
      </c>
      <c r="P601" s="188">
        <v>0</v>
      </c>
      <c r="Q601" s="186">
        <v>0</v>
      </c>
      <c r="R601" s="186">
        <v>0</v>
      </c>
      <c r="S601" s="184" t="s">
        <v>59</v>
      </c>
    </row>
    <row r="602" spans="1:19">
      <c r="A602" s="111">
        <v>601</v>
      </c>
      <c r="B602" s="121">
        <v>45020</v>
      </c>
      <c r="C602" s="113">
        <f t="shared" si="4"/>
        <v>2023</v>
      </c>
      <c r="D602" s="114">
        <f t="shared" si="5"/>
        <v>4</v>
      </c>
      <c r="E602" s="114" t="s">
        <v>26</v>
      </c>
      <c r="F602" s="114" t="s">
        <v>238</v>
      </c>
      <c r="G602" s="115" t="s">
        <v>175</v>
      </c>
      <c r="H602" s="114" t="s">
        <v>176</v>
      </c>
      <c r="I602" s="114" t="s">
        <v>173</v>
      </c>
      <c r="J602" s="186">
        <v>0</v>
      </c>
      <c r="K602" s="187">
        <v>0</v>
      </c>
      <c r="L602" s="187">
        <v>0</v>
      </c>
      <c r="M602" s="187">
        <v>0</v>
      </c>
      <c r="N602" s="187">
        <v>0</v>
      </c>
      <c r="O602" s="187">
        <v>0</v>
      </c>
      <c r="P602" s="188">
        <v>0</v>
      </c>
      <c r="Q602" s="186">
        <v>0</v>
      </c>
      <c r="R602" s="186">
        <v>0</v>
      </c>
      <c r="S602" s="184" t="s">
        <v>59</v>
      </c>
    </row>
    <row r="603" spans="1:19">
      <c r="A603" s="111">
        <v>602</v>
      </c>
      <c r="B603" s="121">
        <v>45021</v>
      </c>
      <c r="C603" s="113">
        <f t="shared" si="4"/>
        <v>2023</v>
      </c>
      <c r="D603" s="114">
        <f t="shared" si="5"/>
        <v>4</v>
      </c>
      <c r="E603" s="114" t="s">
        <v>19</v>
      </c>
      <c r="F603" s="114" t="s">
        <v>178</v>
      </c>
      <c r="G603" s="115" t="s">
        <v>179</v>
      </c>
      <c r="H603" s="114" t="s">
        <v>180</v>
      </c>
      <c r="I603" s="114" t="s">
        <v>173</v>
      </c>
      <c r="J603" s="186">
        <v>1</v>
      </c>
      <c r="K603" s="187">
        <v>35</v>
      </c>
      <c r="L603" s="187">
        <v>20</v>
      </c>
      <c r="M603" s="187">
        <v>1.8</v>
      </c>
      <c r="N603" s="187">
        <v>768</v>
      </c>
      <c r="O603" s="187">
        <v>1146</v>
      </c>
      <c r="P603" s="188">
        <v>1</v>
      </c>
      <c r="Q603" s="186">
        <v>768</v>
      </c>
      <c r="R603" s="189">
        <v>1146</v>
      </c>
      <c r="S603" s="184" t="s">
        <v>59</v>
      </c>
    </row>
    <row r="604" spans="1:19">
      <c r="A604" s="111">
        <v>603</v>
      </c>
      <c r="B604" s="121">
        <v>45022</v>
      </c>
      <c r="C604" s="113">
        <f t="shared" si="4"/>
        <v>2023</v>
      </c>
      <c r="D604" s="114">
        <f t="shared" si="5"/>
        <v>4</v>
      </c>
      <c r="E604" s="114" t="s">
        <v>7</v>
      </c>
      <c r="F604" s="114" t="s">
        <v>239</v>
      </c>
      <c r="G604" s="115" t="s">
        <v>240</v>
      </c>
      <c r="H604" s="114" t="s">
        <v>241</v>
      </c>
      <c r="I604" s="114" t="s">
        <v>184</v>
      </c>
      <c r="J604" s="186">
        <v>4</v>
      </c>
      <c r="K604" s="187">
        <v>54</v>
      </c>
      <c r="L604" s="187">
        <v>35</v>
      </c>
      <c r="M604" s="187">
        <v>1.8</v>
      </c>
      <c r="N604" s="187">
        <v>630</v>
      </c>
      <c r="O604" s="187">
        <v>932</v>
      </c>
      <c r="P604" s="188">
        <v>0</v>
      </c>
      <c r="Q604" s="189">
        <v>2521</v>
      </c>
      <c r="R604" s="189">
        <v>3728</v>
      </c>
      <c r="S604" s="184" t="s">
        <v>59</v>
      </c>
    </row>
    <row r="605" spans="1:19">
      <c r="A605" s="111">
        <v>604</v>
      </c>
      <c r="B605" s="121">
        <v>45023</v>
      </c>
      <c r="C605" s="113">
        <f t="shared" si="4"/>
        <v>2023</v>
      </c>
      <c r="D605" s="114">
        <f t="shared" si="5"/>
        <v>4</v>
      </c>
      <c r="E605" s="114" t="s">
        <v>7</v>
      </c>
      <c r="F605" s="114" t="s">
        <v>220</v>
      </c>
      <c r="G605" s="115" t="s">
        <v>221</v>
      </c>
      <c r="H605" s="114" t="s">
        <v>222</v>
      </c>
      <c r="I605" s="114" t="s">
        <v>184</v>
      </c>
      <c r="J605" s="186">
        <v>1</v>
      </c>
      <c r="K605" s="187">
        <v>28</v>
      </c>
      <c r="L605" s="187">
        <v>16</v>
      </c>
      <c r="M605" s="187">
        <v>1.8</v>
      </c>
      <c r="N605" s="187">
        <v>478</v>
      </c>
      <c r="O605" s="187">
        <v>712</v>
      </c>
      <c r="P605" s="188">
        <v>1</v>
      </c>
      <c r="Q605" s="186">
        <v>478</v>
      </c>
      <c r="R605" s="186">
        <v>712</v>
      </c>
      <c r="S605" s="184" t="s">
        <v>59</v>
      </c>
    </row>
    <row r="606" spans="1:19">
      <c r="A606" s="111">
        <v>605</v>
      </c>
      <c r="B606" s="121">
        <v>45024</v>
      </c>
      <c r="C606" s="113">
        <f t="shared" si="4"/>
        <v>2023</v>
      </c>
      <c r="D606" s="114">
        <f t="shared" si="5"/>
        <v>4</v>
      </c>
      <c r="E606" s="114" t="s">
        <v>7</v>
      </c>
      <c r="F606" s="114" t="s">
        <v>242</v>
      </c>
      <c r="G606" s="115" t="s">
        <v>243</v>
      </c>
      <c r="H606" s="114" t="s">
        <v>244</v>
      </c>
      <c r="I606" s="114" t="s">
        <v>184</v>
      </c>
      <c r="J606" s="186">
        <v>5</v>
      </c>
      <c r="K606" s="187">
        <v>61</v>
      </c>
      <c r="L606" s="187">
        <v>31</v>
      </c>
      <c r="M606" s="187">
        <v>2.1</v>
      </c>
      <c r="N606" s="187">
        <v>950</v>
      </c>
      <c r="O606" s="187">
        <v>1597</v>
      </c>
      <c r="P606" s="188">
        <v>0</v>
      </c>
      <c r="Q606" s="189">
        <v>4748</v>
      </c>
      <c r="R606" s="189">
        <v>7983</v>
      </c>
      <c r="S606" s="184" t="s">
        <v>59</v>
      </c>
    </row>
    <row r="607" spans="1:19">
      <c r="A607" s="111">
        <v>606</v>
      </c>
      <c r="B607" s="121">
        <v>45025</v>
      </c>
      <c r="C607" s="113">
        <f t="shared" si="4"/>
        <v>2023</v>
      </c>
      <c r="D607" s="114">
        <f t="shared" si="5"/>
        <v>4</v>
      </c>
      <c r="E607" s="114" t="s">
        <v>7</v>
      </c>
      <c r="F607" s="114" t="s">
        <v>255</v>
      </c>
      <c r="G607" s="115" t="s">
        <v>256</v>
      </c>
      <c r="H607" s="114" t="s">
        <v>257</v>
      </c>
      <c r="I607" s="114" t="s">
        <v>173</v>
      </c>
      <c r="J607" s="186">
        <v>4</v>
      </c>
      <c r="K607" s="187">
        <v>71</v>
      </c>
      <c r="L607" s="187">
        <v>35</v>
      </c>
      <c r="M607" s="187">
        <v>2.2999999999999998</v>
      </c>
      <c r="N607" s="187">
        <v>1748</v>
      </c>
      <c r="O607" s="187">
        <v>2673</v>
      </c>
      <c r="P607" s="188">
        <v>0.5</v>
      </c>
      <c r="Q607" s="189">
        <v>6992</v>
      </c>
      <c r="R607" s="189">
        <v>10692</v>
      </c>
      <c r="S607" s="184" t="s">
        <v>59</v>
      </c>
    </row>
    <row r="608" spans="1:19">
      <c r="A608" s="111">
        <v>607</v>
      </c>
      <c r="B608" s="121">
        <v>45026</v>
      </c>
      <c r="C608" s="113">
        <f t="shared" si="4"/>
        <v>2023</v>
      </c>
      <c r="D608" s="114">
        <f t="shared" si="5"/>
        <v>4</v>
      </c>
      <c r="E608" s="114" t="s">
        <v>7</v>
      </c>
      <c r="F608" s="114" t="s">
        <v>258</v>
      </c>
      <c r="G608" s="115" t="s">
        <v>256</v>
      </c>
      <c r="H608" s="114" t="s">
        <v>257</v>
      </c>
      <c r="I608" s="114" t="s">
        <v>200</v>
      </c>
      <c r="J608" s="186">
        <v>0</v>
      </c>
      <c r="K608" s="187">
        <v>0</v>
      </c>
      <c r="L608" s="187">
        <v>0</v>
      </c>
      <c r="M608" s="187">
        <v>0</v>
      </c>
      <c r="N608" s="187">
        <v>0</v>
      </c>
      <c r="O608" s="187">
        <v>0</v>
      </c>
      <c r="P608" s="188">
        <v>0</v>
      </c>
      <c r="Q608" s="186">
        <v>0</v>
      </c>
      <c r="R608" s="186">
        <v>0</v>
      </c>
      <c r="S608" s="184" t="s">
        <v>59</v>
      </c>
    </row>
    <row r="609" spans="1:19">
      <c r="A609" s="111">
        <v>608</v>
      </c>
      <c r="B609" s="121">
        <v>45027</v>
      </c>
      <c r="C609" s="113">
        <f t="shared" si="4"/>
        <v>2023</v>
      </c>
      <c r="D609" s="114">
        <f t="shared" si="5"/>
        <v>4</v>
      </c>
      <c r="E609" s="114" t="s">
        <v>24</v>
      </c>
      <c r="F609" s="114" t="s">
        <v>259</v>
      </c>
      <c r="G609" s="115" t="s">
        <v>260</v>
      </c>
      <c r="H609" s="114" t="s">
        <v>261</v>
      </c>
      <c r="I609" s="114" t="s">
        <v>184</v>
      </c>
      <c r="J609" s="186">
        <v>1</v>
      </c>
      <c r="K609" s="187">
        <v>7</v>
      </c>
      <c r="L609" s="187">
        <v>22</v>
      </c>
      <c r="M609" s="187">
        <v>0.8</v>
      </c>
      <c r="N609" s="187">
        <v>29</v>
      </c>
      <c r="O609" s="187">
        <v>47</v>
      </c>
      <c r="P609" s="188">
        <v>0</v>
      </c>
      <c r="Q609" s="186">
        <v>29</v>
      </c>
      <c r="R609" s="186">
        <v>47</v>
      </c>
      <c r="S609" s="184" t="s">
        <v>59</v>
      </c>
    </row>
    <row r="610" spans="1:19">
      <c r="A610" s="111">
        <v>609</v>
      </c>
      <c r="B610" s="121">
        <v>45028</v>
      </c>
      <c r="C610" s="113">
        <f t="shared" si="4"/>
        <v>2023</v>
      </c>
      <c r="D610" s="114">
        <f t="shared" si="5"/>
        <v>4</v>
      </c>
      <c r="E610" s="114" t="s">
        <v>24</v>
      </c>
      <c r="F610" s="114" t="s">
        <v>262</v>
      </c>
      <c r="G610" s="115" t="s">
        <v>263</v>
      </c>
      <c r="H610" s="114" t="s">
        <v>264</v>
      </c>
      <c r="I610" s="114" t="s">
        <v>184</v>
      </c>
      <c r="J610" s="186">
        <v>4</v>
      </c>
      <c r="K610" s="187">
        <v>19</v>
      </c>
      <c r="L610" s="187">
        <v>26</v>
      </c>
      <c r="M610" s="187">
        <v>1.2</v>
      </c>
      <c r="N610" s="187">
        <v>159</v>
      </c>
      <c r="O610" s="187">
        <v>257</v>
      </c>
      <c r="P610" s="188">
        <v>0.5</v>
      </c>
      <c r="Q610" s="186">
        <v>636</v>
      </c>
      <c r="R610" s="186">
        <v>1028</v>
      </c>
      <c r="S610" s="184" t="s">
        <v>59</v>
      </c>
    </row>
    <row r="611" spans="1:19">
      <c r="A611" s="111">
        <v>610</v>
      </c>
      <c r="B611" s="121">
        <v>45029</v>
      </c>
      <c r="C611" s="113">
        <f t="shared" si="4"/>
        <v>2023</v>
      </c>
      <c r="D611" s="114">
        <f t="shared" si="5"/>
        <v>4</v>
      </c>
      <c r="E611" s="114" t="s">
        <v>28</v>
      </c>
      <c r="F611" s="114" t="s">
        <v>265</v>
      </c>
      <c r="G611" s="115" t="s">
        <v>266</v>
      </c>
      <c r="H611" s="114" t="s">
        <v>267</v>
      </c>
      <c r="I611" s="114" t="s">
        <v>184</v>
      </c>
      <c r="J611" s="186">
        <v>0</v>
      </c>
      <c r="K611" s="187">
        <v>0</v>
      </c>
      <c r="L611" s="187">
        <v>0</v>
      </c>
      <c r="M611" s="187">
        <v>0</v>
      </c>
      <c r="N611" s="187">
        <v>0</v>
      </c>
      <c r="O611" s="187">
        <v>0</v>
      </c>
      <c r="P611" s="188">
        <v>0</v>
      </c>
      <c r="Q611" s="186">
        <v>0</v>
      </c>
      <c r="R611" s="186">
        <v>0</v>
      </c>
      <c r="S611" s="184" t="s">
        <v>59</v>
      </c>
    </row>
    <row r="612" spans="1:19">
      <c r="A612" s="111">
        <v>611</v>
      </c>
      <c r="B612" s="121">
        <v>45030</v>
      </c>
      <c r="C612" s="113">
        <f t="shared" si="4"/>
        <v>2023</v>
      </c>
      <c r="D612" s="114">
        <f t="shared" si="5"/>
        <v>4</v>
      </c>
      <c r="E612" s="114" t="s">
        <v>93</v>
      </c>
      <c r="F612" s="114" t="s">
        <v>265</v>
      </c>
      <c r="G612" s="115" t="s">
        <v>266</v>
      </c>
      <c r="H612" s="114" t="s">
        <v>267</v>
      </c>
      <c r="I612" s="114" t="s">
        <v>184</v>
      </c>
      <c r="J612" s="186">
        <v>0</v>
      </c>
      <c r="K612" s="187">
        <v>0</v>
      </c>
      <c r="L612" s="187">
        <v>0</v>
      </c>
      <c r="M612" s="187">
        <v>0</v>
      </c>
      <c r="N612" s="187">
        <v>0</v>
      </c>
      <c r="O612" s="187">
        <v>0</v>
      </c>
      <c r="P612" s="188">
        <v>0</v>
      </c>
      <c r="Q612" s="186">
        <v>0</v>
      </c>
      <c r="R612" s="186">
        <v>0</v>
      </c>
      <c r="S612" s="184" t="s">
        <v>59</v>
      </c>
    </row>
    <row r="613" spans="1:19">
      <c r="A613" s="111">
        <v>612</v>
      </c>
      <c r="B613" s="121">
        <v>45031</v>
      </c>
      <c r="C613" s="113">
        <f t="shared" si="4"/>
        <v>2023</v>
      </c>
      <c r="D613" s="114">
        <f t="shared" si="5"/>
        <v>4</v>
      </c>
      <c r="E613" s="114" t="s">
        <v>10</v>
      </c>
      <c r="F613" s="114" t="s">
        <v>268</v>
      </c>
      <c r="G613" s="115" t="s">
        <v>269</v>
      </c>
      <c r="H613" s="114" t="s">
        <v>270</v>
      </c>
      <c r="I613" s="114" t="s">
        <v>184</v>
      </c>
      <c r="J613" s="186">
        <v>0</v>
      </c>
      <c r="K613" s="187">
        <v>0</v>
      </c>
      <c r="L613" s="187">
        <v>0</v>
      </c>
      <c r="M613" s="187">
        <v>0</v>
      </c>
      <c r="N613" s="187">
        <v>0</v>
      </c>
      <c r="O613" s="187">
        <v>0</v>
      </c>
      <c r="P613" s="188">
        <v>0</v>
      </c>
      <c r="Q613" s="186">
        <v>0</v>
      </c>
      <c r="R613" s="186">
        <v>0</v>
      </c>
      <c r="S613" s="184" t="s">
        <v>59</v>
      </c>
    </row>
    <row r="614" spans="1:19">
      <c r="A614" s="111">
        <v>613</v>
      </c>
      <c r="B614" s="121">
        <v>45032</v>
      </c>
      <c r="C614" s="113">
        <f t="shared" si="4"/>
        <v>2023</v>
      </c>
      <c r="D614" s="114">
        <f t="shared" si="5"/>
        <v>4</v>
      </c>
      <c r="E614" s="114" t="s">
        <v>32</v>
      </c>
      <c r="F614" s="114" t="s">
        <v>249</v>
      </c>
      <c r="G614" s="115" t="s">
        <v>250</v>
      </c>
      <c r="H614" s="114" t="s">
        <v>251</v>
      </c>
      <c r="I614" s="114" t="s">
        <v>184</v>
      </c>
      <c r="J614" s="186">
        <v>0</v>
      </c>
      <c r="K614" s="187">
        <v>0</v>
      </c>
      <c r="L614" s="187">
        <v>0</v>
      </c>
      <c r="M614" s="187">
        <v>0</v>
      </c>
      <c r="N614" s="187">
        <v>0</v>
      </c>
      <c r="O614" s="187">
        <v>0</v>
      </c>
      <c r="P614" s="188">
        <v>0</v>
      </c>
      <c r="Q614" s="186">
        <v>0</v>
      </c>
      <c r="R614" s="186">
        <v>0</v>
      </c>
      <c r="S614" s="184" t="s">
        <v>59</v>
      </c>
    </row>
    <row r="615" spans="1:19">
      <c r="A615" s="111">
        <v>614</v>
      </c>
      <c r="B615" s="121">
        <v>45033</v>
      </c>
      <c r="C615" s="113">
        <f t="shared" si="4"/>
        <v>2023</v>
      </c>
      <c r="D615" s="114">
        <f t="shared" si="5"/>
        <v>4</v>
      </c>
      <c r="E615" s="114" t="s">
        <v>79</v>
      </c>
      <c r="F615" s="114" t="s">
        <v>255</v>
      </c>
      <c r="G615" s="115" t="s">
        <v>256</v>
      </c>
      <c r="H615" s="114" t="s">
        <v>257</v>
      </c>
      <c r="I615" s="114" t="s">
        <v>173</v>
      </c>
      <c r="J615" s="186">
        <v>0</v>
      </c>
      <c r="K615" s="187">
        <v>0</v>
      </c>
      <c r="L615" s="187">
        <v>0</v>
      </c>
      <c r="M615" s="187">
        <v>0</v>
      </c>
      <c r="N615" s="187">
        <v>0</v>
      </c>
      <c r="O615" s="187">
        <v>0</v>
      </c>
      <c r="P615" s="188">
        <v>0</v>
      </c>
      <c r="Q615" s="186">
        <v>0</v>
      </c>
      <c r="R615" s="186">
        <v>0</v>
      </c>
      <c r="S615" s="184" t="s">
        <v>59</v>
      </c>
    </row>
    <row r="616" spans="1:19">
      <c r="A616" s="111">
        <v>615</v>
      </c>
      <c r="B616" s="121">
        <v>45034</v>
      </c>
      <c r="C616" s="113">
        <f t="shared" si="4"/>
        <v>2023</v>
      </c>
      <c r="D616" s="114">
        <f t="shared" si="5"/>
        <v>4</v>
      </c>
      <c r="E616" s="114" t="s">
        <v>101</v>
      </c>
      <c r="F616" s="114" t="s">
        <v>249</v>
      </c>
      <c r="G616" s="115" t="s">
        <v>250</v>
      </c>
      <c r="H616" s="114" t="s">
        <v>251</v>
      </c>
      <c r="I616" s="114" t="s">
        <v>184</v>
      </c>
      <c r="J616" s="186">
        <v>0</v>
      </c>
      <c r="K616" s="187">
        <v>0</v>
      </c>
      <c r="L616" s="187">
        <v>0</v>
      </c>
      <c r="M616" s="187">
        <v>0</v>
      </c>
      <c r="N616" s="187">
        <v>0</v>
      </c>
      <c r="O616" s="187">
        <v>0</v>
      </c>
      <c r="P616" s="188">
        <v>0</v>
      </c>
      <c r="Q616" s="186">
        <v>0</v>
      </c>
      <c r="R616" s="186">
        <v>0</v>
      </c>
      <c r="S616" s="184" t="s">
        <v>59</v>
      </c>
    </row>
    <row r="617" spans="1:19">
      <c r="A617" s="111">
        <v>616</v>
      </c>
      <c r="B617" s="121">
        <v>45035</v>
      </c>
      <c r="C617" s="113">
        <f t="shared" si="4"/>
        <v>2023</v>
      </c>
      <c r="D617" s="114">
        <f t="shared" si="5"/>
        <v>4</v>
      </c>
      <c r="E617" s="114" t="s">
        <v>116</v>
      </c>
      <c r="F617" s="114" t="s">
        <v>271</v>
      </c>
      <c r="G617" s="185"/>
      <c r="H617" s="185"/>
      <c r="I617" s="185"/>
      <c r="J617" s="186">
        <v>0</v>
      </c>
      <c r="K617" s="187">
        <v>0</v>
      </c>
      <c r="L617" s="187">
        <v>0</v>
      </c>
      <c r="M617" s="187">
        <v>0</v>
      </c>
      <c r="N617" s="187">
        <v>0</v>
      </c>
      <c r="O617" s="187">
        <v>0</v>
      </c>
      <c r="P617" s="188">
        <v>0</v>
      </c>
      <c r="Q617" s="186">
        <v>0</v>
      </c>
      <c r="R617" s="186">
        <v>0</v>
      </c>
      <c r="S617" s="184" t="s">
        <v>59</v>
      </c>
    </row>
    <row r="618" spans="1:19">
      <c r="A618" s="111">
        <v>617</v>
      </c>
      <c r="B618" s="121">
        <v>45047</v>
      </c>
      <c r="C618" s="113">
        <f t="shared" si="4"/>
        <v>2023</v>
      </c>
      <c r="D618" s="114">
        <f t="shared" si="5"/>
        <v>5</v>
      </c>
      <c r="E618" s="114" t="s">
        <v>79</v>
      </c>
      <c r="F618" s="114" t="s">
        <v>170</v>
      </c>
      <c r="G618" s="115" t="s">
        <v>171</v>
      </c>
      <c r="H618" s="114" t="s">
        <v>172</v>
      </c>
      <c r="I618" s="114" t="s">
        <v>173</v>
      </c>
      <c r="J618" s="186">
        <v>2</v>
      </c>
      <c r="K618" s="187">
        <v>32</v>
      </c>
      <c r="L618" s="187">
        <v>24</v>
      </c>
      <c r="M618" s="187">
        <v>1.5</v>
      </c>
      <c r="N618" s="187">
        <v>392</v>
      </c>
      <c r="O618" s="187">
        <v>579</v>
      </c>
      <c r="P618" s="188">
        <v>0</v>
      </c>
      <c r="Q618" s="186">
        <v>784</v>
      </c>
      <c r="R618" s="189">
        <v>1157</v>
      </c>
      <c r="S618" s="184" t="s">
        <v>59</v>
      </c>
    </row>
    <row r="619" spans="1:19">
      <c r="A619" s="111">
        <v>618</v>
      </c>
      <c r="B619" s="121">
        <v>45048</v>
      </c>
      <c r="C619" s="113">
        <f t="shared" si="4"/>
        <v>2023</v>
      </c>
      <c r="D619" s="114">
        <f t="shared" si="5"/>
        <v>5</v>
      </c>
      <c r="E619" s="114" t="s">
        <v>79</v>
      </c>
      <c r="F619" s="114" t="s">
        <v>174</v>
      </c>
      <c r="G619" s="115" t="s">
        <v>175</v>
      </c>
      <c r="H619" s="114" t="s">
        <v>176</v>
      </c>
      <c r="I619" s="114" t="s">
        <v>173</v>
      </c>
      <c r="J619" s="186">
        <v>0</v>
      </c>
      <c r="K619" s="187">
        <v>0</v>
      </c>
      <c r="L619" s="187">
        <v>0</v>
      </c>
      <c r="M619" s="187">
        <v>0</v>
      </c>
      <c r="N619" s="187">
        <v>0</v>
      </c>
      <c r="O619" s="187">
        <v>0</v>
      </c>
      <c r="P619" s="188">
        <v>0</v>
      </c>
      <c r="Q619" s="186">
        <v>0</v>
      </c>
      <c r="R619" s="186">
        <v>0</v>
      </c>
      <c r="S619" s="184" t="s">
        <v>59</v>
      </c>
    </row>
    <row r="620" spans="1:19">
      <c r="A620" s="111">
        <v>619</v>
      </c>
      <c r="B620" s="121">
        <v>45049</v>
      </c>
      <c r="C620" s="113">
        <f t="shared" si="4"/>
        <v>2023</v>
      </c>
      <c r="D620" s="114">
        <f t="shared" si="5"/>
        <v>5</v>
      </c>
      <c r="E620" s="114" t="s">
        <v>79</v>
      </c>
      <c r="F620" s="114" t="s">
        <v>177</v>
      </c>
      <c r="G620" s="115" t="s">
        <v>175</v>
      </c>
      <c r="H620" s="114" t="s">
        <v>176</v>
      </c>
      <c r="I620" s="114" t="s">
        <v>173</v>
      </c>
      <c r="J620" s="186">
        <v>4</v>
      </c>
      <c r="K620" s="187">
        <v>66</v>
      </c>
      <c r="L620" s="187">
        <v>28</v>
      </c>
      <c r="M620" s="187">
        <v>2.5</v>
      </c>
      <c r="N620" s="187">
        <v>1681</v>
      </c>
      <c r="O620" s="187">
        <v>2505</v>
      </c>
      <c r="P620" s="188">
        <v>0</v>
      </c>
      <c r="Q620" s="189">
        <v>6724</v>
      </c>
      <c r="R620" s="189">
        <v>10019</v>
      </c>
      <c r="S620" s="184" t="s">
        <v>59</v>
      </c>
    </row>
    <row r="621" spans="1:19">
      <c r="A621" s="111">
        <v>620</v>
      </c>
      <c r="B621" s="121">
        <v>45050</v>
      </c>
      <c r="C621" s="113">
        <f t="shared" si="4"/>
        <v>2023</v>
      </c>
      <c r="D621" s="114">
        <f t="shared" si="5"/>
        <v>5</v>
      </c>
      <c r="E621" s="114" t="s">
        <v>20</v>
      </c>
      <c r="F621" s="114" t="s">
        <v>178</v>
      </c>
      <c r="G621" s="115" t="s">
        <v>179</v>
      </c>
      <c r="H621" s="114" t="s">
        <v>180</v>
      </c>
      <c r="I621" s="114" t="s">
        <v>173</v>
      </c>
      <c r="J621" s="186">
        <v>2</v>
      </c>
      <c r="K621" s="187">
        <v>73</v>
      </c>
      <c r="L621" s="187">
        <v>43</v>
      </c>
      <c r="M621" s="187">
        <v>1.9</v>
      </c>
      <c r="N621" s="187">
        <v>927</v>
      </c>
      <c r="O621" s="187">
        <v>1245</v>
      </c>
      <c r="P621" s="188">
        <v>1</v>
      </c>
      <c r="Q621" s="189">
        <v>1854</v>
      </c>
      <c r="R621" s="189">
        <v>2490</v>
      </c>
      <c r="S621" s="184" t="s">
        <v>59</v>
      </c>
    </row>
    <row r="622" spans="1:19">
      <c r="A622" s="111">
        <v>621</v>
      </c>
      <c r="B622" s="121">
        <v>45051</v>
      </c>
      <c r="C622" s="113">
        <f t="shared" si="4"/>
        <v>2023</v>
      </c>
      <c r="D622" s="114">
        <f t="shared" si="5"/>
        <v>5</v>
      </c>
      <c r="E622" s="114" t="s">
        <v>8</v>
      </c>
      <c r="F622" s="114" t="s">
        <v>181</v>
      </c>
      <c r="G622" s="115" t="s">
        <v>182</v>
      </c>
      <c r="H622" s="114" t="s">
        <v>183</v>
      </c>
      <c r="I622" s="114" t="s">
        <v>184</v>
      </c>
      <c r="J622" s="186">
        <v>5</v>
      </c>
      <c r="K622" s="187">
        <v>36</v>
      </c>
      <c r="L622" s="187">
        <v>71</v>
      </c>
      <c r="M622" s="187">
        <v>2.2999999999999998</v>
      </c>
      <c r="N622" s="187">
        <v>581</v>
      </c>
      <c r="O622" s="187">
        <v>858</v>
      </c>
      <c r="P622" s="188">
        <v>0.6</v>
      </c>
      <c r="Q622" s="189">
        <v>2903</v>
      </c>
      <c r="R622" s="189">
        <v>4291</v>
      </c>
      <c r="S622" s="184" t="s">
        <v>59</v>
      </c>
    </row>
    <row r="623" spans="1:19">
      <c r="A623" s="111">
        <v>622</v>
      </c>
      <c r="B623" s="121">
        <v>45052</v>
      </c>
      <c r="C623" s="113">
        <f t="shared" si="4"/>
        <v>2023</v>
      </c>
      <c r="D623" s="114">
        <f t="shared" si="5"/>
        <v>5</v>
      </c>
      <c r="E623" s="114" t="s">
        <v>8</v>
      </c>
      <c r="F623" s="114" t="s">
        <v>185</v>
      </c>
      <c r="G623" s="115" t="s">
        <v>186</v>
      </c>
      <c r="H623" s="114" t="s">
        <v>187</v>
      </c>
      <c r="I623" s="114" t="s">
        <v>184</v>
      </c>
      <c r="J623" s="186">
        <v>5</v>
      </c>
      <c r="K623" s="187">
        <v>64</v>
      </c>
      <c r="L623" s="187">
        <v>33</v>
      </c>
      <c r="M623" s="187">
        <v>2.2000000000000002</v>
      </c>
      <c r="N623" s="187">
        <v>688</v>
      </c>
      <c r="O623" s="187">
        <v>1087</v>
      </c>
      <c r="P623" s="188">
        <v>0.6</v>
      </c>
      <c r="Q623" s="189">
        <v>3439</v>
      </c>
      <c r="R623" s="189">
        <v>5436</v>
      </c>
      <c r="S623" s="184" t="s">
        <v>59</v>
      </c>
    </row>
    <row r="624" spans="1:19">
      <c r="A624" s="111">
        <v>623</v>
      </c>
      <c r="B624" s="121">
        <v>45053</v>
      </c>
      <c r="C624" s="113">
        <f t="shared" si="4"/>
        <v>2023</v>
      </c>
      <c r="D624" s="114">
        <f t="shared" si="5"/>
        <v>5</v>
      </c>
      <c r="E624" s="114" t="s">
        <v>8</v>
      </c>
      <c r="F624" s="114" t="s">
        <v>188</v>
      </c>
      <c r="G624" s="115" t="s">
        <v>189</v>
      </c>
      <c r="H624" s="114" t="s">
        <v>190</v>
      </c>
      <c r="I624" s="114" t="s">
        <v>184</v>
      </c>
      <c r="J624" s="186">
        <v>4</v>
      </c>
      <c r="K624" s="187">
        <v>48</v>
      </c>
      <c r="L624" s="187">
        <v>26</v>
      </c>
      <c r="M624" s="187">
        <v>2.2000000000000002</v>
      </c>
      <c r="N624" s="187">
        <v>638</v>
      </c>
      <c r="O624" s="187">
        <v>990</v>
      </c>
      <c r="P624" s="188">
        <v>0.25</v>
      </c>
      <c r="Q624" s="189">
        <v>2550</v>
      </c>
      <c r="R624" s="189">
        <v>3961</v>
      </c>
      <c r="S624" s="184" t="s">
        <v>59</v>
      </c>
    </row>
    <row r="625" spans="1:19">
      <c r="A625" s="111">
        <v>624</v>
      </c>
      <c r="B625" s="121">
        <v>45054</v>
      </c>
      <c r="C625" s="113">
        <f t="shared" si="4"/>
        <v>2023</v>
      </c>
      <c r="D625" s="114">
        <f t="shared" si="5"/>
        <v>5</v>
      </c>
      <c r="E625" s="114" t="s">
        <v>8</v>
      </c>
      <c r="F625" s="114" t="s">
        <v>191</v>
      </c>
      <c r="G625" s="115" t="s">
        <v>192</v>
      </c>
      <c r="H625" s="114" t="s">
        <v>193</v>
      </c>
      <c r="I625" s="114" t="s">
        <v>173</v>
      </c>
      <c r="J625" s="186">
        <v>0</v>
      </c>
      <c r="K625" s="187">
        <v>0</v>
      </c>
      <c r="L625" s="187">
        <v>0</v>
      </c>
      <c r="M625" s="187">
        <v>0</v>
      </c>
      <c r="N625" s="187">
        <v>0</v>
      </c>
      <c r="O625" s="187">
        <v>0</v>
      </c>
      <c r="P625" s="188">
        <v>0</v>
      </c>
      <c r="Q625" s="186">
        <v>0</v>
      </c>
      <c r="R625" s="186">
        <v>0</v>
      </c>
      <c r="S625" s="184" t="s">
        <v>59</v>
      </c>
    </row>
    <row r="626" spans="1:19">
      <c r="A626" s="111">
        <v>625</v>
      </c>
      <c r="B626" s="121">
        <v>45055</v>
      </c>
      <c r="C626" s="113">
        <f t="shared" si="4"/>
        <v>2023</v>
      </c>
      <c r="D626" s="114">
        <f t="shared" si="5"/>
        <v>5</v>
      </c>
      <c r="E626" s="114" t="s">
        <v>8</v>
      </c>
      <c r="F626" s="114" t="s">
        <v>245</v>
      </c>
      <c r="G626" s="115" t="s">
        <v>246</v>
      </c>
      <c r="H626" s="114" t="s">
        <v>247</v>
      </c>
      <c r="I626" s="114" t="s">
        <v>184</v>
      </c>
      <c r="J626" s="186">
        <v>4</v>
      </c>
      <c r="K626" s="187">
        <v>44</v>
      </c>
      <c r="L626" s="187">
        <v>22</v>
      </c>
      <c r="M626" s="187">
        <v>2</v>
      </c>
      <c r="N626" s="187">
        <v>2788</v>
      </c>
      <c r="O626" s="187">
        <v>3794</v>
      </c>
      <c r="P626" s="188">
        <v>0.75</v>
      </c>
      <c r="Q626" s="189">
        <v>2788</v>
      </c>
      <c r="R626" s="189">
        <v>3794</v>
      </c>
      <c r="S626" s="184" t="s">
        <v>59</v>
      </c>
    </row>
    <row r="627" spans="1:19">
      <c r="A627" s="111">
        <v>626</v>
      </c>
      <c r="B627" s="121">
        <v>45056</v>
      </c>
      <c r="C627" s="113">
        <f t="shared" si="4"/>
        <v>2023</v>
      </c>
      <c r="D627" s="114">
        <f t="shared" si="5"/>
        <v>5</v>
      </c>
      <c r="E627" s="114" t="s">
        <v>88</v>
      </c>
      <c r="F627" s="114" t="s">
        <v>195</v>
      </c>
      <c r="G627" s="115" t="s">
        <v>196</v>
      </c>
      <c r="H627" s="114" t="s">
        <v>197</v>
      </c>
      <c r="I627" s="114" t="s">
        <v>184</v>
      </c>
      <c r="J627" s="186">
        <v>2</v>
      </c>
      <c r="K627" s="187">
        <v>37</v>
      </c>
      <c r="L627" s="187">
        <v>16</v>
      </c>
      <c r="M627" s="187">
        <v>2.4</v>
      </c>
      <c r="N627" s="187">
        <v>787</v>
      </c>
      <c r="O627" s="187">
        <v>1172</v>
      </c>
      <c r="P627" s="188">
        <v>0</v>
      </c>
      <c r="Q627" s="189">
        <v>1574</v>
      </c>
      <c r="R627" s="189">
        <v>2343</v>
      </c>
      <c r="S627" s="184" t="s">
        <v>59</v>
      </c>
    </row>
    <row r="628" spans="1:19">
      <c r="A628" s="111">
        <v>627</v>
      </c>
      <c r="B628" s="121">
        <v>45057</v>
      </c>
      <c r="C628" s="113">
        <f t="shared" si="4"/>
        <v>2023</v>
      </c>
      <c r="D628" s="114">
        <f t="shared" si="5"/>
        <v>5</v>
      </c>
      <c r="E628" s="114" t="s">
        <v>104</v>
      </c>
      <c r="F628" s="114" t="s">
        <v>198</v>
      </c>
      <c r="G628" s="115" t="s">
        <v>199</v>
      </c>
      <c r="H628" s="114" t="s">
        <v>199</v>
      </c>
      <c r="I628" s="114" t="s">
        <v>200</v>
      </c>
      <c r="J628" s="186">
        <v>0</v>
      </c>
      <c r="K628" s="187">
        <v>0</v>
      </c>
      <c r="L628" s="187">
        <v>0</v>
      </c>
      <c r="M628" s="187">
        <v>0</v>
      </c>
      <c r="N628" s="187">
        <v>0</v>
      </c>
      <c r="O628" s="187">
        <v>0</v>
      </c>
      <c r="P628" s="188">
        <v>0</v>
      </c>
      <c r="Q628" s="186">
        <v>0</v>
      </c>
      <c r="R628" s="186">
        <v>0</v>
      </c>
      <c r="S628" s="184" t="s">
        <v>59</v>
      </c>
    </row>
    <row r="629" spans="1:19">
      <c r="A629" s="111">
        <v>628</v>
      </c>
      <c r="B629" s="121">
        <v>45058</v>
      </c>
      <c r="C629" s="113">
        <f t="shared" si="4"/>
        <v>2023</v>
      </c>
      <c r="D629" s="114">
        <f t="shared" si="5"/>
        <v>5</v>
      </c>
      <c r="E629" s="114" t="s">
        <v>93</v>
      </c>
      <c r="F629" s="114" t="s">
        <v>248</v>
      </c>
      <c r="G629" s="115" t="s">
        <v>199</v>
      </c>
      <c r="H629" s="114" t="s">
        <v>199</v>
      </c>
      <c r="I629" s="114" t="s">
        <v>200</v>
      </c>
      <c r="J629" s="186">
        <v>1</v>
      </c>
      <c r="K629" s="187">
        <v>32</v>
      </c>
      <c r="L629" s="187">
        <v>26</v>
      </c>
      <c r="M629" s="187">
        <v>2</v>
      </c>
      <c r="N629" s="187">
        <v>269</v>
      </c>
      <c r="O629" s="187">
        <v>326</v>
      </c>
      <c r="P629" s="188">
        <v>0</v>
      </c>
      <c r="Q629" s="186">
        <v>0</v>
      </c>
      <c r="R629" s="186">
        <v>0</v>
      </c>
      <c r="S629" s="184" t="s">
        <v>59</v>
      </c>
    </row>
    <row r="630" spans="1:19">
      <c r="A630" s="111">
        <v>629</v>
      </c>
      <c r="B630" s="121">
        <v>45059</v>
      </c>
      <c r="C630" s="113">
        <f t="shared" si="4"/>
        <v>2023</v>
      </c>
      <c r="D630" s="114">
        <f t="shared" si="5"/>
        <v>5</v>
      </c>
      <c r="E630" s="114" t="s">
        <v>30</v>
      </c>
      <c r="F630" s="114" t="s">
        <v>205</v>
      </c>
      <c r="G630" s="115" t="s">
        <v>206</v>
      </c>
      <c r="H630" s="114" t="s">
        <v>207</v>
      </c>
      <c r="I630" s="114" t="s">
        <v>184</v>
      </c>
      <c r="J630" s="186">
        <v>0</v>
      </c>
      <c r="K630" s="187">
        <v>0</v>
      </c>
      <c r="L630" s="187">
        <v>0</v>
      </c>
      <c r="M630" s="187">
        <v>0</v>
      </c>
      <c r="N630" s="187">
        <v>0</v>
      </c>
      <c r="O630" s="187">
        <v>0</v>
      </c>
      <c r="P630" s="188">
        <v>0</v>
      </c>
      <c r="Q630" s="186">
        <v>0</v>
      </c>
      <c r="R630" s="186">
        <v>0</v>
      </c>
      <c r="S630" s="184" t="s">
        <v>59</v>
      </c>
    </row>
    <row r="631" spans="1:19">
      <c r="A631" s="111">
        <v>630</v>
      </c>
      <c r="B631" s="121">
        <v>45060</v>
      </c>
      <c r="C631" s="113">
        <f t="shared" si="4"/>
        <v>2023</v>
      </c>
      <c r="D631" s="114">
        <f t="shared" si="5"/>
        <v>5</v>
      </c>
      <c r="E631" s="114" t="s">
        <v>10</v>
      </c>
      <c r="F631" s="114" t="s">
        <v>208</v>
      </c>
      <c r="G631" s="115" t="s">
        <v>209</v>
      </c>
      <c r="H631" s="114" t="s">
        <v>210</v>
      </c>
      <c r="I631" s="114" t="s">
        <v>173</v>
      </c>
      <c r="J631" s="186">
        <v>4</v>
      </c>
      <c r="K631" s="187">
        <v>70</v>
      </c>
      <c r="L631" s="187">
        <v>32</v>
      </c>
      <c r="M631" s="187">
        <v>2.4</v>
      </c>
      <c r="N631" s="187">
        <v>1744</v>
      </c>
      <c r="O631" s="187">
        <v>2585</v>
      </c>
      <c r="P631" s="188">
        <v>0.5</v>
      </c>
      <c r="Q631" s="189">
        <v>6976</v>
      </c>
      <c r="R631" s="189">
        <v>10338</v>
      </c>
      <c r="S631" s="184" t="s">
        <v>59</v>
      </c>
    </row>
    <row r="632" spans="1:19">
      <c r="A632" s="111">
        <v>631</v>
      </c>
      <c r="B632" s="121">
        <v>45061</v>
      </c>
      <c r="C632" s="113">
        <f t="shared" si="4"/>
        <v>2023</v>
      </c>
      <c r="D632" s="114">
        <f t="shared" si="5"/>
        <v>5</v>
      </c>
      <c r="E632" s="114" t="s">
        <v>10</v>
      </c>
      <c r="F632" s="114" t="s">
        <v>211</v>
      </c>
      <c r="G632" s="115" t="s">
        <v>212</v>
      </c>
      <c r="H632" s="114" t="s">
        <v>213</v>
      </c>
      <c r="I632" s="114" t="s">
        <v>173</v>
      </c>
      <c r="J632" s="186">
        <v>0</v>
      </c>
      <c r="K632" s="187">
        <v>0</v>
      </c>
      <c r="L632" s="187">
        <v>0</v>
      </c>
      <c r="M632" s="187">
        <v>0</v>
      </c>
      <c r="N632" s="187">
        <v>0</v>
      </c>
      <c r="O632" s="187">
        <v>0</v>
      </c>
      <c r="P632" s="188">
        <v>0</v>
      </c>
      <c r="Q632" s="186">
        <v>0</v>
      </c>
      <c r="R632" s="186">
        <v>0</v>
      </c>
      <c r="S632" s="184" t="s">
        <v>59</v>
      </c>
    </row>
    <row r="633" spans="1:19">
      <c r="A633" s="111">
        <v>632</v>
      </c>
      <c r="B633" s="121">
        <v>45062</v>
      </c>
      <c r="C633" s="113">
        <f t="shared" si="4"/>
        <v>2023</v>
      </c>
      <c r="D633" s="114">
        <f t="shared" si="5"/>
        <v>5</v>
      </c>
      <c r="E633" s="114" t="s">
        <v>10</v>
      </c>
      <c r="F633" s="114" t="s">
        <v>214</v>
      </c>
      <c r="G633" s="115" t="s">
        <v>215</v>
      </c>
      <c r="H633" s="114" t="s">
        <v>216</v>
      </c>
      <c r="I633" s="114" t="s">
        <v>184</v>
      </c>
      <c r="J633" s="186">
        <v>4</v>
      </c>
      <c r="K633" s="187">
        <v>58</v>
      </c>
      <c r="L633" s="187">
        <v>31</v>
      </c>
      <c r="M633" s="187">
        <v>2.2000000000000002</v>
      </c>
      <c r="N633" s="187">
        <v>807</v>
      </c>
      <c r="O633" s="187">
        <v>1182</v>
      </c>
      <c r="P633" s="188">
        <v>0</v>
      </c>
      <c r="Q633" s="189">
        <v>3229</v>
      </c>
      <c r="R633" s="189">
        <v>4728</v>
      </c>
      <c r="S633" s="184" t="s">
        <v>59</v>
      </c>
    </row>
    <row r="634" spans="1:19">
      <c r="A634" s="111">
        <v>633</v>
      </c>
      <c r="B634" s="121">
        <v>45063</v>
      </c>
      <c r="C634" s="113">
        <f t="shared" si="4"/>
        <v>2023</v>
      </c>
      <c r="D634" s="114">
        <f t="shared" si="5"/>
        <v>5</v>
      </c>
      <c r="E634" s="114" t="s">
        <v>9</v>
      </c>
      <c r="F634" s="114" t="s">
        <v>217</v>
      </c>
      <c r="G634" s="115" t="s">
        <v>218</v>
      </c>
      <c r="H634" s="114" t="s">
        <v>219</v>
      </c>
      <c r="I634" s="114" t="s">
        <v>184</v>
      </c>
      <c r="J634" s="186">
        <v>4</v>
      </c>
      <c r="K634" s="187">
        <v>75</v>
      </c>
      <c r="L634" s="187">
        <v>32</v>
      </c>
      <c r="M634" s="187">
        <v>2.4</v>
      </c>
      <c r="N634" s="187">
        <v>2145</v>
      </c>
      <c r="O634" s="187">
        <v>3494</v>
      </c>
      <c r="P634" s="188">
        <v>0.5</v>
      </c>
      <c r="Q634" s="189">
        <v>8579</v>
      </c>
      <c r="R634" s="189">
        <v>13976</v>
      </c>
      <c r="S634" s="184" t="s">
        <v>59</v>
      </c>
    </row>
    <row r="635" spans="1:19">
      <c r="A635" s="111">
        <v>634</v>
      </c>
      <c r="B635" s="121">
        <v>45064</v>
      </c>
      <c r="C635" s="113">
        <f t="shared" si="4"/>
        <v>2023</v>
      </c>
      <c r="D635" s="114">
        <f t="shared" si="5"/>
        <v>5</v>
      </c>
      <c r="E635" s="114" t="s">
        <v>11</v>
      </c>
      <c r="F635" s="114" t="s">
        <v>220</v>
      </c>
      <c r="G635" s="115" t="s">
        <v>221</v>
      </c>
      <c r="H635" s="114" t="s">
        <v>222</v>
      </c>
      <c r="I635" s="114" t="s">
        <v>184</v>
      </c>
      <c r="J635" s="186">
        <v>1</v>
      </c>
      <c r="K635" s="187">
        <v>50</v>
      </c>
      <c r="L635" s="187">
        <v>26</v>
      </c>
      <c r="M635" s="187">
        <v>2.2999999999999998</v>
      </c>
      <c r="N635" s="187">
        <v>594</v>
      </c>
      <c r="O635" s="187">
        <v>862</v>
      </c>
      <c r="P635" s="188">
        <v>0</v>
      </c>
      <c r="Q635" s="186">
        <v>594</v>
      </c>
      <c r="R635" s="186">
        <v>862</v>
      </c>
      <c r="S635" s="184" t="s">
        <v>59</v>
      </c>
    </row>
    <row r="636" spans="1:19">
      <c r="A636" s="111">
        <v>635</v>
      </c>
      <c r="B636" s="121">
        <v>45065</v>
      </c>
      <c r="C636" s="113">
        <f t="shared" si="4"/>
        <v>2023</v>
      </c>
      <c r="D636" s="114">
        <f t="shared" si="5"/>
        <v>5</v>
      </c>
      <c r="E636" s="114" t="s">
        <v>11</v>
      </c>
      <c r="F636" s="114" t="s">
        <v>249</v>
      </c>
      <c r="G636" s="115" t="s">
        <v>250</v>
      </c>
      <c r="H636" s="114" t="s">
        <v>251</v>
      </c>
      <c r="I636" s="114" t="s">
        <v>184</v>
      </c>
      <c r="J636" s="186">
        <v>0</v>
      </c>
      <c r="K636" s="187">
        <v>0</v>
      </c>
      <c r="L636" s="187">
        <v>0</v>
      </c>
      <c r="M636" s="187">
        <v>0</v>
      </c>
      <c r="N636" s="187">
        <v>0</v>
      </c>
      <c r="O636" s="187">
        <v>0</v>
      </c>
      <c r="P636" s="188">
        <v>0</v>
      </c>
      <c r="Q636" s="186">
        <v>0</v>
      </c>
      <c r="R636" s="186">
        <v>0</v>
      </c>
      <c r="S636" s="184" t="s">
        <v>59</v>
      </c>
    </row>
    <row r="637" spans="1:19">
      <c r="A637" s="111">
        <v>636</v>
      </c>
      <c r="B637" s="121">
        <v>45066</v>
      </c>
      <c r="C637" s="113">
        <f t="shared" si="4"/>
        <v>2023</v>
      </c>
      <c r="D637" s="114">
        <f t="shared" si="5"/>
        <v>5</v>
      </c>
      <c r="E637" s="114" t="s">
        <v>91</v>
      </c>
      <c r="F637" s="114" t="s">
        <v>178</v>
      </c>
      <c r="G637" s="115" t="s">
        <v>179</v>
      </c>
      <c r="H637" s="114" t="s">
        <v>180</v>
      </c>
      <c r="I637" s="114" t="s">
        <v>173</v>
      </c>
      <c r="J637" s="186">
        <v>1</v>
      </c>
      <c r="K637" s="187">
        <v>63</v>
      </c>
      <c r="L637" s="187">
        <v>25</v>
      </c>
      <c r="M637" s="187">
        <v>2.7</v>
      </c>
      <c r="N637" s="187">
        <v>907</v>
      </c>
      <c r="O637" s="187">
        <v>1316</v>
      </c>
      <c r="P637" s="188">
        <v>0</v>
      </c>
      <c r="Q637" s="186">
        <v>907</v>
      </c>
      <c r="R637" s="189">
        <v>1316</v>
      </c>
      <c r="S637" s="184" t="s">
        <v>59</v>
      </c>
    </row>
    <row r="638" spans="1:19">
      <c r="A638" s="111">
        <v>637</v>
      </c>
      <c r="B638" s="121">
        <v>45067</v>
      </c>
      <c r="C638" s="113">
        <f t="shared" si="4"/>
        <v>2023</v>
      </c>
      <c r="D638" s="114">
        <f t="shared" si="5"/>
        <v>5</v>
      </c>
      <c r="E638" s="114" t="s">
        <v>23</v>
      </c>
      <c r="F638" s="114" t="s">
        <v>223</v>
      </c>
      <c r="G638" s="115" t="s">
        <v>175</v>
      </c>
      <c r="H638" s="114" t="s">
        <v>176</v>
      </c>
      <c r="I638" s="114" t="s">
        <v>173</v>
      </c>
      <c r="J638" s="186">
        <v>0</v>
      </c>
      <c r="K638" s="187">
        <v>0</v>
      </c>
      <c r="L638" s="187">
        <v>0</v>
      </c>
      <c r="M638" s="187">
        <v>0</v>
      </c>
      <c r="N638" s="187">
        <v>0</v>
      </c>
      <c r="O638" s="187">
        <v>0</v>
      </c>
      <c r="P638" s="188">
        <v>0</v>
      </c>
      <c r="Q638" s="186">
        <v>0</v>
      </c>
      <c r="R638" s="186">
        <v>0</v>
      </c>
      <c r="S638" s="184" t="s">
        <v>59</v>
      </c>
    </row>
    <row r="639" spans="1:19">
      <c r="A639" s="111">
        <v>638</v>
      </c>
      <c r="B639" s="121">
        <v>45068</v>
      </c>
      <c r="C639" s="113">
        <f t="shared" si="4"/>
        <v>2023</v>
      </c>
      <c r="D639" s="114">
        <f t="shared" si="5"/>
        <v>5</v>
      </c>
      <c r="E639" s="114" t="s">
        <v>23</v>
      </c>
      <c r="F639" s="114" t="s">
        <v>224</v>
      </c>
      <c r="G639" s="115" t="s">
        <v>107</v>
      </c>
      <c r="H639" s="114" t="s">
        <v>107</v>
      </c>
      <c r="I639" s="114" t="s">
        <v>107</v>
      </c>
      <c r="J639" s="186">
        <v>0</v>
      </c>
      <c r="K639" s="187">
        <v>0</v>
      </c>
      <c r="L639" s="187">
        <v>0</v>
      </c>
      <c r="M639" s="187">
        <v>0</v>
      </c>
      <c r="N639" s="187">
        <v>0</v>
      </c>
      <c r="O639" s="187">
        <v>0</v>
      </c>
      <c r="P639" s="188">
        <v>0</v>
      </c>
      <c r="Q639" s="186">
        <v>0</v>
      </c>
      <c r="R639" s="186">
        <v>0</v>
      </c>
      <c r="S639" s="184" t="s">
        <v>59</v>
      </c>
    </row>
    <row r="640" spans="1:19">
      <c r="A640" s="111">
        <v>639</v>
      </c>
      <c r="B640" s="121">
        <v>45069</v>
      </c>
      <c r="C640" s="113">
        <f t="shared" si="4"/>
        <v>2023</v>
      </c>
      <c r="D640" s="114">
        <f t="shared" si="5"/>
        <v>5</v>
      </c>
      <c r="E640" s="114" t="s">
        <v>15</v>
      </c>
      <c r="F640" s="114" t="s">
        <v>225</v>
      </c>
      <c r="G640" s="115" t="s">
        <v>226</v>
      </c>
      <c r="H640" s="114" t="s">
        <v>227</v>
      </c>
      <c r="I640" s="114" t="s">
        <v>173</v>
      </c>
      <c r="J640" s="186">
        <v>0</v>
      </c>
      <c r="K640" s="187">
        <v>0</v>
      </c>
      <c r="L640" s="187">
        <v>0</v>
      </c>
      <c r="M640" s="187">
        <v>0</v>
      </c>
      <c r="N640" s="187">
        <v>0</v>
      </c>
      <c r="O640" s="187">
        <v>0</v>
      </c>
      <c r="P640" s="188">
        <v>0</v>
      </c>
      <c r="Q640" s="186">
        <v>0</v>
      </c>
      <c r="R640" s="186">
        <v>0</v>
      </c>
      <c r="S640" s="184" t="s">
        <v>59</v>
      </c>
    </row>
    <row r="641" spans="1:19">
      <c r="A641" s="111">
        <v>640</v>
      </c>
      <c r="B641" s="121">
        <v>45070</v>
      </c>
      <c r="C641" s="113">
        <f t="shared" si="4"/>
        <v>2023</v>
      </c>
      <c r="D641" s="114">
        <f t="shared" si="5"/>
        <v>5</v>
      </c>
      <c r="E641" s="114" t="s">
        <v>84</v>
      </c>
      <c r="F641" s="114" t="s">
        <v>228</v>
      </c>
      <c r="G641" s="115" t="s">
        <v>229</v>
      </c>
      <c r="H641" s="114" t="s">
        <v>230</v>
      </c>
      <c r="I641" s="114" t="s">
        <v>184</v>
      </c>
      <c r="J641" s="186">
        <v>4</v>
      </c>
      <c r="K641" s="187">
        <v>34</v>
      </c>
      <c r="L641" s="187">
        <v>21</v>
      </c>
      <c r="M641" s="187">
        <v>1.8</v>
      </c>
      <c r="N641" s="187">
        <v>420</v>
      </c>
      <c r="O641" s="187">
        <v>589</v>
      </c>
      <c r="P641" s="188">
        <v>0</v>
      </c>
      <c r="Q641" s="189">
        <v>1681</v>
      </c>
      <c r="R641" s="189">
        <v>2354</v>
      </c>
      <c r="S641" s="184" t="s">
        <v>59</v>
      </c>
    </row>
    <row r="642" spans="1:19">
      <c r="A642" s="111">
        <v>641</v>
      </c>
      <c r="B642" s="121">
        <v>45071</v>
      </c>
      <c r="C642" s="113">
        <f t="shared" si="4"/>
        <v>2023</v>
      </c>
      <c r="D642" s="114">
        <f t="shared" si="5"/>
        <v>5</v>
      </c>
      <c r="E642" s="114" t="s">
        <v>84</v>
      </c>
      <c r="F642" s="114" t="s">
        <v>231</v>
      </c>
      <c r="G642" s="115" t="s">
        <v>232</v>
      </c>
      <c r="H642" s="114" t="s">
        <v>233</v>
      </c>
      <c r="I642" s="114" t="s">
        <v>184</v>
      </c>
      <c r="J642" s="186">
        <v>2</v>
      </c>
      <c r="K642" s="187">
        <v>26</v>
      </c>
      <c r="L642" s="187">
        <v>22</v>
      </c>
      <c r="M642" s="187">
        <v>1.5</v>
      </c>
      <c r="N642" s="187">
        <v>106</v>
      </c>
      <c r="O642" s="187">
        <v>137</v>
      </c>
      <c r="P642" s="188">
        <v>0</v>
      </c>
      <c r="Q642" s="186">
        <v>211</v>
      </c>
      <c r="R642" s="186">
        <v>273</v>
      </c>
      <c r="S642" s="184" t="s">
        <v>59</v>
      </c>
    </row>
    <row r="643" spans="1:19">
      <c r="A643" s="111">
        <v>642</v>
      </c>
      <c r="B643" s="121">
        <v>45072</v>
      </c>
      <c r="C643" s="113">
        <f t="shared" si="4"/>
        <v>2023</v>
      </c>
      <c r="D643" s="114">
        <f t="shared" si="5"/>
        <v>5</v>
      </c>
      <c r="E643" s="114" t="s">
        <v>84</v>
      </c>
      <c r="F643" s="114" t="s">
        <v>249</v>
      </c>
      <c r="G643" s="125" t="s">
        <v>250</v>
      </c>
      <c r="H643" s="185" t="s">
        <v>251</v>
      </c>
      <c r="I643" s="185"/>
      <c r="J643" s="186">
        <v>0</v>
      </c>
      <c r="K643" s="187">
        <v>0</v>
      </c>
      <c r="L643" s="187">
        <v>0</v>
      </c>
      <c r="M643" s="187">
        <v>0</v>
      </c>
      <c r="N643" s="187">
        <v>0</v>
      </c>
      <c r="O643" s="187">
        <v>0</v>
      </c>
      <c r="P643" s="188">
        <v>0</v>
      </c>
      <c r="Q643" s="186">
        <v>0</v>
      </c>
      <c r="R643" s="186">
        <v>0</v>
      </c>
      <c r="S643" s="184" t="s">
        <v>59</v>
      </c>
    </row>
    <row r="644" spans="1:19">
      <c r="A644" s="111">
        <v>643</v>
      </c>
      <c r="B644" s="121">
        <v>45073</v>
      </c>
      <c r="C644" s="113">
        <f t="shared" si="4"/>
        <v>2023</v>
      </c>
      <c r="D644" s="114">
        <f t="shared" si="5"/>
        <v>5</v>
      </c>
      <c r="E644" s="114" t="s">
        <v>22</v>
      </c>
      <c r="F644" s="114" t="s">
        <v>174</v>
      </c>
      <c r="G644" s="115" t="s">
        <v>175</v>
      </c>
      <c r="H644" s="114" t="s">
        <v>176</v>
      </c>
      <c r="I644" s="114" t="s">
        <v>173</v>
      </c>
      <c r="J644" s="186">
        <v>5</v>
      </c>
      <c r="K644" s="187">
        <v>69</v>
      </c>
      <c r="L644" s="187">
        <v>29</v>
      </c>
      <c r="M644" s="187">
        <v>2.5</v>
      </c>
      <c r="N644" s="187">
        <v>2015</v>
      </c>
      <c r="O644" s="187">
        <v>3103</v>
      </c>
      <c r="P644" s="188">
        <v>0.2</v>
      </c>
      <c r="Q644" s="189">
        <v>10077</v>
      </c>
      <c r="R644" s="189">
        <v>15513</v>
      </c>
      <c r="S644" s="184" t="s">
        <v>59</v>
      </c>
    </row>
    <row r="645" spans="1:19">
      <c r="A645" s="111">
        <v>644</v>
      </c>
      <c r="B645" s="121">
        <v>45074</v>
      </c>
      <c r="C645" s="113">
        <f t="shared" si="4"/>
        <v>2023</v>
      </c>
      <c r="D645" s="114">
        <f t="shared" si="5"/>
        <v>5</v>
      </c>
      <c r="E645" s="114" t="s">
        <v>22</v>
      </c>
      <c r="F645" s="114" t="s">
        <v>177</v>
      </c>
      <c r="G645" s="115" t="s">
        <v>175</v>
      </c>
      <c r="H645" s="114" t="s">
        <v>176</v>
      </c>
      <c r="I645" s="114" t="s">
        <v>173</v>
      </c>
      <c r="J645" s="186">
        <v>0</v>
      </c>
      <c r="K645" s="187">
        <v>0</v>
      </c>
      <c r="L645" s="187">
        <v>0</v>
      </c>
      <c r="M645" s="187">
        <v>0</v>
      </c>
      <c r="N645" s="187">
        <v>0</v>
      </c>
      <c r="O645" s="187">
        <v>0</v>
      </c>
      <c r="P645" s="188">
        <v>0</v>
      </c>
      <c r="Q645" s="186">
        <v>0</v>
      </c>
      <c r="R645" s="186">
        <v>0</v>
      </c>
      <c r="S645" s="184" t="s">
        <v>59</v>
      </c>
    </row>
    <row r="646" spans="1:19">
      <c r="A646" s="111">
        <v>645</v>
      </c>
      <c r="B646" s="121">
        <v>45075</v>
      </c>
      <c r="C646" s="113">
        <f t="shared" si="4"/>
        <v>2023</v>
      </c>
      <c r="D646" s="114">
        <f t="shared" si="5"/>
        <v>5</v>
      </c>
      <c r="E646" s="114" t="s">
        <v>22</v>
      </c>
      <c r="F646" s="114" t="s">
        <v>223</v>
      </c>
      <c r="G646" s="115" t="s">
        <v>175</v>
      </c>
      <c r="H646" s="114" t="s">
        <v>176</v>
      </c>
      <c r="I646" s="114" t="s">
        <v>173</v>
      </c>
      <c r="J646" s="186">
        <v>0</v>
      </c>
      <c r="K646" s="187">
        <v>0</v>
      </c>
      <c r="L646" s="187">
        <v>0</v>
      </c>
      <c r="M646" s="187">
        <v>0</v>
      </c>
      <c r="N646" s="187">
        <v>0</v>
      </c>
      <c r="O646" s="187">
        <v>0</v>
      </c>
      <c r="P646" s="188">
        <v>0</v>
      </c>
      <c r="Q646" s="186">
        <v>0</v>
      </c>
      <c r="R646" s="186">
        <v>0</v>
      </c>
      <c r="S646" s="184" t="s">
        <v>59</v>
      </c>
    </row>
    <row r="647" spans="1:19">
      <c r="A647" s="111">
        <v>646</v>
      </c>
      <c r="B647" s="121">
        <v>45076</v>
      </c>
      <c r="C647" s="113">
        <f t="shared" si="4"/>
        <v>2023</v>
      </c>
      <c r="D647" s="114">
        <f t="shared" si="5"/>
        <v>5</v>
      </c>
      <c r="E647" s="114" t="s">
        <v>12</v>
      </c>
      <c r="F647" s="114" t="s">
        <v>220</v>
      </c>
      <c r="G647" s="115" t="s">
        <v>221</v>
      </c>
      <c r="H647" s="114" t="s">
        <v>222</v>
      </c>
      <c r="I647" s="114" t="s">
        <v>184</v>
      </c>
      <c r="J647" s="186">
        <v>1</v>
      </c>
      <c r="K647" s="187">
        <v>62</v>
      </c>
      <c r="L647" s="187">
        <v>35</v>
      </c>
      <c r="M647" s="187">
        <v>2.1</v>
      </c>
      <c r="N647" s="187">
        <v>847</v>
      </c>
      <c r="O647" s="187">
        <v>1135</v>
      </c>
      <c r="P647" s="188">
        <v>1</v>
      </c>
      <c r="Q647" s="186">
        <v>847</v>
      </c>
      <c r="R647" s="189">
        <v>1135</v>
      </c>
      <c r="S647" s="184" t="s">
        <v>59</v>
      </c>
    </row>
    <row r="648" spans="1:19">
      <c r="A648" s="111">
        <v>647</v>
      </c>
      <c r="B648" s="121">
        <v>45077</v>
      </c>
      <c r="C648" s="113">
        <f t="shared" si="4"/>
        <v>2023</v>
      </c>
      <c r="D648" s="114">
        <f t="shared" si="5"/>
        <v>5</v>
      </c>
      <c r="E648" s="114" t="s">
        <v>12</v>
      </c>
      <c r="F648" s="114" t="s">
        <v>234</v>
      </c>
      <c r="G648" s="115" t="s">
        <v>235</v>
      </c>
      <c r="H648" s="114" t="s">
        <v>236</v>
      </c>
      <c r="I648" s="114" t="s">
        <v>184</v>
      </c>
      <c r="J648" s="186">
        <v>4</v>
      </c>
      <c r="K648" s="187">
        <v>50</v>
      </c>
      <c r="L648" s="187">
        <v>23</v>
      </c>
      <c r="M648" s="187">
        <v>2.2999999999999998</v>
      </c>
      <c r="N648" s="187">
        <v>916</v>
      </c>
      <c r="O648" s="187">
        <v>1379</v>
      </c>
      <c r="P648" s="188">
        <v>0.75</v>
      </c>
      <c r="Q648" s="189">
        <v>3664</v>
      </c>
      <c r="R648" s="189">
        <v>5514</v>
      </c>
      <c r="S648" s="184" t="s">
        <v>59</v>
      </c>
    </row>
    <row r="649" spans="1:19">
      <c r="A649" s="111">
        <v>648</v>
      </c>
      <c r="B649" s="121">
        <v>45047</v>
      </c>
      <c r="C649" s="113">
        <f t="shared" si="4"/>
        <v>2023</v>
      </c>
      <c r="D649" s="114">
        <f t="shared" si="5"/>
        <v>5</v>
      </c>
      <c r="E649" s="114" t="s">
        <v>12</v>
      </c>
      <c r="F649" s="114" t="s">
        <v>237</v>
      </c>
      <c r="G649" s="115" t="s">
        <v>199</v>
      </c>
      <c r="H649" s="114" t="s">
        <v>199</v>
      </c>
      <c r="I649" s="114" t="s">
        <v>200</v>
      </c>
      <c r="J649" s="186">
        <v>0</v>
      </c>
      <c r="K649" s="187">
        <v>0</v>
      </c>
      <c r="L649" s="187">
        <v>0</v>
      </c>
      <c r="M649" s="187">
        <v>0</v>
      </c>
      <c r="N649" s="187">
        <v>0</v>
      </c>
      <c r="O649" s="187">
        <v>0</v>
      </c>
      <c r="P649" s="188">
        <v>0</v>
      </c>
      <c r="Q649" s="186">
        <v>0</v>
      </c>
      <c r="R649" s="186">
        <v>0</v>
      </c>
      <c r="S649" s="184" t="s">
        <v>59</v>
      </c>
    </row>
    <row r="650" spans="1:19">
      <c r="A650" s="111">
        <v>649</v>
      </c>
      <c r="B650" s="121">
        <v>45048</v>
      </c>
      <c r="C650" s="113">
        <f t="shared" si="4"/>
        <v>2023</v>
      </c>
      <c r="D650" s="114">
        <f t="shared" si="5"/>
        <v>5</v>
      </c>
      <c r="E650" s="114" t="s">
        <v>12</v>
      </c>
      <c r="F650" s="114" t="s">
        <v>252</v>
      </c>
      <c r="G650" s="115" t="s">
        <v>253</v>
      </c>
      <c r="H650" s="114" t="s">
        <v>254</v>
      </c>
      <c r="I650" s="114" t="s">
        <v>184</v>
      </c>
      <c r="J650" s="186">
        <v>0</v>
      </c>
      <c r="K650" s="187">
        <v>0</v>
      </c>
      <c r="L650" s="187">
        <v>0</v>
      </c>
      <c r="M650" s="187">
        <v>0</v>
      </c>
      <c r="N650" s="187">
        <v>0</v>
      </c>
      <c r="O650" s="187">
        <v>0</v>
      </c>
      <c r="P650" s="188">
        <v>0</v>
      </c>
      <c r="Q650" s="186">
        <v>0</v>
      </c>
      <c r="R650" s="186">
        <v>0</v>
      </c>
      <c r="S650" s="184" t="s">
        <v>59</v>
      </c>
    </row>
    <row r="651" spans="1:19">
      <c r="A651" s="111">
        <v>650</v>
      </c>
      <c r="B651" s="121">
        <v>45049</v>
      </c>
      <c r="C651" s="113">
        <f t="shared" si="4"/>
        <v>2023</v>
      </c>
      <c r="D651" s="114">
        <f t="shared" si="5"/>
        <v>5</v>
      </c>
      <c r="E651" s="114" t="s">
        <v>26</v>
      </c>
      <c r="F651" s="114" t="s">
        <v>238</v>
      </c>
      <c r="G651" s="115" t="s">
        <v>175</v>
      </c>
      <c r="H651" s="114" t="s">
        <v>176</v>
      </c>
      <c r="I651" s="114" t="s">
        <v>173</v>
      </c>
      <c r="J651" s="186">
        <v>0</v>
      </c>
      <c r="K651" s="187">
        <v>0</v>
      </c>
      <c r="L651" s="187">
        <v>0</v>
      </c>
      <c r="M651" s="187">
        <v>0</v>
      </c>
      <c r="N651" s="187">
        <v>0</v>
      </c>
      <c r="O651" s="187">
        <v>0</v>
      </c>
      <c r="P651" s="188">
        <v>0</v>
      </c>
      <c r="Q651" s="186">
        <v>0</v>
      </c>
      <c r="R651" s="186">
        <v>0</v>
      </c>
      <c r="S651" s="184" t="s">
        <v>59</v>
      </c>
    </row>
    <row r="652" spans="1:19">
      <c r="A652" s="111">
        <v>651</v>
      </c>
      <c r="B652" s="121">
        <v>45050</v>
      </c>
      <c r="C652" s="113">
        <f t="shared" si="4"/>
        <v>2023</v>
      </c>
      <c r="D652" s="114">
        <f t="shared" si="5"/>
        <v>5</v>
      </c>
      <c r="E652" s="114" t="s">
        <v>19</v>
      </c>
      <c r="F652" s="114" t="s">
        <v>178</v>
      </c>
      <c r="G652" s="115" t="s">
        <v>179</v>
      </c>
      <c r="H652" s="114" t="s">
        <v>180</v>
      </c>
      <c r="I652" s="114" t="s">
        <v>173</v>
      </c>
      <c r="J652" s="186">
        <v>2</v>
      </c>
      <c r="K652" s="187">
        <v>61</v>
      </c>
      <c r="L652" s="187">
        <v>27</v>
      </c>
      <c r="M652" s="187">
        <v>2.4</v>
      </c>
      <c r="N652" s="187">
        <v>874</v>
      </c>
      <c r="O652" s="187">
        <v>1261</v>
      </c>
      <c r="P652" s="188">
        <v>0.5</v>
      </c>
      <c r="Q652" s="189">
        <v>1747</v>
      </c>
      <c r="R652" s="189">
        <v>2521</v>
      </c>
      <c r="S652" s="184" t="s">
        <v>59</v>
      </c>
    </row>
    <row r="653" spans="1:19">
      <c r="A653" s="111">
        <v>652</v>
      </c>
      <c r="B653" s="121">
        <v>45051</v>
      </c>
      <c r="C653" s="113">
        <f t="shared" si="4"/>
        <v>2023</v>
      </c>
      <c r="D653" s="114">
        <f t="shared" si="5"/>
        <v>5</v>
      </c>
      <c r="E653" s="114" t="s">
        <v>7</v>
      </c>
      <c r="F653" s="114" t="s">
        <v>239</v>
      </c>
      <c r="G653" s="115" t="s">
        <v>240</v>
      </c>
      <c r="H653" s="114" t="s">
        <v>241</v>
      </c>
      <c r="I653" s="114" t="s">
        <v>184</v>
      </c>
      <c r="J653" s="186">
        <v>5</v>
      </c>
      <c r="K653" s="187">
        <v>75</v>
      </c>
      <c r="L653" s="187">
        <v>35</v>
      </c>
      <c r="M653" s="187">
        <v>2.4</v>
      </c>
      <c r="N653" s="187">
        <v>864</v>
      </c>
      <c r="O653" s="187">
        <v>1297</v>
      </c>
      <c r="P653" s="188">
        <v>0.2</v>
      </c>
      <c r="Q653" s="189">
        <v>4318</v>
      </c>
      <c r="R653" s="189">
        <v>6485</v>
      </c>
      <c r="S653" s="184" t="s">
        <v>59</v>
      </c>
    </row>
    <row r="654" spans="1:19">
      <c r="A654" s="111">
        <v>653</v>
      </c>
      <c r="B654" s="121">
        <v>45052</v>
      </c>
      <c r="C654" s="113">
        <f t="shared" si="4"/>
        <v>2023</v>
      </c>
      <c r="D654" s="114">
        <f t="shared" si="5"/>
        <v>5</v>
      </c>
      <c r="E654" s="114" t="s">
        <v>7</v>
      </c>
      <c r="F654" s="114" t="s">
        <v>220</v>
      </c>
      <c r="G654" s="115" t="s">
        <v>221</v>
      </c>
      <c r="H654" s="114" t="s">
        <v>222</v>
      </c>
      <c r="I654" s="114" t="s">
        <v>184</v>
      </c>
      <c r="J654" s="186">
        <v>2</v>
      </c>
      <c r="K654" s="187">
        <v>54</v>
      </c>
      <c r="L654" s="187">
        <v>30</v>
      </c>
      <c r="M654" s="187">
        <v>2.2000000000000002</v>
      </c>
      <c r="N654" s="187">
        <v>784</v>
      </c>
      <c r="O654" s="187">
        <v>1098</v>
      </c>
      <c r="P654" s="188">
        <v>0.5</v>
      </c>
      <c r="Q654" s="189">
        <v>1568</v>
      </c>
      <c r="R654" s="189">
        <v>2195</v>
      </c>
      <c r="S654" s="184" t="s">
        <v>59</v>
      </c>
    </row>
    <row r="655" spans="1:19">
      <c r="A655" s="111">
        <v>654</v>
      </c>
      <c r="B655" s="121">
        <v>45053</v>
      </c>
      <c r="C655" s="113">
        <f t="shared" si="4"/>
        <v>2023</v>
      </c>
      <c r="D655" s="114">
        <f t="shared" si="5"/>
        <v>5</v>
      </c>
      <c r="E655" s="114" t="s">
        <v>7</v>
      </c>
      <c r="F655" s="114" t="s">
        <v>242</v>
      </c>
      <c r="G655" s="115" t="s">
        <v>243</v>
      </c>
      <c r="H655" s="114" t="s">
        <v>244</v>
      </c>
      <c r="I655" s="114" t="s">
        <v>184</v>
      </c>
      <c r="J655" s="186">
        <v>4</v>
      </c>
      <c r="K655" s="187">
        <v>74</v>
      </c>
      <c r="L655" s="187">
        <v>34</v>
      </c>
      <c r="M655" s="187">
        <v>2.4</v>
      </c>
      <c r="N655" s="187">
        <v>1065</v>
      </c>
      <c r="O655" s="187">
        <v>1809</v>
      </c>
      <c r="P655" s="188">
        <v>0.25</v>
      </c>
      <c r="Q655" s="189">
        <v>4261</v>
      </c>
      <c r="R655" s="189">
        <v>7234</v>
      </c>
      <c r="S655" s="184" t="s">
        <v>59</v>
      </c>
    </row>
    <row r="656" spans="1:19">
      <c r="A656" s="111">
        <v>655</v>
      </c>
      <c r="B656" s="121">
        <v>45054</v>
      </c>
      <c r="C656" s="113">
        <f t="shared" si="4"/>
        <v>2023</v>
      </c>
      <c r="D656" s="114">
        <f t="shared" si="5"/>
        <v>5</v>
      </c>
      <c r="E656" s="114" t="s">
        <v>7</v>
      </c>
      <c r="F656" s="114" t="s">
        <v>255</v>
      </c>
      <c r="G656" s="115" t="s">
        <v>256</v>
      </c>
      <c r="H656" s="114" t="s">
        <v>257</v>
      </c>
      <c r="I656" s="114" t="s">
        <v>173</v>
      </c>
      <c r="J656" s="186">
        <v>4</v>
      </c>
      <c r="K656" s="187">
        <v>83</v>
      </c>
      <c r="L656" s="187">
        <v>35</v>
      </c>
      <c r="M656" s="187">
        <v>2.5</v>
      </c>
      <c r="N656" s="187">
        <v>1981</v>
      </c>
      <c r="O656" s="187">
        <v>2897</v>
      </c>
      <c r="P656" s="188">
        <v>0</v>
      </c>
      <c r="Q656" s="189">
        <v>7925</v>
      </c>
      <c r="R656" s="189">
        <v>11586</v>
      </c>
      <c r="S656" s="184" t="s">
        <v>59</v>
      </c>
    </row>
    <row r="657" spans="1:19">
      <c r="A657" s="111">
        <v>656</v>
      </c>
      <c r="B657" s="121">
        <v>45055</v>
      </c>
      <c r="C657" s="113">
        <f t="shared" si="4"/>
        <v>2023</v>
      </c>
      <c r="D657" s="114">
        <f t="shared" si="5"/>
        <v>5</v>
      </c>
      <c r="E657" s="114" t="s">
        <v>7</v>
      </c>
      <c r="F657" s="114" t="s">
        <v>258</v>
      </c>
      <c r="G657" s="115" t="s">
        <v>256</v>
      </c>
      <c r="H657" s="114" t="s">
        <v>257</v>
      </c>
      <c r="I657" s="114" t="s">
        <v>200</v>
      </c>
      <c r="J657" s="186">
        <v>1</v>
      </c>
      <c r="K657" s="187">
        <v>51</v>
      </c>
      <c r="L657" s="187">
        <v>24</v>
      </c>
      <c r="M657" s="187">
        <v>2.2999999999999998</v>
      </c>
      <c r="N657" s="187">
        <v>738</v>
      </c>
      <c r="O657" s="187">
        <v>1280</v>
      </c>
      <c r="P657" s="188">
        <v>1</v>
      </c>
      <c r="Q657" s="186">
        <v>738</v>
      </c>
      <c r="R657" s="189">
        <v>1280</v>
      </c>
      <c r="S657" s="184" t="s">
        <v>59</v>
      </c>
    </row>
    <row r="658" spans="1:19">
      <c r="A658" s="111">
        <v>657</v>
      </c>
      <c r="B658" s="121">
        <v>45056</v>
      </c>
      <c r="C658" s="113">
        <f t="shared" si="4"/>
        <v>2023</v>
      </c>
      <c r="D658" s="114">
        <f t="shared" si="5"/>
        <v>5</v>
      </c>
      <c r="E658" s="114" t="s">
        <v>24</v>
      </c>
      <c r="F658" s="114" t="s">
        <v>259</v>
      </c>
      <c r="G658" s="115" t="s">
        <v>260</v>
      </c>
      <c r="H658" s="114" t="s">
        <v>261</v>
      </c>
      <c r="I658" s="114" t="s">
        <v>184</v>
      </c>
      <c r="J658" s="186">
        <v>1</v>
      </c>
      <c r="K658" s="187">
        <v>18</v>
      </c>
      <c r="L658" s="187">
        <v>24</v>
      </c>
      <c r="M658" s="187">
        <v>1.4</v>
      </c>
      <c r="N658" s="187">
        <v>44</v>
      </c>
      <c r="O658" s="187">
        <v>68</v>
      </c>
      <c r="P658" s="188">
        <v>0</v>
      </c>
      <c r="Q658" s="186">
        <v>44</v>
      </c>
      <c r="R658" s="186">
        <v>68</v>
      </c>
      <c r="S658" s="184" t="s">
        <v>59</v>
      </c>
    </row>
    <row r="659" spans="1:19">
      <c r="A659" s="111">
        <v>658</v>
      </c>
      <c r="B659" s="121">
        <v>45057</v>
      </c>
      <c r="C659" s="113">
        <f t="shared" si="4"/>
        <v>2023</v>
      </c>
      <c r="D659" s="114">
        <f t="shared" si="5"/>
        <v>5</v>
      </c>
      <c r="E659" s="114" t="s">
        <v>24</v>
      </c>
      <c r="F659" s="114" t="s">
        <v>262</v>
      </c>
      <c r="G659" s="115" t="s">
        <v>263</v>
      </c>
      <c r="H659" s="114" t="s">
        <v>264</v>
      </c>
      <c r="I659" s="114" t="s">
        <v>184</v>
      </c>
      <c r="J659" s="186">
        <v>1</v>
      </c>
      <c r="K659" s="187">
        <v>19</v>
      </c>
      <c r="L659" s="187">
        <v>17</v>
      </c>
      <c r="M659" s="187">
        <v>1.4</v>
      </c>
      <c r="N659" s="187">
        <v>139</v>
      </c>
      <c r="O659" s="187">
        <v>197</v>
      </c>
      <c r="P659" s="188">
        <v>0</v>
      </c>
      <c r="Q659" s="186">
        <v>139</v>
      </c>
      <c r="R659" s="186">
        <v>197</v>
      </c>
      <c r="S659" s="184" t="s">
        <v>59</v>
      </c>
    </row>
    <row r="660" spans="1:19">
      <c r="A660" s="111">
        <v>659</v>
      </c>
      <c r="B660" s="121">
        <v>45058</v>
      </c>
      <c r="C660" s="113">
        <f t="shared" si="4"/>
        <v>2023</v>
      </c>
      <c r="D660" s="114">
        <f t="shared" si="5"/>
        <v>5</v>
      </c>
      <c r="E660" s="114" t="s">
        <v>28</v>
      </c>
      <c r="F660" s="114" t="s">
        <v>265</v>
      </c>
      <c r="G660" s="115" t="s">
        <v>266</v>
      </c>
      <c r="H660" s="114" t="s">
        <v>267</v>
      </c>
      <c r="I660" s="114" t="s">
        <v>184</v>
      </c>
      <c r="J660" s="186">
        <v>2</v>
      </c>
      <c r="K660" s="187">
        <v>23</v>
      </c>
      <c r="L660" s="187">
        <v>311</v>
      </c>
      <c r="M660" s="187">
        <v>0.7</v>
      </c>
      <c r="N660" s="187">
        <v>102</v>
      </c>
      <c r="O660" s="187">
        <v>181</v>
      </c>
      <c r="P660" s="188">
        <v>0</v>
      </c>
      <c r="Q660" s="186">
        <v>204</v>
      </c>
      <c r="R660" s="186">
        <v>362</v>
      </c>
      <c r="S660" s="184" t="s">
        <v>59</v>
      </c>
    </row>
    <row r="661" spans="1:19">
      <c r="A661" s="111">
        <v>660</v>
      </c>
      <c r="B661" s="121">
        <v>45059</v>
      </c>
      <c r="C661" s="113">
        <f t="shared" si="4"/>
        <v>2023</v>
      </c>
      <c r="D661" s="114">
        <f t="shared" si="5"/>
        <v>5</v>
      </c>
      <c r="E661" s="114" t="s">
        <v>93</v>
      </c>
      <c r="F661" s="114" t="s">
        <v>265</v>
      </c>
      <c r="G661" s="115" t="s">
        <v>266</v>
      </c>
      <c r="H661" s="114" t="s">
        <v>267</v>
      </c>
      <c r="I661" s="114" t="s">
        <v>184</v>
      </c>
      <c r="J661" s="186">
        <v>1</v>
      </c>
      <c r="K661" s="187">
        <v>7</v>
      </c>
      <c r="L661" s="187">
        <v>13</v>
      </c>
      <c r="M661" s="187">
        <v>1.2</v>
      </c>
      <c r="N661" s="187">
        <v>32</v>
      </c>
      <c r="O661" s="187">
        <v>63</v>
      </c>
      <c r="P661" s="188">
        <v>0</v>
      </c>
      <c r="Q661" s="186">
        <v>32</v>
      </c>
      <c r="R661" s="186">
        <v>63</v>
      </c>
      <c r="S661" s="184" t="s">
        <v>59</v>
      </c>
    </row>
    <row r="662" spans="1:19">
      <c r="A662" s="111">
        <v>661</v>
      </c>
      <c r="B662" s="121">
        <v>45060</v>
      </c>
      <c r="C662" s="113">
        <f t="shared" si="4"/>
        <v>2023</v>
      </c>
      <c r="D662" s="114">
        <f t="shared" si="5"/>
        <v>5</v>
      </c>
      <c r="E662" s="114" t="s">
        <v>10</v>
      </c>
      <c r="F662" s="114" t="s">
        <v>268</v>
      </c>
      <c r="G662" s="115" t="s">
        <v>269</v>
      </c>
      <c r="H662" s="114" t="s">
        <v>270</v>
      </c>
      <c r="I662" s="114" t="s">
        <v>184</v>
      </c>
      <c r="J662" s="186">
        <v>0</v>
      </c>
      <c r="K662" s="187">
        <v>0</v>
      </c>
      <c r="L662" s="187">
        <v>0</v>
      </c>
      <c r="M662" s="187">
        <v>0</v>
      </c>
      <c r="N662" s="187">
        <v>0</v>
      </c>
      <c r="O662" s="187">
        <v>0</v>
      </c>
      <c r="P662" s="188">
        <v>0</v>
      </c>
      <c r="Q662" s="186">
        <v>0</v>
      </c>
      <c r="R662" s="186">
        <v>0</v>
      </c>
      <c r="S662" s="184" t="s">
        <v>59</v>
      </c>
    </row>
    <row r="663" spans="1:19">
      <c r="A663" s="111">
        <v>662</v>
      </c>
      <c r="B663" s="121">
        <v>45061</v>
      </c>
      <c r="C663" s="113">
        <f t="shared" si="4"/>
        <v>2023</v>
      </c>
      <c r="D663" s="114">
        <f t="shared" si="5"/>
        <v>5</v>
      </c>
      <c r="E663" s="114" t="s">
        <v>32</v>
      </c>
      <c r="F663" s="114" t="s">
        <v>249</v>
      </c>
      <c r="G663" s="115" t="s">
        <v>250</v>
      </c>
      <c r="H663" s="114" t="s">
        <v>251</v>
      </c>
      <c r="I663" s="114" t="s">
        <v>184</v>
      </c>
      <c r="J663" s="186">
        <v>0</v>
      </c>
      <c r="K663" s="187">
        <v>0</v>
      </c>
      <c r="L663" s="187">
        <v>0</v>
      </c>
      <c r="M663" s="187">
        <v>0</v>
      </c>
      <c r="N663" s="187">
        <v>0</v>
      </c>
      <c r="O663" s="187">
        <v>0</v>
      </c>
      <c r="P663" s="188">
        <v>0</v>
      </c>
      <c r="Q663" s="186">
        <v>0</v>
      </c>
      <c r="R663" s="186">
        <v>0</v>
      </c>
      <c r="S663" s="184" t="s">
        <v>59</v>
      </c>
    </row>
    <row r="664" spans="1:19">
      <c r="A664" s="111">
        <v>663</v>
      </c>
      <c r="B664" s="121">
        <v>45062</v>
      </c>
      <c r="C664" s="113">
        <f t="shared" si="4"/>
        <v>2023</v>
      </c>
      <c r="D664" s="114">
        <f t="shared" si="5"/>
        <v>5</v>
      </c>
      <c r="E664" s="114" t="s">
        <v>79</v>
      </c>
      <c r="F664" s="114" t="s">
        <v>255</v>
      </c>
      <c r="G664" s="115" t="s">
        <v>256</v>
      </c>
      <c r="H664" s="114" t="s">
        <v>257</v>
      </c>
      <c r="I664" s="114" t="s">
        <v>173</v>
      </c>
      <c r="J664" s="186">
        <v>0</v>
      </c>
      <c r="K664" s="187">
        <v>0</v>
      </c>
      <c r="L664" s="187">
        <v>0</v>
      </c>
      <c r="M664" s="187">
        <v>0</v>
      </c>
      <c r="N664" s="187">
        <v>0</v>
      </c>
      <c r="O664" s="187">
        <v>0</v>
      </c>
      <c r="P664" s="188">
        <v>0</v>
      </c>
      <c r="Q664" s="186">
        <v>0</v>
      </c>
      <c r="R664" s="186">
        <v>0</v>
      </c>
      <c r="S664" s="184" t="s">
        <v>59</v>
      </c>
    </row>
    <row r="665" spans="1:19">
      <c r="A665" s="111">
        <v>664</v>
      </c>
      <c r="B665" s="121">
        <v>45063</v>
      </c>
      <c r="C665" s="113">
        <f t="shared" si="4"/>
        <v>2023</v>
      </c>
      <c r="D665" s="114">
        <f t="shared" si="5"/>
        <v>5</v>
      </c>
      <c r="E665" s="114" t="s">
        <v>101</v>
      </c>
      <c r="F665" s="114" t="s">
        <v>249</v>
      </c>
      <c r="G665" s="115" t="s">
        <v>250</v>
      </c>
      <c r="H665" s="114" t="s">
        <v>251</v>
      </c>
      <c r="I665" s="114" t="s">
        <v>184</v>
      </c>
      <c r="J665" s="186">
        <v>0</v>
      </c>
      <c r="K665" s="187">
        <v>0</v>
      </c>
      <c r="L665" s="187">
        <v>0</v>
      </c>
      <c r="M665" s="187">
        <v>0</v>
      </c>
      <c r="N665" s="187">
        <v>0</v>
      </c>
      <c r="O665" s="187">
        <v>0</v>
      </c>
      <c r="P665" s="188">
        <v>0</v>
      </c>
      <c r="Q665" s="186">
        <v>0</v>
      </c>
      <c r="R665" s="186">
        <v>0</v>
      </c>
      <c r="S665" s="184" t="s">
        <v>59</v>
      </c>
    </row>
    <row r="666" spans="1:19">
      <c r="A666" s="111">
        <v>665</v>
      </c>
      <c r="B666" s="121">
        <v>45064</v>
      </c>
      <c r="C666" s="113">
        <f t="shared" si="4"/>
        <v>2023</v>
      </c>
      <c r="D666" s="114">
        <f t="shared" si="5"/>
        <v>5</v>
      </c>
      <c r="E666" s="114" t="s">
        <v>116</v>
      </c>
      <c r="F666" s="114" t="s">
        <v>271</v>
      </c>
      <c r="G666" s="185"/>
      <c r="H666" s="185"/>
      <c r="I666" s="185"/>
      <c r="J666" s="186">
        <v>0</v>
      </c>
      <c r="K666" s="187">
        <v>0</v>
      </c>
      <c r="L666" s="187">
        <v>0</v>
      </c>
      <c r="M666" s="187">
        <v>0</v>
      </c>
      <c r="N666" s="187">
        <v>0</v>
      </c>
      <c r="O666" s="187">
        <v>0</v>
      </c>
      <c r="P666" s="188">
        <v>0</v>
      </c>
      <c r="Q666" s="186">
        <v>0</v>
      </c>
      <c r="R666" s="186">
        <v>0</v>
      </c>
      <c r="S666" s="184" t="s">
        <v>59</v>
      </c>
    </row>
    <row r="667" spans="1:19">
      <c r="A667" s="111">
        <v>666</v>
      </c>
      <c r="B667" s="121">
        <v>45078</v>
      </c>
      <c r="C667" s="113">
        <f t="shared" si="4"/>
        <v>2023</v>
      </c>
      <c r="D667" s="114">
        <f t="shared" si="5"/>
        <v>6</v>
      </c>
      <c r="E667" s="114" t="s">
        <v>79</v>
      </c>
      <c r="F667" s="114" t="s">
        <v>170</v>
      </c>
      <c r="G667" s="115" t="s">
        <v>171</v>
      </c>
      <c r="H667" s="114" t="s">
        <v>172</v>
      </c>
      <c r="I667" s="114" t="s">
        <v>173</v>
      </c>
      <c r="J667" s="186">
        <v>3</v>
      </c>
      <c r="K667" s="187">
        <v>39</v>
      </c>
      <c r="L667" s="187">
        <v>22</v>
      </c>
      <c r="M667" s="187">
        <v>2.1</v>
      </c>
      <c r="N667" s="187">
        <v>411</v>
      </c>
      <c r="O667" s="187">
        <v>544</v>
      </c>
      <c r="P667" s="188">
        <v>0.67</v>
      </c>
      <c r="Q667" s="189">
        <v>1233</v>
      </c>
      <c r="R667" s="189">
        <v>1632</v>
      </c>
      <c r="S667" s="184" t="s">
        <v>59</v>
      </c>
    </row>
    <row r="668" spans="1:19">
      <c r="A668" s="111">
        <v>667</v>
      </c>
      <c r="B668" s="121">
        <v>45079</v>
      </c>
      <c r="C668" s="113">
        <f t="shared" si="4"/>
        <v>2023</v>
      </c>
      <c r="D668" s="114">
        <f t="shared" si="5"/>
        <v>6</v>
      </c>
      <c r="E668" s="114" t="s">
        <v>79</v>
      </c>
      <c r="F668" s="114" t="s">
        <v>174</v>
      </c>
      <c r="G668" s="115" t="s">
        <v>175</v>
      </c>
      <c r="H668" s="114" t="s">
        <v>176</v>
      </c>
      <c r="I668" s="114" t="s">
        <v>173</v>
      </c>
      <c r="J668" s="186">
        <v>0</v>
      </c>
      <c r="K668" s="187">
        <v>0</v>
      </c>
      <c r="L668" s="187">
        <v>0</v>
      </c>
      <c r="M668" s="187">
        <v>0</v>
      </c>
      <c r="N668" s="187">
        <v>0</v>
      </c>
      <c r="O668" s="187">
        <v>0</v>
      </c>
      <c r="P668" s="188">
        <v>0</v>
      </c>
      <c r="Q668" s="186">
        <v>0</v>
      </c>
      <c r="R668" s="186">
        <v>0</v>
      </c>
      <c r="S668" s="184" t="s">
        <v>59</v>
      </c>
    </row>
    <row r="669" spans="1:19">
      <c r="A669" s="111">
        <v>668</v>
      </c>
      <c r="B669" s="121">
        <v>45080</v>
      </c>
      <c r="C669" s="113">
        <f t="shared" si="4"/>
        <v>2023</v>
      </c>
      <c r="D669" s="114">
        <f t="shared" si="5"/>
        <v>6</v>
      </c>
      <c r="E669" s="114" t="s">
        <v>79</v>
      </c>
      <c r="F669" s="114" t="s">
        <v>177</v>
      </c>
      <c r="G669" s="115" t="s">
        <v>175</v>
      </c>
      <c r="H669" s="114" t="s">
        <v>176</v>
      </c>
      <c r="I669" s="114" t="s">
        <v>173</v>
      </c>
      <c r="J669" s="186">
        <v>4</v>
      </c>
      <c r="K669" s="187">
        <v>73</v>
      </c>
      <c r="L669" s="187">
        <v>27</v>
      </c>
      <c r="M669" s="187">
        <v>2.9</v>
      </c>
      <c r="N669" s="187">
        <v>1715</v>
      </c>
      <c r="O669" s="187">
        <v>2565</v>
      </c>
      <c r="P669" s="188">
        <v>0</v>
      </c>
      <c r="Q669" s="189">
        <v>6858</v>
      </c>
      <c r="R669" s="189">
        <v>10258</v>
      </c>
      <c r="S669" s="184" t="s">
        <v>59</v>
      </c>
    </row>
    <row r="670" spans="1:19">
      <c r="A670" s="111">
        <v>669</v>
      </c>
      <c r="B670" s="121">
        <v>45081</v>
      </c>
      <c r="C670" s="113">
        <f t="shared" si="4"/>
        <v>2023</v>
      </c>
      <c r="D670" s="114">
        <f t="shared" si="5"/>
        <v>6</v>
      </c>
      <c r="E670" s="114" t="s">
        <v>20</v>
      </c>
      <c r="F670" s="114" t="s">
        <v>178</v>
      </c>
      <c r="G670" s="115" t="s">
        <v>179</v>
      </c>
      <c r="H670" s="114" t="s">
        <v>180</v>
      </c>
      <c r="I670" s="114" t="s">
        <v>173</v>
      </c>
      <c r="J670" s="186">
        <v>1</v>
      </c>
      <c r="K670" s="187">
        <v>59</v>
      </c>
      <c r="L670" s="187">
        <v>28</v>
      </c>
      <c r="M670" s="187">
        <v>2.2999999999999998</v>
      </c>
      <c r="N670" s="187">
        <v>970</v>
      </c>
      <c r="O670" s="187">
        <v>1406</v>
      </c>
      <c r="P670" s="188">
        <v>1</v>
      </c>
      <c r="Q670" s="186">
        <v>970</v>
      </c>
      <c r="R670" s="189">
        <v>1406</v>
      </c>
      <c r="S670" s="184" t="s">
        <v>59</v>
      </c>
    </row>
    <row r="671" spans="1:19">
      <c r="A671" s="111">
        <v>670</v>
      </c>
      <c r="B671" s="121">
        <v>45082</v>
      </c>
      <c r="C671" s="113">
        <f t="shared" si="4"/>
        <v>2023</v>
      </c>
      <c r="D671" s="114">
        <f t="shared" si="5"/>
        <v>6</v>
      </c>
      <c r="E671" s="114" t="s">
        <v>8</v>
      </c>
      <c r="F671" s="114" t="s">
        <v>181</v>
      </c>
      <c r="G671" s="115" t="s">
        <v>182</v>
      </c>
      <c r="H671" s="114" t="s">
        <v>183</v>
      </c>
      <c r="I671" s="114" t="s">
        <v>184</v>
      </c>
      <c r="J671" s="186">
        <v>2</v>
      </c>
      <c r="K671" s="187">
        <v>37</v>
      </c>
      <c r="L671" s="187">
        <v>90</v>
      </c>
      <c r="M671" s="187">
        <v>2.8</v>
      </c>
      <c r="N671" s="187">
        <v>819</v>
      </c>
      <c r="O671" s="187">
        <v>1226</v>
      </c>
      <c r="P671" s="188">
        <v>0</v>
      </c>
      <c r="Q671" s="189">
        <v>1638</v>
      </c>
      <c r="R671" s="189">
        <v>2452</v>
      </c>
      <c r="S671" s="184" t="s">
        <v>59</v>
      </c>
    </row>
    <row r="672" spans="1:19">
      <c r="A672" s="111">
        <v>671</v>
      </c>
      <c r="B672" s="121">
        <v>45083</v>
      </c>
      <c r="C672" s="113">
        <f t="shared" si="4"/>
        <v>2023</v>
      </c>
      <c r="D672" s="114">
        <f t="shared" si="5"/>
        <v>6</v>
      </c>
      <c r="E672" s="114" t="s">
        <v>8</v>
      </c>
      <c r="F672" s="114" t="s">
        <v>185</v>
      </c>
      <c r="G672" s="115" t="s">
        <v>186</v>
      </c>
      <c r="H672" s="114" t="s">
        <v>187</v>
      </c>
      <c r="I672" s="114" t="s">
        <v>184</v>
      </c>
      <c r="J672" s="186">
        <v>4</v>
      </c>
      <c r="K672" s="187">
        <v>49</v>
      </c>
      <c r="L672" s="187">
        <v>26</v>
      </c>
      <c r="M672" s="187">
        <v>2</v>
      </c>
      <c r="N672" s="187">
        <v>714</v>
      </c>
      <c r="O672" s="187">
        <v>1107</v>
      </c>
      <c r="P672" s="188">
        <v>0</v>
      </c>
      <c r="Q672" s="189">
        <v>2856</v>
      </c>
      <c r="R672" s="189">
        <v>4429</v>
      </c>
      <c r="S672" s="184" t="s">
        <v>59</v>
      </c>
    </row>
    <row r="673" spans="1:19">
      <c r="A673" s="111">
        <v>672</v>
      </c>
      <c r="B673" s="121">
        <v>45084</v>
      </c>
      <c r="C673" s="113">
        <f t="shared" si="4"/>
        <v>2023</v>
      </c>
      <c r="D673" s="114">
        <f t="shared" si="5"/>
        <v>6</v>
      </c>
      <c r="E673" s="114" t="s">
        <v>8</v>
      </c>
      <c r="F673" s="114" t="s">
        <v>188</v>
      </c>
      <c r="G673" s="115" t="s">
        <v>189</v>
      </c>
      <c r="H673" s="114" t="s">
        <v>190</v>
      </c>
      <c r="I673" s="114" t="s">
        <v>184</v>
      </c>
      <c r="J673" s="186">
        <v>5</v>
      </c>
      <c r="K673" s="187">
        <v>48</v>
      </c>
      <c r="L673" s="187">
        <v>27</v>
      </c>
      <c r="M673" s="187">
        <v>2</v>
      </c>
      <c r="N673" s="187">
        <v>691</v>
      </c>
      <c r="O673" s="187">
        <v>1077</v>
      </c>
      <c r="P673" s="188">
        <v>0.4</v>
      </c>
      <c r="Q673" s="189">
        <v>3456</v>
      </c>
      <c r="R673" s="189">
        <v>5383</v>
      </c>
      <c r="S673" s="184" t="s">
        <v>59</v>
      </c>
    </row>
    <row r="674" spans="1:19">
      <c r="A674" s="111">
        <v>673</v>
      </c>
      <c r="B674" s="121">
        <v>45085</v>
      </c>
      <c r="C674" s="113">
        <f t="shared" si="4"/>
        <v>2023</v>
      </c>
      <c r="D674" s="114">
        <f t="shared" si="5"/>
        <v>6</v>
      </c>
      <c r="E674" s="114" t="s">
        <v>8</v>
      </c>
      <c r="F674" s="114" t="s">
        <v>191</v>
      </c>
      <c r="G674" s="115" t="s">
        <v>192</v>
      </c>
      <c r="H674" s="114" t="s">
        <v>193</v>
      </c>
      <c r="I674" s="114" t="s">
        <v>173</v>
      </c>
      <c r="J674" s="186">
        <v>0</v>
      </c>
      <c r="K674" s="187">
        <v>0</v>
      </c>
      <c r="L674" s="187">
        <v>0</v>
      </c>
      <c r="M674" s="187">
        <v>0</v>
      </c>
      <c r="N674" s="187">
        <v>0</v>
      </c>
      <c r="O674" s="187">
        <v>0</v>
      </c>
      <c r="P674" s="188">
        <v>0</v>
      </c>
      <c r="Q674" s="186">
        <v>0</v>
      </c>
      <c r="R674" s="186">
        <v>0</v>
      </c>
      <c r="S674" s="184" t="s">
        <v>59</v>
      </c>
    </row>
    <row r="675" spans="1:19">
      <c r="A675" s="111">
        <v>674</v>
      </c>
      <c r="B675" s="121">
        <v>45086</v>
      </c>
      <c r="C675" s="113">
        <f t="shared" si="4"/>
        <v>2023</v>
      </c>
      <c r="D675" s="114">
        <f t="shared" si="5"/>
        <v>6</v>
      </c>
      <c r="E675" s="114" t="s">
        <v>8</v>
      </c>
      <c r="F675" s="114" t="s">
        <v>245</v>
      </c>
      <c r="G675" s="115" t="s">
        <v>246</v>
      </c>
      <c r="H675" s="114" t="s">
        <v>247</v>
      </c>
      <c r="I675" s="114" t="s">
        <v>184</v>
      </c>
      <c r="J675" s="186">
        <v>4</v>
      </c>
      <c r="K675" s="187">
        <v>49</v>
      </c>
      <c r="L675" s="187">
        <v>24</v>
      </c>
      <c r="M675" s="187">
        <v>2</v>
      </c>
      <c r="N675" s="187">
        <v>2612</v>
      </c>
      <c r="O675" s="187">
        <v>3768</v>
      </c>
      <c r="P675" s="188">
        <v>0.5</v>
      </c>
      <c r="Q675" s="189">
        <v>2612</v>
      </c>
      <c r="R675" s="189">
        <v>3768</v>
      </c>
      <c r="S675" s="184" t="s">
        <v>59</v>
      </c>
    </row>
    <row r="676" spans="1:19">
      <c r="A676" s="111">
        <v>675</v>
      </c>
      <c r="B676" s="121">
        <v>45087</v>
      </c>
      <c r="C676" s="113">
        <f t="shared" si="4"/>
        <v>2023</v>
      </c>
      <c r="D676" s="114">
        <f t="shared" si="5"/>
        <v>6</v>
      </c>
      <c r="E676" s="114" t="s">
        <v>88</v>
      </c>
      <c r="F676" s="114" t="s">
        <v>195</v>
      </c>
      <c r="G676" s="115" t="s">
        <v>196</v>
      </c>
      <c r="H676" s="114" t="s">
        <v>197</v>
      </c>
      <c r="I676" s="114" t="s">
        <v>184</v>
      </c>
      <c r="J676" s="186">
        <v>4</v>
      </c>
      <c r="K676" s="187">
        <v>43</v>
      </c>
      <c r="L676" s="187">
        <v>20</v>
      </c>
      <c r="M676" s="187">
        <v>2.2999999999999998</v>
      </c>
      <c r="N676" s="187">
        <v>660</v>
      </c>
      <c r="O676" s="187">
        <v>953</v>
      </c>
      <c r="P676" s="188">
        <v>0.5</v>
      </c>
      <c r="Q676" s="189">
        <v>2639</v>
      </c>
      <c r="R676" s="189">
        <v>3813</v>
      </c>
      <c r="S676" s="184" t="s">
        <v>59</v>
      </c>
    </row>
    <row r="677" spans="1:19">
      <c r="A677" s="111">
        <v>676</v>
      </c>
      <c r="B677" s="121">
        <v>45088</v>
      </c>
      <c r="C677" s="113">
        <f t="shared" si="4"/>
        <v>2023</v>
      </c>
      <c r="D677" s="114">
        <f t="shared" si="5"/>
        <v>6</v>
      </c>
      <c r="E677" s="114" t="s">
        <v>104</v>
      </c>
      <c r="F677" s="114" t="s">
        <v>198</v>
      </c>
      <c r="G677" s="115" t="s">
        <v>199</v>
      </c>
      <c r="H677" s="114" t="s">
        <v>199</v>
      </c>
      <c r="I677" s="114" t="s">
        <v>200</v>
      </c>
      <c r="J677" s="186">
        <v>0</v>
      </c>
      <c r="K677" s="187">
        <v>0</v>
      </c>
      <c r="L677" s="187">
        <v>0</v>
      </c>
      <c r="M677" s="187">
        <v>0</v>
      </c>
      <c r="N677" s="187">
        <v>0</v>
      </c>
      <c r="O677" s="187">
        <v>0</v>
      </c>
      <c r="P677" s="188">
        <v>0</v>
      </c>
      <c r="Q677" s="186">
        <v>0</v>
      </c>
      <c r="R677" s="186">
        <v>0</v>
      </c>
      <c r="S677" s="184" t="s">
        <v>59</v>
      </c>
    </row>
    <row r="678" spans="1:19">
      <c r="A678" s="111">
        <v>677</v>
      </c>
      <c r="B678" s="121">
        <v>45089</v>
      </c>
      <c r="C678" s="113">
        <f t="shared" si="4"/>
        <v>2023</v>
      </c>
      <c r="D678" s="114">
        <f t="shared" si="5"/>
        <v>6</v>
      </c>
      <c r="E678" s="114" t="s">
        <v>93</v>
      </c>
      <c r="F678" s="114" t="s">
        <v>248</v>
      </c>
      <c r="G678" s="115" t="s">
        <v>199</v>
      </c>
      <c r="H678" s="114" t="s">
        <v>199</v>
      </c>
      <c r="I678" s="114" t="s">
        <v>200</v>
      </c>
      <c r="J678" s="186">
        <v>1</v>
      </c>
      <c r="K678" s="187">
        <v>32</v>
      </c>
      <c r="L678" s="187">
        <v>26</v>
      </c>
      <c r="M678" s="187">
        <v>2</v>
      </c>
      <c r="N678" s="187">
        <v>269</v>
      </c>
      <c r="O678" s="187">
        <v>326</v>
      </c>
      <c r="P678" s="188">
        <v>0</v>
      </c>
      <c r="Q678" s="186">
        <v>0</v>
      </c>
      <c r="R678" s="186">
        <v>0</v>
      </c>
      <c r="S678" s="184" t="s">
        <v>59</v>
      </c>
    </row>
    <row r="679" spans="1:19">
      <c r="A679" s="111">
        <v>678</v>
      </c>
      <c r="B679" s="121">
        <v>45090</v>
      </c>
      <c r="C679" s="113">
        <f t="shared" si="4"/>
        <v>2023</v>
      </c>
      <c r="D679" s="114">
        <f t="shared" si="5"/>
        <v>6</v>
      </c>
      <c r="E679" s="114" t="s">
        <v>30</v>
      </c>
      <c r="F679" s="114" t="s">
        <v>205</v>
      </c>
      <c r="G679" s="115" t="s">
        <v>206</v>
      </c>
      <c r="H679" s="114" t="s">
        <v>207</v>
      </c>
      <c r="I679" s="114" t="s">
        <v>184</v>
      </c>
      <c r="J679" s="186">
        <v>0</v>
      </c>
      <c r="K679" s="187">
        <v>0</v>
      </c>
      <c r="L679" s="187">
        <v>0</v>
      </c>
      <c r="M679" s="187">
        <v>0</v>
      </c>
      <c r="N679" s="187">
        <v>0</v>
      </c>
      <c r="O679" s="187">
        <v>0</v>
      </c>
      <c r="P679" s="188">
        <v>0</v>
      </c>
      <c r="Q679" s="186">
        <v>0</v>
      </c>
      <c r="R679" s="186">
        <v>0</v>
      </c>
      <c r="S679" s="184" t="s">
        <v>59</v>
      </c>
    </row>
    <row r="680" spans="1:19">
      <c r="A680" s="111">
        <v>679</v>
      </c>
      <c r="B680" s="121">
        <v>45091</v>
      </c>
      <c r="C680" s="113">
        <f t="shared" si="4"/>
        <v>2023</v>
      </c>
      <c r="D680" s="114">
        <f t="shared" si="5"/>
        <v>6</v>
      </c>
      <c r="E680" s="114" t="s">
        <v>10</v>
      </c>
      <c r="F680" s="114" t="s">
        <v>208</v>
      </c>
      <c r="G680" s="115" t="s">
        <v>209</v>
      </c>
      <c r="H680" s="114" t="s">
        <v>210</v>
      </c>
      <c r="I680" s="114" t="s">
        <v>173</v>
      </c>
      <c r="J680" s="186">
        <v>3</v>
      </c>
      <c r="K680" s="187">
        <v>96</v>
      </c>
      <c r="L680" s="187">
        <v>34</v>
      </c>
      <c r="M680" s="187">
        <v>3.1</v>
      </c>
      <c r="N680" s="187">
        <v>2035</v>
      </c>
      <c r="O680" s="187">
        <v>2908</v>
      </c>
      <c r="P680" s="188">
        <v>0</v>
      </c>
      <c r="Q680" s="189">
        <v>6104</v>
      </c>
      <c r="R680" s="189">
        <v>8724</v>
      </c>
      <c r="S680" s="184" t="s">
        <v>59</v>
      </c>
    </row>
    <row r="681" spans="1:19">
      <c r="A681" s="111">
        <v>680</v>
      </c>
      <c r="B681" s="121">
        <v>45092</v>
      </c>
      <c r="C681" s="113">
        <f t="shared" si="4"/>
        <v>2023</v>
      </c>
      <c r="D681" s="114">
        <f t="shared" si="5"/>
        <v>6</v>
      </c>
      <c r="E681" s="114" t="s">
        <v>10</v>
      </c>
      <c r="F681" s="114" t="s">
        <v>211</v>
      </c>
      <c r="G681" s="115" t="s">
        <v>212</v>
      </c>
      <c r="H681" s="114" t="s">
        <v>213</v>
      </c>
      <c r="I681" s="114" t="s">
        <v>173</v>
      </c>
      <c r="J681" s="186">
        <v>0</v>
      </c>
      <c r="K681" s="187">
        <v>0</v>
      </c>
      <c r="L681" s="187">
        <v>0</v>
      </c>
      <c r="M681" s="187">
        <v>0</v>
      </c>
      <c r="N681" s="187">
        <v>0</v>
      </c>
      <c r="O681" s="187">
        <v>0</v>
      </c>
      <c r="P681" s="188">
        <v>0</v>
      </c>
      <c r="Q681" s="186">
        <v>0</v>
      </c>
      <c r="R681" s="186">
        <v>0</v>
      </c>
      <c r="S681" s="184" t="s">
        <v>59</v>
      </c>
    </row>
    <row r="682" spans="1:19">
      <c r="A682" s="111">
        <v>681</v>
      </c>
      <c r="B682" s="121">
        <v>45093</v>
      </c>
      <c r="C682" s="113">
        <f t="shared" si="4"/>
        <v>2023</v>
      </c>
      <c r="D682" s="114">
        <f t="shared" si="5"/>
        <v>6</v>
      </c>
      <c r="E682" s="114" t="s">
        <v>10</v>
      </c>
      <c r="F682" s="114" t="s">
        <v>214</v>
      </c>
      <c r="G682" s="115" t="s">
        <v>215</v>
      </c>
      <c r="H682" s="114" t="s">
        <v>216</v>
      </c>
      <c r="I682" s="114" t="s">
        <v>184</v>
      </c>
      <c r="J682" s="186">
        <v>1</v>
      </c>
      <c r="K682" s="187">
        <v>44</v>
      </c>
      <c r="L682" s="187">
        <v>22</v>
      </c>
      <c r="M682" s="187">
        <v>2.2999999999999998</v>
      </c>
      <c r="N682" s="187">
        <v>657</v>
      </c>
      <c r="O682" s="187">
        <v>951</v>
      </c>
      <c r="P682" s="188">
        <v>0</v>
      </c>
      <c r="Q682" s="186">
        <v>657</v>
      </c>
      <c r="R682" s="186">
        <v>951</v>
      </c>
      <c r="S682" s="184" t="s">
        <v>59</v>
      </c>
    </row>
    <row r="683" spans="1:19">
      <c r="A683" s="111">
        <v>682</v>
      </c>
      <c r="B683" s="121">
        <v>45094</v>
      </c>
      <c r="C683" s="113">
        <f t="shared" si="4"/>
        <v>2023</v>
      </c>
      <c r="D683" s="114">
        <f t="shared" si="5"/>
        <v>6</v>
      </c>
      <c r="E683" s="114" t="s">
        <v>9</v>
      </c>
      <c r="F683" s="114" t="s">
        <v>217</v>
      </c>
      <c r="G683" s="115" t="s">
        <v>218</v>
      </c>
      <c r="H683" s="114" t="s">
        <v>219</v>
      </c>
      <c r="I683" s="114" t="s">
        <v>184</v>
      </c>
      <c r="J683" s="186">
        <v>4</v>
      </c>
      <c r="K683" s="187">
        <v>84</v>
      </c>
      <c r="L683" s="187">
        <v>32</v>
      </c>
      <c r="M683" s="187">
        <v>2.8</v>
      </c>
      <c r="N683" s="187">
        <v>2648</v>
      </c>
      <c r="O683" s="187">
        <v>4271</v>
      </c>
      <c r="P683" s="188">
        <v>0.5</v>
      </c>
      <c r="Q683" s="189">
        <v>10591</v>
      </c>
      <c r="R683" s="189">
        <v>17085</v>
      </c>
      <c r="S683" s="184" t="s">
        <v>59</v>
      </c>
    </row>
    <row r="684" spans="1:19">
      <c r="A684" s="111">
        <v>683</v>
      </c>
      <c r="B684" s="121">
        <v>45095</v>
      </c>
      <c r="C684" s="113">
        <f t="shared" si="4"/>
        <v>2023</v>
      </c>
      <c r="D684" s="114">
        <f t="shared" si="5"/>
        <v>6</v>
      </c>
      <c r="E684" s="114" t="s">
        <v>11</v>
      </c>
      <c r="F684" s="114" t="s">
        <v>220</v>
      </c>
      <c r="G684" s="115" t="s">
        <v>221</v>
      </c>
      <c r="H684" s="114" t="s">
        <v>222</v>
      </c>
      <c r="I684" s="114" t="s">
        <v>184</v>
      </c>
      <c r="J684" s="186">
        <v>2</v>
      </c>
      <c r="K684" s="187">
        <v>67</v>
      </c>
      <c r="L684" s="187">
        <v>38</v>
      </c>
      <c r="M684" s="187">
        <v>2.1</v>
      </c>
      <c r="N684" s="187">
        <v>846</v>
      </c>
      <c r="O684" s="187">
        <v>1232</v>
      </c>
      <c r="P684" s="188">
        <v>1</v>
      </c>
      <c r="Q684" s="189">
        <v>1692</v>
      </c>
      <c r="R684" s="189">
        <v>2463</v>
      </c>
      <c r="S684" s="184" t="s">
        <v>59</v>
      </c>
    </row>
    <row r="685" spans="1:19">
      <c r="A685" s="111">
        <v>684</v>
      </c>
      <c r="B685" s="121">
        <v>45096</v>
      </c>
      <c r="C685" s="113">
        <f t="shared" si="4"/>
        <v>2023</v>
      </c>
      <c r="D685" s="114">
        <f t="shared" si="5"/>
        <v>6</v>
      </c>
      <c r="E685" s="114" t="s">
        <v>11</v>
      </c>
      <c r="F685" s="114" t="s">
        <v>249</v>
      </c>
      <c r="G685" s="115" t="s">
        <v>250</v>
      </c>
      <c r="H685" s="114" t="s">
        <v>251</v>
      </c>
      <c r="I685" s="114" t="s">
        <v>184</v>
      </c>
      <c r="J685" s="186">
        <v>0</v>
      </c>
      <c r="K685" s="187">
        <v>0</v>
      </c>
      <c r="L685" s="187">
        <v>0</v>
      </c>
      <c r="M685" s="187">
        <v>0</v>
      </c>
      <c r="N685" s="187">
        <v>0</v>
      </c>
      <c r="O685" s="187">
        <v>0</v>
      </c>
      <c r="P685" s="188">
        <v>0</v>
      </c>
      <c r="Q685" s="186">
        <v>0</v>
      </c>
      <c r="R685" s="186">
        <v>0</v>
      </c>
      <c r="S685" s="184" t="s">
        <v>59</v>
      </c>
    </row>
    <row r="686" spans="1:19">
      <c r="A686" s="111">
        <v>685</v>
      </c>
      <c r="B686" s="121">
        <v>45097</v>
      </c>
      <c r="C686" s="113">
        <f t="shared" si="4"/>
        <v>2023</v>
      </c>
      <c r="D686" s="114">
        <f t="shared" si="5"/>
        <v>6</v>
      </c>
      <c r="E686" s="114" t="s">
        <v>91</v>
      </c>
      <c r="F686" s="114" t="s">
        <v>178</v>
      </c>
      <c r="G686" s="115" t="s">
        <v>179</v>
      </c>
      <c r="H686" s="114" t="s">
        <v>180</v>
      </c>
      <c r="I686" s="114" t="s">
        <v>173</v>
      </c>
      <c r="J686" s="186">
        <v>2</v>
      </c>
      <c r="K686" s="187">
        <v>47</v>
      </c>
      <c r="L686" s="187">
        <v>21</v>
      </c>
      <c r="M686" s="187">
        <v>2.2999999999999998</v>
      </c>
      <c r="N686" s="187">
        <v>865</v>
      </c>
      <c r="O686" s="187">
        <v>1255</v>
      </c>
      <c r="P686" s="188">
        <v>0.5</v>
      </c>
      <c r="Q686" s="189">
        <v>1730</v>
      </c>
      <c r="R686" s="189">
        <v>2509</v>
      </c>
      <c r="S686" s="184" t="s">
        <v>59</v>
      </c>
    </row>
    <row r="687" spans="1:19">
      <c r="A687" s="111">
        <v>686</v>
      </c>
      <c r="B687" s="121">
        <v>45098</v>
      </c>
      <c r="C687" s="113">
        <f t="shared" si="4"/>
        <v>2023</v>
      </c>
      <c r="D687" s="114">
        <f t="shared" si="5"/>
        <v>6</v>
      </c>
      <c r="E687" s="114" t="s">
        <v>23</v>
      </c>
      <c r="F687" s="114" t="s">
        <v>223</v>
      </c>
      <c r="G687" s="115" t="s">
        <v>175</v>
      </c>
      <c r="H687" s="114" t="s">
        <v>176</v>
      </c>
      <c r="I687" s="114" t="s">
        <v>173</v>
      </c>
      <c r="J687" s="186">
        <v>0</v>
      </c>
      <c r="K687" s="187">
        <v>0</v>
      </c>
      <c r="L687" s="187">
        <v>0</v>
      </c>
      <c r="M687" s="187">
        <v>0</v>
      </c>
      <c r="N687" s="187">
        <v>0</v>
      </c>
      <c r="O687" s="187">
        <v>0</v>
      </c>
      <c r="P687" s="188">
        <v>0</v>
      </c>
      <c r="Q687" s="186">
        <v>0</v>
      </c>
      <c r="R687" s="186">
        <v>0</v>
      </c>
      <c r="S687" s="184" t="s">
        <v>59</v>
      </c>
    </row>
    <row r="688" spans="1:19">
      <c r="A688" s="111">
        <v>687</v>
      </c>
      <c r="B688" s="121">
        <v>45099</v>
      </c>
      <c r="C688" s="113">
        <f t="shared" si="4"/>
        <v>2023</v>
      </c>
      <c r="D688" s="114">
        <f t="shared" si="5"/>
        <v>6</v>
      </c>
      <c r="E688" s="114" t="s">
        <v>23</v>
      </c>
      <c r="F688" s="114" t="s">
        <v>224</v>
      </c>
      <c r="G688" s="115" t="s">
        <v>107</v>
      </c>
      <c r="H688" s="114" t="s">
        <v>107</v>
      </c>
      <c r="I688" s="114" t="s">
        <v>107</v>
      </c>
      <c r="J688" s="186">
        <v>0</v>
      </c>
      <c r="K688" s="187">
        <v>0</v>
      </c>
      <c r="L688" s="187">
        <v>0</v>
      </c>
      <c r="M688" s="187">
        <v>0</v>
      </c>
      <c r="N688" s="187">
        <v>0</v>
      </c>
      <c r="O688" s="187">
        <v>0</v>
      </c>
      <c r="P688" s="188">
        <v>0</v>
      </c>
      <c r="Q688" s="186">
        <v>0</v>
      </c>
      <c r="R688" s="186">
        <v>0</v>
      </c>
      <c r="S688" s="184" t="s">
        <v>59</v>
      </c>
    </row>
    <row r="689" spans="1:19">
      <c r="A689" s="111">
        <v>688</v>
      </c>
      <c r="B689" s="121">
        <v>45100</v>
      </c>
      <c r="C689" s="113">
        <f t="shared" si="4"/>
        <v>2023</v>
      </c>
      <c r="D689" s="114">
        <f t="shared" si="5"/>
        <v>6</v>
      </c>
      <c r="E689" s="114" t="s">
        <v>15</v>
      </c>
      <c r="F689" s="114" t="s">
        <v>225</v>
      </c>
      <c r="G689" s="115" t="s">
        <v>226</v>
      </c>
      <c r="H689" s="114" t="s">
        <v>227</v>
      </c>
      <c r="I689" s="114" t="s">
        <v>173</v>
      </c>
      <c r="J689" s="186">
        <v>0</v>
      </c>
      <c r="K689" s="187">
        <v>0</v>
      </c>
      <c r="L689" s="187">
        <v>0</v>
      </c>
      <c r="M689" s="187">
        <v>0</v>
      </c>
      <c r="N689" s="187">
        <v>0</v>
      </c>
      <c r="O689" s="187">
        <v>0</v>
      </c>
      <c r="P689" s="188">
        <v>0</v>
      </c>
      <c r="Q689" s="186">
        <v>0</v>
      </c>
      <c r="R689" s="186">
        <v>0</v>
      </c>
      <c r="S689" s="184" t="s">
        <v>59</v>
      </c>
    </row>
    <row r="690" spans="1:19">
      <c r="A690" s="111">
        <v>689</v>
      </c>
      <c r="B690" s="121">
        <v>45101</v>
      </c>
      <c r="C690" s="113">
        <f t="shared" si="4"/>
        <v>2023</v>
      </c>
      <c r="D690" s="114">
        <f t="shared" si="5"/>
        <v>6</v>
      </c>
      <c r="E690" s="114" t="s">
        <v>84</v>
      </c>
      <c r="F690" s="114" t="s">
        <v>228</v>
      </c>
      <c r="G690" s="115" t="s">
        <v>229</v>
      </c>
      <c r="H690" s="114" t="s">
        <v>230</v>
      </c>
      <c r="I690" s="114" t="s">
        <v>184</v>
      </c>
      <c r="J690" s="186">
        <v>4</v>
      </c>
      <c r="K690" s="187">
        <v>39</v>
      </c>
      <c r="L690" s="187">
        <v>26</v>
      </c>
      <c r="M690" s="187">
        <v>1.7</v>
      </c>
      <c r="N690" s="187">
        <v>435</v>
      </c>
      <c r="O690" s="187">
        <v>666</v>
      </c>
      <c r="P690" s="188">
        <v>0.5</v>
      </c>
      <c r="Q690" s="189">
        <v>1741</v>
      </c>
      <c r="R690" s="189">
        <v>2664</v>
      </c>
      <c r="S690" s="184" t="s">
        <v>59</v>
      </c>
    </row>
    <row r="691" spans="1:19">
      <c r="A691" s="111">
        <v>690</v>
      </c>
      <c r="B691" s="121">
        <v>45102</v>
      </c>
      <c r="C691" s="113">
        <f t="shared" si="4"/>
        <v>2023</v>
      </c>
      <c r="D691" s="114">
        <f t="shared" si="5"/>
        <v>6</v>
      </c>
      <c r="E691" s="114" t="s">
        <v>84</v>
      </c>
      <c r="F691" s="114" t="s">
        <v>231</v>
      </c>
      <c r="G691" s="115" t="s">
        <v>232</v>
      </c>
      <c r="H691" s="114" t="s">
        <v>233</v>
      </c>
      <c r="I691" s="114" t="s">
        <v>184</v>
      </c>
      <c r="J691" s="186">
        <v>0</v>
      </c>
      <c r="K691" s="187">
        <v>0</v>
      </c>
      <c r="L691" s="187">
        <v>0</v>
      </c>
      <c r="M691" s="187">
        <v>0</v>
      </c>
      <c r="N691" s="187">
        <v>0</v>
      </c>
      <c r="O691" s="187">
        <v>0</v>
      </c>
      <c r="P691" s="188">
        <v>0</v>
      </c>
      <c r="Q691" s="186">
        <v>0</v>
      </c>
      <c r="R691" s="186">
        <v>0</v>
      </c>
      <c r="S691" s="184" t="s">
        <v>59</v>
      </c>
    </row>
    <row r="692" spans="1:19">
      <c r="A692" s="111">
        <v>691</v>
      </c>
      <c r="B692" s="121">
        <v>45103</v>
      </c>
      <c r="C692" s="113">
        <f t="shared" si="4"/>
        <v>2023</v>
      </c>
      <c r="D692" s="114">
        <f t="shared" si="5"/>
        <v>6</v>
      </c>
      <c r="E692" s="114" t="s">
        <v>84</v>
      </c>
      <c r="F692" s="114" t="s">
        <v>249</v>
      </c>
      <c r="G692" s="125" t="s">
        <v>250</v>
      </c>
      <c r="H692" s="185" t="s">
        <v>251</v>
      </c>
      <c r="I692" s="185"/>
      <c r="J692" s="186">
        <v>0</v>
      </c>
      <c r="K692" s="187">
        <v>0</v>
      </c>
      <c r="L692" s="187">
        <v>0</v>
      </c>
      <c r="M692" s="187">
        <v>0</v>
      </c>
      <c r="N692" s="187">
        <v>0</v>
      </c>
      <c r="O692" s="187">
        <v>0</v>
      </c>
      <c r="P692" s="188">
        <v>0</v>
      </c>
      <c r="Q692" s="186">
        <v>0</v>
      </c>
      <c r="R692" s="186">
        <v>0</v>
      </c>
      <c r="S692" s="184" t="s">
        <v>59</v>
      </c>
    </row>
    <row r="693" spans="1:19">
      <c r="A693" s="111">
        <v>692</v>
      </c>
      <c r="B693" s="121">
        <v>45104</v>
      </c>
      <c r="C693" s="113">
        <f t="shared" si="4"/>
        <v>2023</v>
      </c>
      <c r="D693" s="114">
        <f t="shared" si="5"/>
        <v>6</v>
      </c>
      <c r="E693" s="114" t="s">
        <v>22</v>
      </c>
      <c r="F693" s="114" t="s">
        <v>174</v>
      </c>
      <c r="G693" s="115" t="s">
        <v>175</v>
      </c>
      <c r="H693" s="114" t="s">
        <v>176</v>
      </c>
      <c r="I693" s="114" t="s">
        <v>173</v>
      </c>
      <c r="J693" s="186">
        <v>4</v>
      </c>
      <c r="K693" s="187">
        <v>81</v>
      </c>
      <c r="L693" s="187">
        <v>30</v>
      </c>
      <c r="M693" s="187">
        <v>2.9</v>
      </c>
      <c r="N693" s="187">
        <v>2089</v>
      </c>
      <c r="O693" s="187">
        <v>3292</v>
      </c>
      <c r="P693" s="188">
        <v>0</v>
      </c>
      <c r="Q693" s="189">
        <v>8357</v>
      </c>
      <c r="R693" s="189">
        <v>13169</v>
      </c>
      <c r="S693" s="184" t="s">
        <v>59</v>
      </c>
    </row>
    <row r="694" spans="1:19">
      <c r="A694" s="111">
        <v>693</v>
      </c>
      <c r="B694" s="121">
        <v>45105</v>
      </c>
      <c r="C694" s="113">
        <f t="shared" si="4"/>
        <v>2023</v>
      </c>
      <c r="D694" s="114">
        <f t="shared" si="5"/>
        <v>6</v>
      </c>
      <c r="E694" s="114" t="s">
        <v>22</v>
      </c>
      <c r="F694" s="114" t="s">
        <v>177</v>
      </c>
      <c r="G694" s="115" t="s">
        <v>175</v>
      </c>
      <c r="H694" s="114" t="s">
        <v>176</v>
      </c>
      <c r="I694" s="114" t="s">
        <v>173</v>
      </c>
      <c r="J694" s="186">
        <v>0</v>
      </c>
      <c r="K694" s="187">
        <v>0</v>
      </c>
      <c r="L694" s="187">
        <v>0</v>
      </c>
      <c r="M694" s="187">
        <v>0</v>
      </c>
      <c r="N694" s="187">
        <v>0</v>
      </c>
      <c r="O694" s="187">
        <v>0</v>
      </c>
      <c r="P694" s="188">
        <v>0</v>
      </c>
      <c r="Q694" s="186">
        <v>0</v>
      </c>
      <c r="R694" s="186">
        <v>0</v>
      </c>
      <c r="S694" s="184" t="s">
        <v>59</v>
      </c>
    </row>
    <row r="695" spans="1:19">
      <c r="A695" s="111">
        <v>694</v>
      </c>
      <c r="B695" s="121">
        <v>45106</v>
      </c>
      <c r="C695" s="113">
        <f t="shared" si="4"/>
        <v>2023</v>
      </c>
      <c r="D695" s="114">
        <f t="shared" si="5"/>
        <v>6</v>
      </c>
      <c r="E695" s="114" t="s">
        <v>22</v>
      </c>
      <c r="F695" s="114" t="s">
        <v>223</v>
      </c>
      <c r="G695" s="115" t="s">
        <v>175</v>
      </c>
      <c r="H695" s="114" t="s">
        <v>176</v>
      </c>
      <c r="I695" s="114" t="s">
        <v>173</v>
      </c>
      <c r="J695" s="186">
        <v>0</v>
      </c>
      <c r="K695" s="187">
        <v>0</v>
      </c>
      <c r="L695" s="187">
        <v>0</v>
      </c>
      <c r="M695" s="187">
        <v>0</v>
      </c>
      <c r="N695" s="187">
        <v>0</v>
      </c>
      <c r="O695" s="187">
        <v>0</v>
      </c>
      <c r="P695" s="188">
        <v>0</v>
      </c>
      <c r="Q695" s="186">
        <v>0</v>
      </c>
      <c r="R695" s="186">
        <v>0</v>
      </c>
      <c r="S695" s="184" t="s">
        <v>59</v>
      </c>
    </row>
    <row r="696" spans="1:19">
      <c r="A696" s="111">
        <v>695</v>
      </c>
      <c r="B696" s="121">
        <v>45107</v>
      </c>
      <c r="C696" s="113">
        <f t="shared" si="4"/>
        <v>2023</v>
      </c>
      <c r="D696" s="114">
        <f t="shared" si="5"/>
        <v>6</v>
      </c>
      <c r="E696" s="114" t="s">
        <v>12</v>
      </c>
      <c r="F696" s="114" t="s">
        <v>220</v>
      </c>
      <c r="G696" s="115" t="s">
        <v>221</v>
      </c>
      <c r="H696" s="114" t="s">
        <v>222</v>
      </c>
      <c r="I696" s="114" t="s">
        <v>184</v>
      </c>
      <c r="J696" s="186">
        <v>1</v>
      </c>
      <c r="K696" s="187">
        <v>77</v>
      </c>
      <c r="L696" s="187">
        <v>34</v>
      </c>
      <c r="M696" s="187">
        <v>2.5</v>
      </c>
      <c r="N696" s="187">
        <v>793</v>
      </c>
      <c r="O696" s="187">
        <v>1131</v>
      </c>
      <c r="P696" s="188">
        <v>1</v>
      </c>
      <c r="Q696" s="186">
        <v>793</v>
      </c>
      <c r="R696" s="189">
        <v>1131</v>
      </c>
      <c r="S696" s="184" t="s">
        <v>59</v>
      </c>
    </row>
    <row r="697" spans="1:19">
      <c r="A697" s="111">
        <v>696</v>
      </c>
      <c r="B697" s="121">
        <v>45078</v>
      </c>
      <c r="C697" s="113">
        <f t="shared" si="4"/>
        <v>2023</v>
      </c>
      <c r="D697" s="114">
        <f t="shared" si="5"/>
        <v>6</v>
      </c>
      <c r="E697" s="114" t="s">
        <v>12</v>
      </c>
      <c r="F697" s="114" t="s">
        <v>234</v>
      </c>
      <c r="G697" s="115" t="s">
        <v>235</v>
      </c>
      <c r="H697" s="114" t="s">
        <v>236</v>
      </c>
      <c r="I697" s="114" t="s">
        <v>184</v>
      </c>
      <c r="J697" s="186">
        <v>3</v>
      </c>
      <c r="K697" s="187">
        <v>31</v>
      </c>
      <c r="L697" s="187">
        <v>17</v>
      </c>
      <c r="M697" s="187">
        <v>1.9</v>
      </c>
      <c r="N697" s="187">
        <v>655</v>
      </c>
      <c r="O697" s="187">
        <v>1028</v>
      </c>
      <c r="P697" s="188">
        <v>0.67</v>
      </c>
      <c r="Q697" s="189">
        <v>1964</v>
      </c>
      <c r="R697" s="189">
        <v>3085</v>
      </c>
      <c r="S697" s="184" t="s">
        <v>59</v>
      </c>
    </row>
    <row r="698" spans="1:19">
      <c r="A698" s="111">
        <v>697</v>
      </c>
      <c r="B698" s="121">
        <v>45079</v>
      </c>
      <c r="C698" s="113">
        <f t="shared" si="4"/>
        <v>2023</v>
      </c>
      <c r="D698" s="114">
        <f t="shared" si="5"/>
        <v>6</v>
      </c>
      <c r="E698" s="114" t="s">
        <v>12</v>
      </c>
      <c r="F698" s="114" t="s">
        <v>237</v>
      </c>
      <c r="G698" s="115" t="s">
        <v>199</v>
      </c>
      <c r="H698" s="114" t="s">
        <v>199</v>
      </c>
      <c r="I698" s="114" t="s">
        <v>200</v>
      </c>
      <c r="J698" s="186">
        <v>1</v>
      </c>
      <c r="K698" s="187">
        <v>29</v>
      </c>
      <c r="L698" s="187">
        <v>14</v>
      </c>
      <c r="M698" s="187">
        <v>2.4</v>
      </c>
      <c r="N698" s="187">
        <v>451</v>
      </c>
      <c r="O698" s="187">
        <v>576</v>
      </c>
      <c r="P698" s="188">
        <v>1</v>
      </c>
      <c r="Q698" s="186">
        <v>451</v>
      </c>
      <c r="R698" s="186">
        <v>576</v>
      </c>
      <c r="S698" s="184" t="s">
        <v>59</v>
      </c>
    </row>
    <row r="699" spans="1:19">
      <c r="A699" s="111">
        <v>698</v>
      </c>
      <c r="B699" s="121">
        <v>45080</v>
      </c>
      <c r="C699" s="113">
        <f t="shared" si="4"/>
        <v>2023</v>
      </c>
      <c r="D699" s="114">
        <f t="shared" si="5"/>
        <v>6</v>
      </c>
      <c r="E699" s="114" t="s">
        <v>12</v>
      </c>
      <c r="F699" s="114" t="s">
        <v>252</v>
      </c>
      <c r="G699" s="115" t="s">
        <v>253</v>
      </c>
      <c r="H699" s="114" t="s">
        <v>254</v>
      </c>
      <c r="I699" s="114" t="s">
        <v>184</v>
      </c>
      <c r="J699" s="186">
        <v>0</v>
      </c>
      <c r="K699" s="187">
        <v>0</v>
      </c>
      <c r="L699" s="187">
        <v>0</v>
      </c>
      <c r="M699" s="187">
        <v>0</v>
      </c>
      <c r="N699" s="187">
        <v>0</v>
      </c>
      <c r="O699" s="187">
        <v>0</v>
      </c>
      <c r="P699" s="188">
        <v>0</v>
      </c>
      <c r="Q699" s="186">
        <v>0</v>
      </c>
      <c r="R699" s="186">
        <v>0</v>
      </c>
      <c r="S699" s="184" t="s">
        <v>59</v>
      </c>
    </row>
    <row r="700" spans="1:19">
      <c r="A700" s="111">
        <v>699</v>
      </c>
      <c r="B700" s="121">
        <v>45081</v>
      </c>
      <c r="C700" s="113">
        <f t="shared" si="4"/>
        <v>2023</v>
      </c>
      <c r="D700" s="114">
        <f t="shared" si="5"/>
        <v>6</v>
      </c>
      <c r="E700" s="114" t="s">
        <v>26</v>
      </c>
      <c r="F700" s="114" t="s">
        <v>238</v>
      </c>
      <c r="G700" s="115" t="s">
        <v>175</v>
      </c>
      <c r="H700" s="114" t="s">
        <v>176</v>
      </c>
      <c r="I700" s="114" t="s">
        <v>173</v>
      </c>
      <c r="J700" s="186">
        <v>0</v>
      </c>
      <c r="K700" s="187">
        <v>0</v>
      </c>
      <c r="L700" s="187">
        <v>0</v>
      </c>
      <c r="M700" s="187">
        <v>0</v>
      </c>
      <c r="N700" s="187">
        <v>0</v>
      </c>
      <c r="O700" s="187">
        <v>0</v>
      </c>
      <c r="P700" s="188">
        <v>0</v>
      </c>
      <c r="Q700" s="186">
        <v>0</v>
      </c>
      <c r="R700" s="186">
        <v>0</v>
      </c>
      <c r="S700" s="184" t="s">
        <v>59</v>
      </c>
    </row>
    <row r="701" spans="1:19">
      <c r="A701" s="111">
        <v>700</v>
      </c>
      <c r="B701" s="121">
        <v>45082</v>
      </c>
      <c r="C701" s="113">
        <f t="shared" si="4"/>
        <v>2023</v>
      </c>
      <c r="D701" s="114">
        <f t="shared" si="5"/>
        <v>6</v>
      </c>
      <c r="E701" s="114" t="s">
        <v>19</v>
      </c>
      <c r="F701" s="114" t="s">
        <v>178</v>
      </c>
      <c r="G701" s="115" t="s">
        <v>179</v>
      </c>
      <c r="H701" s="114" t="s">
        <v>180</v>
      </c>
      <c r="I701" s="114" t="s">
        <v>173</v>
      </c>
      <c r="J701" s="186">
        <v>1</v>
      </c>
      <c r="K701" s="187">
        <v>52</v>
      </c>
      <c r="L701" s="187">
        <v>25</v>
      </c>
      <c r="M701" s="187">
        <v>2.4</v>
      </c>
      <c r="N701" s="187">
        <v>775</v>
      </c>
      <c r="O701" s="187">
        <v>1194</v>
      </c>
      <c r="P701" s="188">
        <v>1</v>
      </c>
      <c r="Q701" s="186">
        <v>775</v>
      </c>
      <c r="R701" s="189">
        <v>1194</v>
      </c>
      <c r="S701" s="184" t="s">
        <v>59</v>
      </c>
    </row>
    <row r="702" spans="1:19">
      <c r="A702" s="111">
        <v>701</v>
      </c>
      <c r="B702" s="121">
        <v>45083</v>
      </c>
      <c r="C702" s="113">
        <f t="shared" si="4"/>
        <v>2023</v>
      </c>
      <c r="D702" s="114">
        <f t="shared" si="5"/>
        <v>6</v>
      </c>
      <c r="E702" s="114" t="s">
        <v>7</v>
      </c>
      <c r="F702" s="114" t="s">
        <v>239</v>
      </c>
      <c r="G702" s="115" t="s">
        <v>240</v>
      </c>
      <c r="H702" s="114" t="s">
        <v>241</v>
      </c>
      <c r="I702" s="114" t="s">
        <v>184</v>
      </c>
      <c r="J702" s="186">
        <v>5</v>
      </c>
      <c r="K702" s="187">
        <v>75</v>
      </c>
      <c r="L702" s="187">
        <v>35</v>
      </c>
      <c r="M702" s="187">
        <v>2.4</v>
      </c>
      <c r="N702" s="187">
        <v>864</v>
      </c>
      <c r="O702" s="187">
        <v>1297</v>
      </c>
      <c r="P702" s="188">
        <v>0.2</v>
      </c>
      <c r="Q702" s="189">
        <v>4318</v>
      </c>
      <c r="R702" s="189">
        <v>6485</v>
      </c>
      <c r="S702" s="184" t="s">
        <v>59</v>
      </c>
    </row>
    <row r="703" spans="1:19">
      <c r="A703" s="111">
        <v>702</v>
      </c>
      <c r="B703" s="121">
        <v>45084</v>
      </c>
      <c r="C703" s="113">
        <f t="shared" si="4"/>
        <v>2023</v>
      </c>
      <c r="D703" s="114">
        <f t="shared" si="5"/>
        <v>6</v>
      </c>
      <c r="E703" s="114" t="s">
        <v>7</v>
      </c>
      <c r="F703" s="114" t="s">
        <v>220</v>
      </c>
      <c r="G703" s="115" t="s">
        <v>221</v>
      </c>
      <c r="H703" s="114" t="s">
        <v>222</v>
      </c>
      <c r="I703" s="114" t="s">
        <v>184</v>
      </c>
      <c r="J703" s="186">
        <v>2</v>
      </c>
      <c r="K703" s="187">
        <v>54</v>
      </c>
      <c r="L703" s="187">
        <v>30</v>
      </c>
      <c r="M703" s="187">
        <v>2.2000000000000002</v>
      </c>
      <c r="N703" s="187">
        <v>784</v>
      </c>
      <c r="O703" s="187">
        <v>1098</v>
      </c>
      <c r="P703" s="188">
        <v>0.5</v>
      </c>
      <c r="Q703" s="189">
        <v>1568</v>
      </c>
      <c r="R703" s="189">
        <v>2195</v>
      </c>
      <c r="S703" s="184" t="s">
        <v>59</v>
      </c>
    </row>
    <row r="704" spans="1:19">
      <c r="A704" s="111">
        <v>703</v>
      </c>
      <c r="B704" s="121">
        <v>45085</v>
      </c>
      <c r="C704" s="113">
        <f t="shared" si="4"/>
        <v>2023</v>
      </c>
      <c r="D704" s="114">
        <f t="shared" si="5"/>
        <v>6</v>
      </c>
      <c r="E704" s="114" t="s">
        <v>7</v>
      </c>
      <c r="F704" s="114" t="s">
        <v>242</v>
      </c>
      <c r="G704" s="115" t="s">
        <v>243</v>
      </c>
      <c r="H704" s="114" t="s">
        <v>244</v>
      </c>
      <c r="I704" s="114" t="s">
        <v>184</v>
      </c>
      <c r="J704" s="186">
        <v>4</v>
      </c>
      <c r="K704" s="187">
        <v>64</v>
      </c>
      <c r="L704" s="187">
        <v>28</v>
      </c>
      <c r="M704" s="187">
        <v>2.6</v>
      </c>
      <c r="N704" s="187">
        <v>905</v>
      </c>
      <c r="O704" s="187">
        <v>1608</v>
      </c>
      <c r="P704" s="188">
        <v>0.25</v>
      </c>
      <c r="Q704" s="189">
        <v>3620</v>
      </c>
      <c r="R704" s="189">
        <v>6431</v>
      </c>
      <c r="S704" s="184" t="s">
        <v>59</v>
      </c>
    </row>
    <row r="705" spans="1:19">
      <c r="A705" s="111">
        <v>704</v>
      </c>
      <c r="B705" s="121">
        <v>45086</v>
      </c>
      <c r="C705" s="113">
        <f t="shared" si="4"/>
        <v>2023</v>
      </c>
      <c r="D705" s="114">
        <f t="shared" si="5"/>
        <v>6</v>
      </c>
      <c r="E705" s="114" t="s">
        <v>7</v>
      </c>
      <c r="F705" s="114" t="s">
        <v>255</v>
      </c>
      <c r="G705" s="115" t="s">
        <v>256</v>
      </c>
      <c r="H705" s="114" t="s">
        <v>257</v>
      </c>
      <c r="I705" s="114" t="s">
        <v>173</v>
      </c>
      <c r="J705" s="186">
        <v>3</v>
      </c>
      <c r="K705" s="187">
        <v>85</v>
      </c>
      <c r="L705" s="187">
        <v>31</v>
      </c>
      <c r="M705" s="187">
        <v>2.9</v>
      </c>
      <c r="N705" s="187">
        <v>2106</v>
      </c>
      <c r="O705" s="187">
        <v>3150</v>
      </c>
      <c r="P705" s="188">
        <v>0</v>
      </c>
      <c r="Q705" s="189">
        <v>6317</v>
      </c>
      <c r="R705" s="189">
        <v>9449</v>
      </c>
      <c r="S705" s="184" t="s">
        <v>59</v>
      </c>
    </row>
    <row r="706" spans="1:19">
      <c r="A706" s="111">
        <v>705</v>
      </c>
      <c r="B706" s="121">
        <v>45087</v>
      </c>
      <c r="C706" s="113">
        <f t="shared" si="4"/>
        <v>2023</v>
      </c>
      <c r="D706" s="114">
        <f t="shared" si="5"/>
        <v>6</v>
      </c>
      <c r="E706" s="114" t="s">
        <v>7</v>
      </c>
      <c r="F706" s="114" t="s">
        <v>258</v>
      </c>
      <c r="G706" s="115" t="s">
        <v>256</v>
      </c>
      <c r="H706" s="114" t="s">
        <v>257</v>
      </c>
      <c r="I706" s="114" t="s">
        <v>200</v>
      </c>
      <c r="J706" s="186">
        <v>0</v>
      </c>
      <c r="K706" s="187">
        <v>0</v>
      </c>
      <c r="L706" s="187">
        <v>0</v>
      </c>
      <c r="M706" s="187">
        <v>0</v>
      </c>
      <c r="N706" s="187">
        <v>0</v>
      </c>
      <c r="O706" s="187">
        <v>0</v>
      </c>
      <c r="P706" s="188">
        <v>0</v>
      </c>
      <c r="Q706" s="186">
        <v>0</v>
      </c>
      <c r="R706" s="186">
        <v>0</v>
      </c>
      <c r="S706" s="184" t="s">
        <v>59</v>
      </c>
    </row>
    <row r="707" spans="1:19">
      <c r="A707" s="111">
        <v>706</v>
      </c>
      <c r="B707" s="121">
        <v>45088</v>
      </c>
      <c r="C707" s="113">
        <f t="shared" si="4"/>
        <v>2023</v>
      </c>
      <c r="D707" s="114">
        <f t="shared" si="5"/>
        <v>6</v>
      </c>
      <c r="E707" s="114" t="s">
        <v>24</v>
      </c>
      <c r="F707" s="114" t="s">
        <v>259</v>
      </c>
      <c r="G707" s="115" t="s">
        <v>260</v>
      </c>
      <c r="H707" s="114" t="s">
        <v>261</v>
      </c>
      <c r="I707" s="114" t="s">
        <v>184</v>
      </c>
      <c r="J707" s="186">
        <v>0</v>
      </c>
      <c r="K707" s="187">
        <v>0</v>
      </c>
      <c r="L707" s="187">
        <v>0</v>
      </c>
      <c r="M707" s="187">
        <v>0</v>
      </c>
      <c r="N707" s="187">
        <v>0</v>
      </c>
      <c r="O707" s="187">
        <v>0</v>
      </c>
      <c r="P707" s="188">
        <v>0</v>
      </c>
      <c r="Q707" s="186">
        <v>0</v>
      </c>
      <c r="R707" s="186">
        <v>0</v>
      </c>
      <c r="S707" s="184" t="s">
        <v>59</v>
      </c>
    </row>
    <row r="708" spans="1:19">
      <c r="A708" s="111">
        <v>707</v>
      </c>
      <c r="B708" s="121">
        <v>45089</v>
      </c>
      <c r="C708" s="113">
        <f t="shared" si="4"/>
        <v>2023</v>
      </c>
      <c r="D708" s="114">
        <f t="shared" si="5"/>
        <v>6</v>
      </c>
      <c r="E708" s="114" t="s">
        <v>24</v>
      </c>
      <c r="F708" s="114" t="s">
        <v>262</v>
      </c>
      <c r="G708" s="115" t="s">
        <v>263</v>
      </c>
      <c r="H708" s="114" t="s">
        <v>264</v>
      </c>
      <c r="I708" s="114" t="s">
        <v>184</v>
      </c>
      <c r="J708" s="186">
        <v>2</v>
      </c>
      <c r="K708" s="187">
        <v>23</v>
      </c>
      <c r="L708" s="187">
        <v>20</v>
      </c>
      <c r="M708" s="187">
        <v>1.5</v>
      </c>
      <c r="N708" s="187">
        <v>154</v>
      </c>
      <c r="O708" s="187">
        <v>245</v>
      </c>
      <c r="P708" s="188">
        <v>0</v>
      </c>
      <c r="Q708" s="186">
        <v>307</v>
      </c>
      <c r="R708" s="186">
        <v>490</v>
      </c>
      <c r="S708" s="184" t="s">
        <v>59</v>
      </c>
    </row>
    <row r="709" spans="1:19">
      <c r="A709" s="111">
        <v>708</v>
      </c>
      <c r="B709" s="121">
        <v>45090</v>
      </c>
      <c r="C709" s="113">
        <f t="shared" si="4"/>
        <v>2023</v>
      </c>
      <c r="D709" s="114">
        <f t="shared" si="5"/>
        <v>6</v>
      </c>
      <c r="E709" s="114" t="s">
        <v>28</v>
      </c>
      <c r="F709" s="114" t="s">
        <v>265</v>
      </c>
      <c r="G709" s="115" t="s">
        <v>266</v>
      </c>
      <c r="H709" s="114" t="s">
        <v>267</v>
      </c>
      <c r="I709" s="114" t="s">
        <v>184</v>
      </c>
      <c r="J709" s="186">
        <v>1</v>
      </c>
      <c r="K709" s="187">
        <v>21</v>
      </c>
      <c r="L709" s="187">
        <v>37</v>
      </c>
      <c r="M709" s="187">
        <v>0.8</v>
      </c>
      <c r="N709" s="187">
        <v>107</v>
      </c>
      <c r="O709" s="187">
        <v>147</v>
      </c>
      <c r="P709" s="188">
        <v>0</v>
      </c>
      <c r="Q709" s="186">
        <v>107</v>
      </c>
      <c r="R709" s="186">
        <v>147</v>
      </c>
      <c r="S709" s="184" t="s">
        <v>59</v>
      </c>
    </row>
    <row r="710" spans="1:19">
      <c r="A710" s="111">
        <v>709</v>
      </c>
      <c r="B710" s="121">
        <v>45091</v>
      </c>
      <c r="C710" s="113">
        <f t="shared" si="4"/>
        <v>2023</v>
      </c>
      <c r="D710" s="114">
        <f t="shared" si="5"/>
        <v>6</v>
      </c>
      <c r="E710" s="114" t="s">
        <v>93</v>
      </c>
      <c r="F710" s="114" t="s">
        <v>265</v>
      </c>
      <c r="G710" s="115" t="s">
        <v>266</v>
      </c>
      <c r="H710" s="114" t="s">
        <v>267</v>
      </c>
      <c r="I710" s="114" t="s">
        <v>184</v>
      </c>
      <c r="J710" s="186">
        <v>2</v>
      </c>
      <c r="K710" s="187">
        <v>21</v>
      </c>
      <c r="L710" s="187">
        <v>26</v>
      </c>
      <c r="M710" s="187">
        <v>1.2</v>
      </c>
      <c r="N710" s="187">
        <v>252</v>
      </c>
      <c r="O710" s="187">
        <v>340</v>
      </c>
      <c r="P710" s="188">
        <v>0</v>
      </c>
      <c r="Q710" s="186">
        <v>503</v>
      </c>
      <c r="R710" s="186">
        <v>680</v>
      </c>
      <c r="S710" s="184" t="s">
        <v>59</v>
      </c>
    </row>
    <row r="711" spans="1:19">
      <c r="A711" s="111">
        <v>710</v>
      </c>
      <c r="B711" s="121">
        <v>45092</v>
      </c>
      <c r="C711" s="113">
        <f t="shared" si="4"/>
        <v>2023</v>
      </c>
      <c r="D711" s="114">
        <f t="shared" si="5"/>
        <v>6</v>
      </c>
      <c r="E711" s="114" t="s">
        <v>10</v>
      </c>
      <c r="F711" s="114" t="s">
        <v>268</v>
      </c>
      <c r="G711" s="115" t="s">
        <v>269</v>
      </c>
      <c r="H711" s="114" t="s">
        <v>270</v>
      </c>
      <c r="I711" s="114" t="s">
        <v>184</v>
      </c>
      <c r="J711" s="186">
        <v>1</v>
      </c>
      <c r="K711" s="187">
        <v>87</v>
      </c>
      <c r="L711" s="187">
        <v>37</v>
      </c>
      <c r="M711" s="187">
        <v>2.7</v>
      </c>
      <c r="N711" s="187">
        <v>778</v>
      </c>
      <c r="O711" s="187">
        <v>1083</v>
      </c>
      <c r="P711" s="188">
        <v>0</v>
      </c>
      <c r="Q711" s="186">
        <v>778</v>
      </c>
      <c r="R711" s="186">
        <v>1083</v>
      </c>
      <c r="S711" s="184" t="s">
        <v>59</v>
      </c>
    </row>
    <row r="712" spans="1:19">
      <c r="A712" s="111">
        <v>711</v>
      </c>
      <c r="B712" s="121">
        <v>45093</v>
      </c>
      <c r="C712" s="113">
        <f t="shared" si="4"/>
        <v>2023</v>
      </c>
      <c r="D712" s="114">
        <f t="shared" si="5"/>
        <v>6</v>
      </c>
      <c r="E712" s="114" t="s">
        <v>32</v>
      </c>
      <c r="F712" s="114" t="s">
        <v>249</v>
      </c>
      <c r="G712" s="115" t="s">
        <v>250</v>
      </c>
      <c r="H712" s="114" t="s">
        <v>251</v>
      </c>
      <c r="I712" s="114" t="s">
        <v>184</v>
      </c>
      <c r="J712" s="186">
        <v>0</v>
      </c>
      <c r="K712" s="187">
        <v>0</v>
      </c>
      <c r="L712" s="187">
        <v>0</v>
      </c>
      <c r="M712" s="187">
        <v>0</v>
      </c>
      <c r="N712" s="187">
        <v>0</v>
      </c>
      <c r="O712" s="187">
        <v>0</v>
      </c>
      <c r="P712" s="188">
        <v>0</v>
      </c>
      <c r="Q712" s="186">
        <v>0</v>
      </c>
      <c r="R712" s="186">
        <v>0</v>
      </c>
      <c r="S712" s="184" t="s">
        <v>59</v>
      </c>
    </row>
    <row r="713" spans="1:19">
      <c r="A713" s="111">
        <v>712</v>
      </c>
      <c r="B713" s="121">
        <v>45094</v>
      </c>
      <c r="C713" s="113">
        <f t="shared" si="4"/>
        <v>2023</v>
      </c>
      <c r="D713" s="114">
        <f t="shared" si="5"/>
        <v>6</v>
      </c>
      <c r="E713" s="114" t="s">
        <v>79</v>
      </c>
      <c r="F713" s="114" t="s">
        <v>255</v>
      </c>
      <c r="G713" s="115" t="s">
        <v>256</v>
      </c>
      <c r="H713" s="114" t="s">
        <v>257</v>
      </c>
      <c r="I713" s="114" t="s">
        <v>173</v>
      </c>
      <c r="J713" s="186">
        <v>0</v>
      </c>
      <c r="K713" s="187">
        <v>0</v>
      </c>
      <c r="L713" s="187">
        <v>0</v>
      </c>
      <c r="M713" s="187">
        <v>0</v>
      </c>
      <c r="N713" s="187">
        <v>0</v>
      </c>
      <c r="O713" s="187">
        <v>0</v>
      </c>
      <c r="P713" s="188">
        <v>0</v>
      </c>
      <c r="Q713" s="186">
        <v>0</v>
      </c>
      <c r="R713" s="186">
        <v>0</v>
      </c>
      <c r="S713" s="184" t="s">
        <v>59</v>
      </c>
    </row>
    <row r="714" spans="1:19">
      <c r="A714" s="111">
        <v>713</v>
      </c>
      <c r="B714" s="121">
        <v>45095</v>
      </c>
      <c r="C714" s="113">
        <f t="shared" si="4"/>
        <v>2023</v>
      </c>
      <c r="D714" s="114">
        <f t="shared" si="5"/>
        <v>6</v>
      </c>
      <c r="E714" s="114" t="s">
        <v>101</v>
      </c>
      <c r="F714" s="114" t="s">
        <v>249</v>
      </c>
      <c r="G714" s="115" t="s">
        <v>250</v>
      </c>
      <c r="H714" s="114" t="s">
        <v>251</v>
      </c>
      <c r="I714" s="114" t="s">
        <v>184</v>
      </c>
      <c r="J714" s="186">
        <v>0</v>
      </c>
      <c r="K714" s="187">
        <v>0</v>
      </c>
      <c r="L714" s="187">
        <v>0</v>
      </c>
      <c r="M714" s="187">
        <v>0</v>
      </c>
      <c r="N714" s="187">
        <v>0</v>
      </c>
      <c r="O714" s="187">
        <v>0</v>
      </c>
      <c r="P714" s="188">
        <v>0</v>
      </c>
      <c r="Q714" s="186">
        <v>0</v>
      </c>
      <c r="R714" s="186">
        <v>0</v>
      </c>
      <c r="S714" s="184" t="s">
        <v>59</v>
      </c>
    </row>
    <row r="715" spans="1:19">
      <c r="A715" s="111">
        <v>714</v>
      </c>
      <c r="B715" s="121">
        <v>45096</v>
      </c>
      <c r="C715" s="113">
        <f t="shared" si="4"/>
        <v>2023</v>
      </c>
      <c r="D715" s="114">
        <f t="shared" si="5"/>
        <v>6</v>
      </c>
      <c r="E715" s="114" t="s">
        <v>116</v>
      </c>
      <c r="F715" s="114" t="s">
        <v>271</v>
      </c>
      <c r="G715" s="185"/>
      <c r="H715" s="185"/>
      <c r="I715" s="185"/>
      <c r="J715" s="186">
        <v>0</v>
      </c>
      <c r="K715" s="187">
        <v>0</v>
      </c>
      <c r="L715" s="187">
        <v>0</v>
      </c>
      <c r="M715" s="187">
        <v>0</v>
      </c>
      <c r="N715" s="187">
        <v>0</v>
      </c>
      <c r="O715" s="187">
        <v>0</v>
      </c>
      <c r="P715" s="188">
        <v>0</v>
      </c>
      <c r="Q715" s="186">
        <v>0</v>
      </c>
      <c r="R715" s="186">
        <v>0</v>
      </c>
      <c r="S715" s="184" t="s">
        <v>59</v>
      </c>
    </row>
    <row r="716" spans="1:19">
      <c r="A716" s="111">
        <v>715</v>
      </c>
      <c r="B716" s="121">
        <v>45108</v>
      </c>
      <c r="C716" s="113">
        <f t="shared" si="4"/>
        <v>2023</v>
      </c>
      <c r="D716" s="114">
        <f t="shared" si="5"/>
        <v>7</v>
      </c>
      <c r="E716" s="114" t="s">
        <v>79</v>
      </c>
      <c r="F716" s="114" t="s">
        <v>170</v>
      </c>
      <c r="G716" s="115" t="s">
        <v>171</v>
      </c>
      <c r="H716" s="114" t="s">
        <v>172</v>
      </c>
      <c r="I716" s="114" t="s">
        <v>173</v>
      </c>
      <c r="J716" s="186">
        <v>3</v>
      </c>
      <c r="K716" s="187">
        <v>41</v>
      </c>
      <c r="L716" s="187">
        <v>35</v>
      </c>
      <c r="M716" s="187">
        <v>1.4</v>
      </c>
      <c r="N716" s="187">
        <v>259</v>
      </c>
      <c r="O716" s="187">
        <v>330</v>
      </c>
      <c r="P716" s="188">
        <v>0</v>
      </c>
      <c r="Q716" s="186">
        <v>777</v>
      </c>
      <c r="R716" s="186">
        <v>990</v>
      </c>
      <c r="S716" s="184" t="s">
        <v>59</v>
      </c>
    </row>
    <row r="717" spans="1:19">
      <c r="A717" s="111">
        <v>716</v>
      </c>
      <c r="B717" s="121">
        <v>45109</v>
      </c>
      <c r="C717" s="113">
        <f t="shared" si="4"/>
        <v>2023</v>
      </c>
      <c r="D717" s="114">
        <f t="shared" si="5"/>
        <v>7</v>
      </c>
      <c r="E717" s="114" t="s">
        <v>79</v>
      </c>
      <c r="F717" s="114" t="s">
        <v>174</v>
      </c>
      <c r="G717" s="115" t="s">
        <v>175</v>
      </c>
      <c r="H717" s="114" t="s">
        <v>176</v>
      </c>
      <c r="I717" s="114" t="s">
        <v>173</v>
      </c>
      <c r="J717" s="186">
        <v>0</v>
      </c>
      <c r="K717" s="187">
        <v>0</v>
      </c>
      <c r="L717" s="187">
        <v>0</v>
      </c>
      <c r="M717" s="187">
        <v>0</v>
      </c>
      <c r="N717" s="187">
        <v>0</v>
      </c>
      <c r="O717" s="187">
        <v>0</v>
      </c>
      <c r="P717" s="188">
        <v>0</v>
      </c>
      <c r="Q717" s="186">
        <v>0</v>
      </c>
      <c r="R717" s="186">
        <v>0</v>
      </c>
      <c r="S717" s="184" t="s">
        <v>59</v>
      </c>
    </row>
    <row r="718" spans="1:19">
      <c r="A718" s="111">
        <v>717</v>
      </c>
      <c r="B718" s="121">
        <v>45110</v>
      </c>
      <c r="C718" s="113">
        <f t="shared" si="4"/>
        <v>2023</v>
      </c>
      <c r="D718" s="114">
        <f t="shared" si="5"/>
        <v>7</v>
      </c>
      <c r="E718" s="114" t="s">
        <v>79</v>
      </c>
      <c r="F718" s="114" t="s">
        <v>177</v>
      </c>
      <c r="G718" s="115" t="s">
        <v>175</v>
      </c>
      <c r="H718" s="114" t="s">
        <v>176</v>
      </c>
      <c r="I718" s="114" t="s">
        <v>173</v>
      </c>
      <c r="J718" s="186">
        <v>5</v>
      </c>
      <c r="K718" s="187">
        <v>55</v>
      </c>
      <c r="L718" s="187">
        <v>22</v>
      </c>
      <c r="M718" s="187">
        <v>2.6</v>
      </c>
      <c r="N718" s="187">
        <v>1656</v>
      </c>
      <c r="O718" s="187">
        <v>2423</v>
      </c>
      <c r="P718" s="188">
        <v>0.2</v>
      </c>
      <c r="Q718" s="189">
        <v>8278</v>
      </c>
      <c r="R718" s="189">
        <v>12114</v>
      </c>
      <c r="S718" s="184" t="s">
        <v>59</v>
      </c>
    </row>
    <row r="719" spans="1:19">
      <c r="A719" s="111">
        <v>718</v>
      </c>
      <c r="B719" s="121">
        <v>45111</v>
      </c>
      <c r="C719" s="113">
        <f t="shared" si="4"/>
        <v>2023</v>
      </c>
      <c r="D719" s="114">
        <f t="shared" si="5"/>
        <v>7</v>
      </c>
      <c r="E719" s="114" t="s">
        <v>20</v>
      </c>
      <c r="F719" s="114" t="s">
        <v>178</v>
      </c>
      <c r="G719" s="115" t="s">
        <v>179</v>
      </c>
      <c r="H719" s="114" t="s">
        <v>180</v>
      </c>
      <c r="I719" s="114" t="s">
        <v>173</v>
      </c>
      <c r="J719" s="186">
        <v>1</v>
      </c>
      <c r="K719" s="187">
        <v>55</v>
      </c>
      <c r="L719" s="187">
        <v>25</v>
      </c>
      <c r="M719" s="187">
        <v>2.4</v>
      </c>
      <c r="N719" s="187">
        <v>767</v>
      </c>
      <c r="O719" s="187">
        <v>1079</v>
      </c>
      <c r="P719" s="188">
        <v>0</v>
      </c>
      <c r="Q719" s="186">
        <v>767</v>
      </c>
      <c r="R719" s="189">
        <v>1079</v>
      </c>
      <c r="S719" s="184" t="s">
        <v>59</v>
      </c>
    </row>
    <row r="720" spans="1:19">
      <c r="A720" s="111">
        <v>719</v>
      </c>
      <c r="B720" s="121">
        <v>45112</v>
      </c>
      <c r="C720" s="113">
        <f t="shared" si="4"/>
        <v>2023</v>
      </c>
      <c r="D720" s="114">
        <f t="shared" si="5"/>
        <v>7</v>
      </c>
      <c r="E720" s="114" t="s">
        <v>8</v>
      </c>
      <c r="F720" s="114" t="s">
        <v>181</v>
      </c>
      <c r="G720" s="115" t="s">
        <v>182</v>
      </c>
      <c r="H720" s="114" t="s">
        <v>183</v>
      </c>
      <c r="I720" s="114" t="s">
        <v>184</v>
      </c>
      <c r="J720" s="186">
        <v>5</v>
      </c>
      <c r="K720" s="187">
        <v>28</v>
      </c>
      <c r="L720" s="187">
        <v>60</v>
      </c>
      <c r="M720" s="187">
        <v>2.4</v>
      </c>
      <c r="N720" s="187">
        <v>755</v>
      </c>
      <c r="O720" s="187">
        <v>1153</v>
      </c>
      <c r="P720" s="188">
        <v>1</v>
      </c>
      <c r="Q720" s="189">
        <v>3777</v>
      </c>
      <c r="R720" s="189">
        <v>5765</v>
      </c>
      <c r="S720" s="184" t="s">
        <v>59</v>
      </c>
    </row>
    <row r="721" spans="1:19">
      <c r="A721" s="111">
        <v>720</v>
      </c>
      <c r="B721" s="121">
        <v>45113</v>
      </c>
      <c r="C721" s="113">
        <f t="shared" si="4"/>
        <v>2023</v>
      </c>
      <c r="D721" s="114">
        <f t="shared" si="5"/>
        <v>7</v>
      </c>
      <c r="E721" s="114" t="s">
        <v>8</v>
      </c>
      <c r="F721" s="114" t="s">
        <v>185</v>
      </c>
      <c r="G721" s="115" t="s">
        <v>186</v>
      </c>
      <c r="H721" s="114" t="s">
        <v>187</v>
      </c>
      <c r="I721" s="114" t="s">
        <v>184</v>
      </c>
      <c r="J721" s="186">
        <v>4</v>
      </c>
      <c r="K721" s="187">
        <v>65</v>
      </c>
      <c r="L721" s="187">
        <v>30</v>
      </c>
      <c r="M721" s="187">
        <v>2.4</v>
      </c>
      <c r="N721" s="187">
        <v>859</v>
      </c>
      <c r="O721" s="187">
        <v>1303</v>
      </c>
      <c r="P721" s="188">
        <v>0.5</v>
      </c>
      <c r="Q721" s="189">
        <v>3437</v>
      </c>
      <c r="R721" s="189">
        <v>5211</v>
      </c>
      <c r="S721" s="184" t="s">
        <v>59</v>
      </c>
    </row>
    <row r="722" spans="1:19">
      <c r="A722" s="111">
        <v>721</v>
      </c>
      <c r="B722" s="121">
        <v>45114</v>
      </c>
      <c r="C722" s="113">
        <f t="shared" si="4"/>
        <v>2023</v>
      </c>
      <c r="D722" s="114">
        <f t="shared" si="5"/>
        <v>7</v>
      </c>
      <c r="E722" s="114" t="s">
        <v>8</v>
      </c>
      <c r="F722" s="114" t="s">
        <v>188</v>
      </c>
      <c r="G722" s="115" t="s">
        <v>189</v>
      </c>
      <c r="H722" s="114" t="s">
        <v>190</v>
      </c>
      <c r="I722" s="114" t="s">
        <v>184</v>
      </c>
      <c r="J722" s="186">
        <v>4</v>
      </c>
      <c r="K722" s="187">
        <v>50</v>
      </c>
      <c r="L722" s="187">
        <v>26</v>
      </c>
      <c r="M722" s="187">
        <v>2.1</v>
      </c>
      <c r="N722" s="187">
        <v>612</v>
      </c>
      <c r="O722" s="187">
        <v>911</v>
      </c>
      <c r="P722" s="188">
        <v>0</v>
      </c>
      <c r="Q722" s="189">
        <v>2447</v>
      </c>
      <c r="R722" s="189">
        <v>3643</v>
      </c>
      <c r="S722" s="184" t="s">
        <v>59</v>
      </c>
    </row>
    <row r="723" spans="1:19">
      <c r="A723" s="111">
        <v>722</v>
      </c>
      <c r="B723" s="121">
        <v>45115</v>
      </c>
      <c r="C723" s="113">
        <f t="shared" si="4"/>
        <v>2023</v>
      </c>
      <c r="D723" s="114">
        <f t="shared" si="5"/>
        <v>7</v>
      </c>
      <c r="E723" s="114" t="s">
        <v>8</v>
      </c>
      <c r="F723" s="114" t="s">
        <v>191</v>
      </c>
      <c r="G723" s="115" t="s">
        <v>192</v>
      </c>
      <c r="H723" s="114" t="s">
        <v>193</v>
      </c>
      <c r="I723" s="114" t="s">
        <v>173</v>
      </c>
      <c r="J723" s="186">
        <v>0</v>
      </c>
      <c r="K723" s="187">
        <v>0</v>
      </c>
      <c r="L723" s="187">
        <v>0</v>
      </c>
      <c r="M723" s="187">
        <v>0</v>
      </c>
      <c r="N723" s="187">
        <v>0</v>
      </c>
      <c r="O723" s="187">
        <v>0</v>
      </c>
      <c r="P723" s="188">
        <v>0</v>
      </c>
      <c r="Q723" s="186">
        <v>0</v>
      </c>
      <c r="R723" s="186">
        <v>0</v>
      </c>
      <c r="S723" s="184" t="s">
        <v>59</v>
      </c>
    </row>
    <row r="724" spans="1:19">
      <c r="A724" s="111">
        <v>723</v>
      </c>
      <c r="B724" s="121">
        <v>45116</v>
      </c>
      <c r="C724" s="113">
        <f t="shared" si="4"/>
        <v>2023</v>
      </c>
      <c r="D724" s="114">
        <f t="shared" si="5"/>
        <v>7</v>
      </c>
      <c r="E724" s="114" t="s">
        <v>8</v>
      </c>
      <c r="F724" s="114" t="s">
        <v>245</v>
      </c>
      <c r="G724" s="115" t="s">
        <v>246</v>
      </c>
      <c r="H724" s="114" t="s">
        <v>247</v>
      </c>
      <c r="I724" s="114" t="s">
        <v>184</v>
      </c>
      <c r="J724" s="186">
        <v>4</v>
      </c>
      <c r="K724" s="187">
        <v>47</v>
      </c>
      <c r="L724" s="187">
        <v>26</v>
      </c>
      <c r="M724" s="187">
        <v>2</v>
      </c>
      <c r="N724" s="187">
        <v>2600</v>
      </c>
      <c r="O724" s="187">
        <v>3623</v>
      </c>
      <c r="P724" s="188">
        <v>0.25</v>
      </c>
      <c r="Q724" s="189">
        <v>2600</v>
      </c>
      <c r="R724" s="189">
        <v>3623</v>
      </c>
      <c r="S724" s="184" t="s">
        <v>59</v>
      </c>
    </row>
    <row r="725" spans="1:19">
      <c r="A725" s="111">
        <v>724</v>
      </c>
      <c r="B725" s="121">
        <v>45117</v>
      </c>
      <c r="C725" s="113">
        <f t="shared" si="4"/>
        <v>2023</v>
      </c>
      <c r="D725" s="114">
        <f t="shared" si="5"/>
        <v>7</v>
      </c>
      <c r="E725" s="114" t="s">
        <v>88</v>
      </c>
      <c r="F725" s="114" t="s">
        <v>195</v>
      </c>
      <c r="G725" s="115" t="s">
        <v>196</v>
      </c>
      <c r="H725" s="114" t="s">
        <v>197</v>
      </c>
      <c r="I725" s="114" t="s">
        <v>184</v>
      </c>
      <c r="J725" s="186">
        <v>5</v>
      </c>
      <c r="K725" s="187">
        <v>37</v>
      </c>
      <c r="L725" s="187">
        <v>18</v>
      </c>
      <c r="M725" s="187">
        <v>2.2999999999999998</v>
      </c>
      <c r="N725" s="187">
        <v>520</v>
      </c>
      <c r="O725" s="187">
        <v>739</v>
      </c>
      <c r="P725" s="188">
        <v>0.4</v>
      </c>
      <c r="Q725" s="189">
        <v>2601</v>
      </c>
      <c r="R725" s="189">
        <v>3694</v>
      </c>
      <c r="S725" s="184" t="s">
        <v>59</v>
      </c>
    </row>
    <row r="726" spans="1:19">
      <c r="A726" s="111">
        <v>725</v>
      </c>
      <c r="B726" s="121">
        <v>45118</v>
      </c>
      <c r="C726" s="113">
        <f t="shared" si="4"/>
        <v>2023</v>
      </c>
      <c r="D726" s="114">
        <f t="shared" si="5"/>
        <v>7</v>
      </c>
      <c r="E726" s="114" t="s">
        <v>104</v>
      </c>
      <c r="F726" s="114" t="s">
        <v>198</v>
      </c>
      <c r="G726" s="115" t="s">
        <v>199</v>
      </c>
      <c r="H726" s="114" t="s">
        <v>199</v>
      </c>
      <c r="I726" s="114" t="s">
        <v>200</v>
      </c>
      <c r="J726" s="186">
        <v>0</v>
      </c>
      <c r="K726" s="187">
        <v>0</v>
      </c>
      <c r="L726" s="187">
        <v>0</v>
      </c>
      <c r="M726" s="187">
        <v>0</v>
      </c>
      <c r="N726" s="187">
        <v>0</v>
      </c>
      <c r="O726" s="187">
        <v>0</v>
      </c>
      <c r="P726" s="188">
        <v>0</v>
      </c>
      <c r="Q726" s="186">
        <v>0</v>
      </c>
      <c r="R726" s="186">
        <v>0</v>
      </c>
      <c r="S726" s="184" t="s">
        <v>59</v>
      </c>
    </row>
    <row r="727" spans="1:19">
      <c r="A727" s="111">
        <v>726</v>
      </c>
      <c r="B727" s="121">
        <v>45119</v>
      </c>
      <c r="C727" s="113">
        <f t="shared" si="4"/>
        <v>2023</v>
      </c>
      <c r="D727" s="114">
        <f t="shared" si="5"/>
        <v>7</v>
      </c>
      <c r="E727" s="114" t="s">
        <v>93</v>
      </c>
      <c r="F727" s="114" t="s">
        <v>248</v>
      </c>
      <c r="G727" s="115" t="s">
        <v>199</v>
      </c>
      <c r="H727" s="114" t="s">
        <v>199</v>
      </c>
      <c r="I727" s="114" t="s">
        <v>200</v>
      </c>
      <c r="J727" s="186">
        <v>1</v>
      </c>
      <c r="K727" s="187">
        <v>32</v>
      </c>
      <c r="L727" s="187">
        <v>26</v>
      </c>
      <c r="M727" s="187">
        <v>2</v>
      </c>
      <c r="N727" s="187">
        <v>269</v>
      </c>
      <c r="O727" s="187">
        <v>326</v>
      </c>
      <c r="P727" s="188">
        <v>0</v>
      </c>
      <c r="Q727" s="186">
        <v>0</v>
      </c>
      <c r="R727" s="186">
        <v>0</v>
      </c>
      <c r="S727" s="184" t="s">
        <v>59</v>
      </c>
    </row>
    <row r="728" spans="1:19">
      <c r="A728" s="111">
        <v>727</v>
      </c>
      <c r="B728" s="121">
        <v>45120</v>
      </c>
      <c r="C728" s="113">
        <f t="shared" si="4"/>
        <v>2023</v>
      </c>
      <c r="D728" s="114">
        <f t="shared" si="5"/>
        <v>7</v>
      </c>
      <c r="E728" s="114" t="s">
        <v>30</v>
      </c>
      <c r="F728" s="114" t="s">
        <v>205</v>
      </c>
      <c r="G728" s="115" t="s">
        <v>206</v>
      </c>
      <c r="H728" s="114" t="s">
        <v>207</v>
      </c>
      <c r="I728" s="114" t="s">
        <v>184</v>
      </c>
      <c r="J728" s="186">
        <v>0</v>
      </c>
      <c r="K728" s="187">
        <v>0</v>
      </c>
      <c r="L728" s="187">
        <v>0</v>
      </c>
      <c r="M728" s="187">
        <v>0</v>
      </c>
      <c r="N728" s="187">
        <v>0</v>
      </c>
      <c r="O728" s="187">
        <v>0</v>
      </c>
      <c r="P728" s="188">
        <v>0</v>
      </c>
      <c r="Q728" s="186">
        <v>0</v>
      </c>
      <c r="R728" s="186">
        <v>0</v>
      </c>
      <c r="S728" s="184" t="s">
        <v>59</v>
      </c>
    </row>
    <row r="729" spans="1:19">
      <c r="A729" s="111">
        <v>728</v>
      </c>
      <c r="B729" s="121">
        <v>45121</v>
      </c>
      <c r="C729" s="113">
        <f t="shared" si="4"/>
        <v>2023</v>
      </c>
      <c r="D729" s="114">
        <f t="shared" si="5"/>
        <v>7</v>
      </c>
      <c r="E729" s="114" t="s">
        <v>10</v>
      </c>
      <c r="F729" s="114" t="s">
        <v>208</v>
      </c>
      <c r="G729" s="115" t="s">
        <v>209</v>
      </c>
      <c r="H729" s="114" t="s">
        <v>210</v>
      </c>
      <c r="I729" s="114" t="s">
        <v>173</v>
      </c>
      <c r="J729" s="186">
        <v>0</v>
      </c>
      <c r="K729" s="187">
        <v>0</v>
      </c>
      <c r="L729" s="187">
        <v>0</v>
      </c>
      <c r="M729" s="187">
        <v>0</v>
      </c>
      <c r="N729" s="187">
        <v>0</v>
      </c>
      <c r="O729" s="187">
        <v>0</v>
      </c>
      <c r="P729" s="188">
        <v>0</v>
      </c>
      <c r="Q729" s="186">
        <v>0</v>
      </c>
      <c r="R729" s="186">
        <v>0</v>
      </c>
      <c r="S729" s="184" t="s">
        <v>59</v>
      </c>
    </row>
    <row r="730" spans="1:19">
      <c r="A730" s="111">
        <v>729</v>
      </c>
      <c r="B730" s="121">
        <v>45122</v>
      </c>
      <c r="C730" s="113">
        <f t="shared" si="4"/>
        <v>2023</v>
      </c>
      <c r="D730" s="114">
        <f t="shared" si="5"/>
        <v>7</v>
      </c>
      <c r="E730" s="114" t="s">
        <v>10</v>
      </c>
      <c r="F730" s="114" t="s">
        <v>211</v>
      </c>
      <c r="G730" s="115" t="s">
        <v>212</v>
      </c>
      <c r="H730" s="114" t="s">
        <v>213</v>
      </c>
      <c r="I730" s="114" t="s">
        <v>173</v>
      </c>
      <c r="J730" s="186">
        <v>0</v>
      </c>
      <c r="K730" s="187">
        <v>0</v>
      </c>
      <c r="L730" s="187">
        <v>0</v>
      </c>
      <c r="M730" s="187">
        <v>0</v>
      </c>
      <c r="N730" s="187">
        <v>0</v>
      </c>
      <c r="O730" s="187">
        <v>0</v>
      </c>
      <c r="P730" s="188">
        <v>0</v>
      </c>
      <c r="Q730" s="186">
        <v>0</v>
      </c>
      <c r="R730" s="186">
        <v>0</v>
      </c>
      <c r="S730" s="184" t="s">
        <v>59</v>
      </c>
    </row>
    <row r="731" spans="1:19">
      <c r="A731" s="111">
        <v>730</v>
      </c>
      <c r="B731" s="121">
        <v>45123</v>
      </c>
      <c r="C731" s="113">
        <f t="shared" si="4"/>
        <v>2023</v>
      </c>
      <c r="D731" s="114">
        <f t="shared" si="5"/>
        <v>7</v>
      </c>
      <c r="E731" s="114" t="s">
        <v>10</v>
      </c>
      <c r="F731" s="114" t="s">
        <v>214</v>
      </c>
      <c r="G731" s="115" t="s">
        <v>215</v>
      </c>
      <c r="H731" s="114" t="s">
        <v>216</v>
      </c>
      <c r="I731" s="114" t="s">
        <v>184</v>
      </c>
      <c r="J731" s="186">
        <v>6</v>
      </c>
      <c r="K731" s="187">
        <v>56</v>
      </c>
      <c r="L731" s="187">
        <v>31</v>
      </c>
      <c r="M731" s="187">
        <v>2.2999999999999998</v>
      </c>
      <c r="N731" s="187">
        <v>563</v>
      </c>
      <c r="O731" s="187">
        <v>805</v>
      </c>
      <c r="P731" s="188">
        <v>0.83</v>
      </c>
      <c r="Q731" s="189">
        <v>3377</v>
      </c>
      <c r="R731" s="189">
        <v>4827</v>
      </c>
      <c r="S731" s="184" t="s">
        <v>59</v>
      </c>
    </row>
    <row r="732" spans="1:19">
      <c r="A732" s="111">
        <v>731</v>
      </c>
      <c r="B732" s="121">
        <v>45124</v>
      </c>
      <c r="C732" s="113">
        <f t="shared" si="4"/>
        <v>2023</v>
      </c>
      <c r="D732" s="114">
        <f t="shared" si="5"/>
        <v>7</v>
      </c>
      <c r="E732" s="114" t="s">
        <v>9</v>
      </c>
      <c r="F732" s="114" t="s">
        <v>217</v>
      </c>
      <c r="G732" s="115" t="s">
        <v>218</v>
      </c>
      <c r="H732" s="114" t="s">
        <v>219</v>
      </c>
      <c r="I732" s="114" t="s">
        <v>184</v>
      </c>
      <c r="J732" s="186">
        <v>5</v>
      </c>
      <c r="K732" s="187">
        <v>79</v>
      </c>
      <c r="L732" s="187">
        <v>31</v>
      </c>
      <c r="M732" s="187">
        <v>2.8</v>
      </c>
      <c r="N732" s="187">
        <v>2442</v>
      </c>
      <c r="O732" s="187">
        <v>3923</v>
      </c>
      <c r="P732" s="188">
        <v>0.8</v>
      </c>
      <c r="Q732" s="189">
        <v>12210</v>
      </c>
      <c r="R732" s="189">
        <v>19615</v>
      </c>
      <c r="S732" s="184" t="s">
        <v>59</v>
      </c>
    </row>
    <row r="733" spans="1:19">
      <c r="A733" s="111">
        <v>732</v>
      </c>
      <c r="B733" s="121">
        <v>45125</v>
      </c>
      <c r="C733" s="113">
        <f t="shared" si="4"/>
        <v>2023</v>
      </c>
      <c r="D733" s="114">
        <f t="shared" si="5"/>
        <v>7</v>
      </c>
      <c r="E733" s="114" t="s">
        <v>11</v>
      </c>
      <c r="F733" s="114" t="s">
        <v>220</v>
      </c>
      <c r="G733" s="115" t="s">
        <v>221</v>
      </c>
      <c r="H733" s="114" t="s">
        <v>222</v>
      </c>
      <c r="I733" s="114" t="s">
        <v>184</v>
      </c>
      <c r="J733" s="186">
        <v>1</v>
      </c>
      <c r="K733" s="187">
        <v>55</v>
      </c>
      <c r="L733" s="187">
        <v>31</v>
      </c>
      <c r="M733" s="187">
        <v>2.1</v>
      </c>
      <c r="N733" s="187">
        <v>829</v>
      </c>
      <c r="O733" s="187">
        <v>1287</v>
      </c>
      <c r="P733" s="188">
        <v>0</v>
      </c>
      <c r="Q733" s="186">
        <v>829</v>
      </c>
      <c r="R733" s="189">
        <v>1287</v>
      </c>
      <c r="S733" s="184" t="s">
        <v>59</v>
      </c>
    </row>
    <row r="734" spans="1:19">
      <c r="A734" s="111">
        <v>733</v>
      </c>
      <c r="B734" s="121">
        <v>45126</v>
      </c>
      <c r="C734" s="113">
        <f t="shared" si="4"/>
        <v>2023</v>
      </c>
      <c r="D734" s="114">
        <f t="shared" si="5"/>
        <v>7</v>
      </c>
      <c r="E734" s="114" t="s">
        <v>11</v>
      </c>
      <c r="F734" s="114" t="s">
        <v>249</v>
      </c>
      <c r="G734" s="115" t="s">
        <v>250</v>
      </c>
      <c r="H734" s="114" t="s">
        <v>251</v>
      </c>
      <c r="I734" s="114" t="s">
        <v>184</v>
      </c>
      <c r="J734" s="186">
        <v>0</v>
      </c>
      <c r="K734" s="187">
        <v>0</v>
      </c>
      <c r="L734" s="187">
        <v>0</v>
      </c>
      <c r="M734" s="187">
        <v>0</v>
      </c>
      <c r="N734" s="187">
        <v>0</v>
      </c>
      <c r="O734" s="187">
        <v>0</v>
      </c>
      <c r="P734" s="188">
        <v>0</v>
      </c>
      <c r="Q734" s="186">
        <v>0</v>
      </c>
      <c r="R734" s="186">
        <v>0</v>
      </c>
      <c r="S734" s="184" t="s">
        <v>59</v>
      </c>
    </row>
    <row r="735" spans="1:19">
      <c r="A735" s="111">
        <v>734</v>
      </c>
      <c r="B735" s="121">
        <v>45127</v>
      </c>
      <c r="C735" s="113">
        <f t="shared" si="4"/>
        <v>2023</v>
      </c>
      <c r="D735" s="114">
        <f t="shared" si="5"/>
        <v>7</v>
      </c>
      <c r="E735" s="114" t="s">
        <v>91</v>
      </c>
      <c r="F735" s="114" t="s">
        <v>178</v>
      </c>
      <c r="G735" s="115" t="s">
        <v>179</v>
      </c>
      <c r="H735" s="114" t="s">
        <v>180</v>
      </c>
      <c r="I735" s="114" t="s">
        <v>173</v>
      </c>
      <c r="J735" s="186">
        <v>1</v>
      </c>
      <c r="K735" s="187">
        <v>38</v>
      </c>
      <c r="L735" s="187">
        <v>18</v>
      </c>
      <c r="M735" s="187">
        <v>2.2000000000000002</v>
      </c>
      <c r="N735" s="187">
        <v>843</v>
      </c>
      <c r="O735" s="187">
        <v>1246</v>
      </c>
      <c r="P735" s="188">
        <v>1</v>
      </c>
      <c r="Q735" s="186">
        <v>843</v>
      </c>
      <c r="R735" s="189">
        <v>1246</v>
      </c>
      <c r="S735" s="184" t="s">
        <v>59</v>
      </c>
    </row>
    <row r="736" spans="1:19">
      <c r="A736" s="111">
        <v>735</v>
      </c>
      <c r="B736" s="121">
        <v>45128</v>
      </c>
      <c r="C736" s="113">
        <f t="shared" si="4"/>
        <v>2023</v>
      </c>
      <c r="D736" s="114">
        <f t="shared" si="5"/>
        <v>7</v>
      </c>
      <c r="E736" s="114" t="s">
        <v>23</v>
      </c>
      <c r="F736" s="114" t="s">
        <v>223</v>
      </c>
      <c r="G736" s="115" t="s">
        <v>175</v>
      </c>
      <c r="H736" s="114" t="s">
        <v>176</v>
      </c>
      <c r="I736" s="114" t="s">
        <v>173</v>
      </c>
      <c r="J736" s="186">
        <v>0</v>
      </c>
      <c r="K736" s="187">
        <v>0</v>
      </c>
      <c r="L736" s="187">
        <v>0</v>
      </c>
      <c r="M736" s="187">
        <v>0</v>
      </c>
      <c r="N736" s="187">
        <v>0</v>
      </c>
      <c r="O736" s="187">
        <v>0</v>
      </c>
      <c r="P736" s="188">
        <v>0</v>
      </c>
      <c r="Q736" s="186">
        <v>0</v>
      </c>
      <c r="R736" s="186">
        <v>0</v>
      </c>
      <c r="S736" s="184" t="s">
        <v>59</v>
      </c>
    </row>
    <row r="737" spans="1:19">
      <c r="A737" s="111">
        <v>736</v>
      </c>
      <c r="B737" s="121">
        <v>45129</v>
      </c>
      <c r="C737" s="113">
        <f t="shared" si="4"/>
        <v>2023</v>
      </c>
      <c r="D737" s="114">
        <f t="shared" si="5"/>
        <v>7</v>
      </c>
      <c r="E737" s="114" t="s">
        <v>23</v>
      </c>
      <c r="F737" s="114" t="s">
        <v>224</v>
      </c>
      <c r="G737" s="115" t="s">
        <v>107</v>
      </c>
      <c r="H737" s="114" t="s">
        <v>107</v>
      </c>
      <c r="I737" s="114" t="s">
        <v>107</v>
      </c>
      <c r="J737" s="186">
        <v>0</v>
      </c>
      <c r="K737" s="187">
        <v>0</v>
      </c>
      <c r="L737" s="187">
        <v>0</v>
      </c>
      <c r="M737" s="187">
        <v>0</v>
      </c>
      <c r="N737" s="187">
        <v>0</v>
      </c>
      <c r="O737" s="187">
        <v>0</v>
      </c>
      <c r="P737" s="188">
        <v>0</v>
      </c>
      <c r="Q737" s="186">
        <v>0</v>
      </c>
      <c r="R737" s="186">
        <v>0</v>
      </c>
      <c r="S737" s="184" t="s">
        <v>59</v>
      </c>
    </row>
    <row r="738" spans="1:19">
      <c r="A738" s="111">
        <v>737</v>
      </c>
      <c r="B738" s="121">
        <v>45130</v>
      </c>
      <c r="C738" s="113">
        <f t="shared" si="4"/>
        <v>2023</v>
      </c>
      <c r="D738" s="114">
        <f t="shared" si="5"/>
        <v>7</v>
      </c>
      <c r="E738" s="114" t="s">
        <v>15</v>
      </c>
      <c r="F738" s="114" t="s">
        <v>225</v>
      </c>
      <c r="G738" s="115" t="s">
        <v>226</v>
      </c>
      <c r="H738" s="114" t="s">
        <v>227</v>
      </c>
      <c r="I738" s="114" t="s">
        <v>173</v>
      </c>
      <c r="J738" s="186">
        <v>0</v>
      </c>
      <c r="K738" s="187">
        <v>0</v>
      </c>
      <c r="L738" s="187">
        <v>0</v>
      </c>
      <c r="M738" s="187">
        <v>0</v>
      </c>
      <c r="N738" s="187">
        <v>0</v>
      </c>
      <c r="O738" s="187">
        <v>0</v>
      </c>
      <c r="P738" s="188">
        <v>0</v>
      </c>
      <c r="Q738" s="186">
        <v>0</v>
      </c>
      <c r="R738" s="186">
        <v>0</v>
      </c>
      <c r="S738" s="184" t="s">
        <v>59</v>
      </c>
    </row>
    <row r="739" spans="1:19">
      <c r="A739" s="111">
        <v>738</v>
      </c>
      <c r="B739" s="121">
        <v>45131</v>
      </c>
      <c r="C739" s="113">
        <f t="shared" si="4"/>
        <v>2023</v>
      </c>
      <c r="D739" s="114">
        <f t="shared" si="5"/>
        <v>7</v>
      </c>
      <c r="E739" s="114" t="s">
        <v>84</v>
      </c>
      <c r="F739" s="114" t="s">
        <v>228</v>
      </c>
      <c r="G739" s="115" t="s">
        <v>229</v>
      </c>
      <c r="H739" s="114" t="s">
        <v>230</v>
      </c>
      <c r="I739" s="114" t="s">
        <v>184</v>
      </c>
      <c r="J739" s="186">
        <v>5</v>
      </c>
      <c r="K739" s="187">
        <v>32</v>
      </c>
      <c r="L739" s="187">
        <v>20</v>
      </c>
      <c r="M739" s="187">
        <v>1.7</v>
      </c>
      <c r="N739" s="187">
        <v>439</v>
      </c>
      <c r="O739" s="187">
        <v>618</v>
      </c>
      <c r="P739" s="188">
        <v>0.8</v>
      </c>
      <c r="Q739" s="189">
        <v>2196</v>
      </c>
      <c r="R739" s="189">
        <v>3091</v>
      </c>
      <c r="S739" s="184" t="s">
        <v>59</v>
      </c>
    </row>
    <row r="740" spans="1:19">
      <c r="A740" s="111">
        <v>739</v>
      </c>
      <c r="B740" s="121">
        <v>45132</v>
      </c>
      <c r="C740" s="113">
        <f t="shared" si="4"/>
        <v>2023</v>
      </c>
      <c r="D740" s="114">
        <f t="shared" si="5"/>
        <v>7</v>
      </c>
      <c r="E740" s="114" t="s">
        <v>84</v>
      </c>
      <c r="F740" s="114" t="s">
        <v>231</v>
      </c>
      <c r="G740" s="115" t="s">
        <v>232</v>
      </c>
      <c r="H740" s="114" t="s">
        <v>233</v>
      </c>
      <c r="I740" s="114" t="s">
        <v>184</v>
      </c>
      <c r="J740" s="186">
        <v>0</v>
      </c>
      <c r="K740" s="187">
        <v>0</v>
      </c>
      <c r="L740" s="187">
        <v>0</v>
      </c>
      <c r="M740" s="187">
        <v>0</v>
      </c>
      <c r="N740" s="187">
        <v>0</v>
      </c>
      <c r="O740" s="187">
        <v>0</v>
      </c>
      <c r="P740" s="188">
        <v>0</v>
      </c>
      <c r="Q740" s="186">
        <v>0</v>
      </c>
      <c r="R740" s="186">
        <v>0</v>
      </c>
      <c r="S740" s="184" t="s">
        <v>59</v>
      </c>
    </row>
    <row r="741" spans="1:19">
      <c r="A741" s="111">
        <v>740</v>
      </c>
      <c r="B741" s="121">
        <v>45133</v>
      </c>
      <c r="C741" s="113">
        <f t="shared" si="4"/>
        <v>2023</v>
      </c>
      <c r="D741" s="114">
        <f t="shared" si="5"/>
        <v>7</v>
      </c>
      <c r="E741" s="114" t="s">
        <v>84</v>
      </c>
      <c r="F741" s="114" t="s">
        <v>249</v>
      </c>
      <c r="G741" s="125" t="s">
        <v>250</v>
      </c>
      <c r="H741" s="185" t="s">
        <v>251</v>
      </c>
      <c r="I741" s="185"/>
      <c r="J741" s="186">
        <v>0</v>
      </c>
      <c r="K741" s="187">
        <v>0</v>
      </c>
      <c r="L741" s="187">
        <v>0</v>
      </c>
      <c r="M741" s="187">
        <v>0</v>
      </c>
      <c r="N741" s="187">
        <v>0</v>
      </c>
      <c r="O741" s="187">
        <v>0</v>
      </c>
      <c r="P741" s="188">
        <v>0</v>
      </c>
      <c r="Q741" s="186">
        <v>0</v>
      </c>
      <c r="R741" s="186">
        <v>0</v>
      </c>
      <c r="S741" s="184" t="s">
        <v>59</v>
      </c>
    </row>
    <row r="742" spans="1:19">
      <c r="A742" s="111">
        <v>741</v>
      </c>
      <c r="B742" s="121">
        <v>45134</v>
      </c>
      <c r="C742" s="113">
        <f t="shared" si="4"/>
        <v>2023</v>
      </c>
      <c r="D742" s="114">
        <f t="shared" si="5"/>
        <v>7</v>
      </c>
      <c r="E742" s="114" t="s">
        <v>22</v>
      </c>
      <c r="F742" s="114" t="s">
        <v>174</v>
      </c>
      <c r="G742" s="115" t="s">
        <v>175</v>
      </c>
      <c r="H742" s="114" t="s">
        <v>176</v>
      </c>
      <c r="I742" s="114" t="s">
        <v>173</v>
      </c>
      <c r="J742" s="186">
        <v>5</v>
      </c>
      <c r="K742" s="187">
        <v>80</v>
      </c>
      <c r="L742" s="187">
        <v>31</v>
      </c>
      <c r="M742" s="187">
        <v>2.7</v>
      </c>
      <c r="N742" s="187">
        <v>1642</v>
      </c>
      <c r="O742" s="187">
        <v>2526</v>
      </c>
      <c r="P742" s="188">
        <v>0</v>
      </c>
      <c r="Q742" s="189">
        <v>8210</v>
      </c>
      <c r="R742" s="189">
        <v>12629</v>
      </c>
      <c r="S742" s="184" t="s">
        <v>59</v>
      </c>
    </row>
    <row r="743" spans="1:19">
      <c r="A743" s="111">
        <v>742</v>
      </c>
      <c r="B743" s="121">
        <v>45135</v>
      </c>
      <c r="C743" s="113">
        <f t="shared" si="4"/>
        <v>2023</v>
      </c>
      <c r="D743" s="114">
        <f t="shared" si="5"/>
        <v>7</v>
      </c>
      <c r="E743" s="114" t="s">
        <v>22</v>
      </c>
      <c r="F743" s="114" t="s">
        <v>177</v>
      </c>
      <c r="G743" s="115" t="s">
        <v>175</v>
      </c>
      <c r="H743" s="114" t="s">
        <v>176</v>
      </c>
      <c r="I743" s="114" t="s">
        <v>173</v>
      </c>
      <c r="J743" s="186">
        <v>0</v>
      </c>
      <c r="K743" s="187">
        <v>0</v>
      </c>
      <c r="L743" s="187">
        <v>0</v>
      </c>
      <c r="M743" s="187">
        <v>0</v>
      </c>
      <c r="N743" s="187">
        <v>0</v>
      </c>
      <c r="O743" s="187">
        <v>0</v>
      </c>
      <c r="P743" s="188">
        <v>0</v>
      </c>
      <c r="Q743" s="186">
        <v>0</v>
      </c>
      <c r="R743" s="186">
        <v>0</v>
      </c>
      <c r="S743" s="184" t="s">
        <v>59</v>
      </c>
    </row>
    <row r="744" spans="1:19">
      <c r="A744" s="111">
        <v>743</v>
      </c>
      <c r="B744" s="121">
        <v>45136</v>
      </c>
      <c r="C744" s="113">
        <f t="shared" si="4"/>
        <v>2023</v>
      </c>
      <c r="D744" s="114">
        <f t="shared" si="5"/>
        <v>7</v>
      </c>
      <c r="E744" s="114" t="s">
        <v>22</v>
      </c>
      <c r="F744" s="114" t="s">
        <v>223</v>
      </c>
      <c r="G744" s="115" t="s">
        <v>175</v>
      </c>
      <c r="H744" s="114" t="s">
        <v>176</v>
      </c>
      <c r="I744" s="114" t="s">
        <v>173</v>
      </c>
      <c r="J744" s="186">
        <v>0</v>
      </c>
      <c r="K744" s="187">
        <v>0</v>
      </c>
      <c r="L744" s="187">
        <v>0</v>
      </c>
      <c r="M744" s="187">
        <v>0</v>
      </c>
      <c r="N744" s="187">
        <v>0</v>
      </c>
      <c r="O744" s="187">
        <v>0</v>
      </c>
      <c r="P744" s="188">
        <v>0</v>
      </c>
      <c r="Q744" s="186">
        <v>0</v>
      </c>
      <c r="R744" s="186">
        <v>0</v>
      </c>
      <c r="S744" s="184" t="s">
        <v>59</v>
      </c>
    </row>
    <row r="745" spans="1:19">
      <c r="A745" s="111">
        <v>744</v>
      </c>
      <c r="B745" s="121">
        <v>45137</v>
      </c>
      <c r="C745" s="113">
        <f t="shared" si="4"/>
        <v>2023</v>
      </c>
      <c r="D745" s="114">
        <f t="shared" si="5"/>
        <v>7</v>
      </c>
      <c r="E745" s="114" t="s">
        <v>12</v>
      </c>
      <c r="F745" s="114" t="s">
        <v>220</v>
      </c>
      <c r="G745" s="115" t="s">
        <v>221</v>
      </c>
      <c r="H745" s="114" t="s">
        <v>222</v>
      </c>
      <c r="I745" s="114" t="s">
        <v>184</v>
      </c>
      <c r="J745" s="186">
        <v>2</v>
      </c>
      <c r="K745" s="187">
        <v>65</v>
      </c>
      <c r="L745" s="187">
        <v>33</v>
      </c>
      <c r="M745" s="187">
        <v>2.2000000000000002</v>
      </c>
      <c r="N745" s="187">
        <v>657</v>
      </c>
      <c r="O745" s="187">
        <v>963</v>
      </c>
      <c r="P745" s="188">
        <v>0.5</v>
      </c>
      <c r="Q745" s="189">
        <v>1314</v>
      </c>
      <c r="R745" s="189">
        <v>1926</v>
      </c>
      <c r="S745" s="184" t="s">
        <v>59</v>
      </c>
    </row>
    <row r="746" spans="1:19">
      <c r="A746" s="111">
        <v>745</v>
      </c>
      <c r="B746" s="121">
        <v>45138</v>
      </c>
      <c r="C746" s="113">
        <f t="shared" si="4"/>
        <v>2023</v>
      </c>
      <c r="D746" s="114">
        <f t="shared" si="5"/>
        <v>7</v>
      </c>
      <c r="E746" s="114" t="s">
        <v>12</v>
      </c>
      <c r="F746" s="114" t="s">
        <v>234</v>
      </c>
      <c r="G746" s="115" t="s">
        <v>235</v>
      </c>
      <c r="H746" s="114" t="s">
        <v>236</v>
      </c>
      <c r="I746" s="114" t="s">
        <v>184</v>
      </c>
      <c r="J746" s="186">
        <v>5</v>
      </c>
      <c r="K746" s="187">
        <v>55</v>
      </c>
      <c r="L746" s="187">
        <v>24</v>
      </c>
      <c r="M746" s="187">
        <v>2.5</v>
      </c>
      <c r="N746" s="187">
        <v>829</v>
      </c>
      <c r="O746" s="187">
        <v>1242</v>
      </c>
      <c r="P746" s="188">
        <v>0.2</v>
      </c>
      <c r="Q746" s="189">
        <v>4146</v>
      </c>
      <c r="R746" s="189">
        <v>6208</v>
      </c>
      <c r="S746" s="184" t="s">
        <v>59</v>
      </c>
    </row>
    <row r="747" spans="1:19">
      <c r="A747" s="111">
        <v>746</v>
      </c>
      <c r="B747" s="121">
        <v>45108</v>
      </c>
      <c r="C747" s="113">
        <f t="shared" si="4"/>
        <v>2023</v>
      </c>
      <c r="D747" s="114">
        <f t="shared" si="5"/>
        <v>7</v>
      </c>
      <c r="E747" s="114" t="s">
        <v>12</v>
      </c>
      <c r="F747" s="114" t="s">
        <v>237</v>
      </c>
      <c r="G747" s="115" t="s">
        <v>199</v>
      </c>
      <c r="H747" s="114" t="s">
        <v>199</v>
      </c>
      <c r="I747" s="114" t="s">
        <v>200</v>
      </c>
      <c r="J747" s="186">
        <v>0</v>
      </c>
      <c r="K747" s="187">
        <v>0</v>
      </c>
      <c r="L747" s="187">
        <v>0</v>
      </c>
      <c r="M747" s="187">
        <v>0</v>
      </c>
      <c r="N747" s="187">
        <v>0</v>
      </c>
      <c r="O747" s="187">
        <v>0</v>
      </c>
      <c r="P747" s="188">
        <v>0</v>
      </c>
      <c r="Q747" s="186">
        <v>0</v>
      </c>
      <c r="R747" s="186">
        <v>0</v>
      </c>
      <c r="S747" s="184" t="s">
        <v>59</v>
      </c>
    </row>
    <row r="748" spans="1:19">
      <c r="A748" s="111">
        <v>747</v>
      </c>
      <c r="B748" s="121">
        <v>45109</v>
      </c>
      <c r="C748" s="113">
        <f t="shared" si="4"/>
        <v>2023</v>
      </c>
      <c r="D748" s="114">
        <f t="shared" si="5"/>
        <v>7</v>
      </c>
      <c r="E748" s="114" t="s">
        <v>12</v>
      </c>
      <c r="F748" s="114" t="s">
        <v>252</v>
      </c>
      <c r="G748" s="115" t="s">
        <v>253</v>
      </c>
      <c r="H748" s="114" t="s">
        <v>254</v>
      </c>
      <c r="I748" s="114" t="s">
        <v>184</v>
      </c>
      <c r="J748" s="186">
        <v>0</v>
      </c>
      <c r="K748" s="187">
        <v>0</v>
      </c>
      <c r="L748" s="187">
        <v>0</v>
      </c>
      <c r="M748" s="187">
        <v>0</v>
      </c>
      <c r="N748" s="187">
        <v>0</v>
      </c>
      <c r="O748" s="187">
        <v>0</v>
      </c>
      <c r="P748" s="188">
        <v>0</v>
      </c>
      <c r="Q748" s="186">
        <v>0</v>
      </c>
      <c r="R748" s="186">
        <v>0</v>
      </c>
      <c r="S748" s="184" t="s">
        <v>59</v>
      </c>
    </row>
    <row r="749" spans="1:19">
      <c r="A749" s="111">
        <v>748</v>
      </c>
      <c r="B749" s="121">
        <v>45110</v>
      </c>
      <c r="C749" s="113">
        <f t="shared" si="4"/>
        <v>2023</v>
      </c>
      <c r="D749" s="114">
        <f t="shared" si="5"/>
        <v>7</v>
      </c>
      <c r="E749" s="114" t="s">
        <v>26</v>
      </c>
      <c r="F749" s="114" t="s">
        <v>238</v>
      </c>
      <c r="G749" s="115" t="s">
        <v>175</v>
      </c>
      <c r="H749" s="114" t="s">
        <v>176</v>
      </c>
      <c r="I749" s="114" t="s">
        <v>173</v>
      </c>
      <c r="J749" s="186">
        <v>0</v>
      </c>
      <c r="K749" s="187">
        <v>0</v>
      </c>
      <c r="L749" s="187">
        <v>0</v>
      </c>
      <c r="M749" s="187">
        <v>0</v>
      </c>
      <c r="N749" s="187">
        <v>0</v>
      </c>
      <c r="O749" s="187">
        <v>0</v>
      </c>
      <c r="P749" s="188">
        <v>0</v>
      </c>
      <c r="Q749" s="186">
        <v>0</v>
      </c>
      <c r="R749" s="186">
        <v>0</v>
      </c>
      <c r="S749" s="184" t="s">
        <v>59</v>
      </c>
    </row>
    <row r="750" spans="1:19">
      <c r="A750" s="111">
        <v>749</v>
      </c>
      <c r="B750" s="121">
        <v>45111</v>
      </c>
      <c r="C750" s="113">
        <f t="shared" si="4"/>
        <v>2023</v>
      </c>
      <c r="D750" s="114">
        <f t="shared" si="5"/>
        <v>7</v>
      </c>
      <c r="E750" s="114" t="s">
        <v>19</v>
      </c>
      <c r="F750" s="114" t="s">
        <v>178</v>
      </c>
      <c r="G750" s="115" t="s">
        <v>179</v>
      </c>
      <c r="H750" s="114" t="s">
        <v>180</v>
      </c>
      <c r="I750" s="114" t="s">
        <v>173</v>
      </c>
      <c r="J750" s="186">
        <v>1</v>
      </c>
      <c r="K750" s="187">
        <v>65</v>
      </c>
      <c r="L750" s="187">
        <v>33</v>
      </c>
      <c r="M750" s="187">
        <v>2.2000000000000002</v>
      </c>
      <c r="N750" s="187">
        <v>815</v>
      </c>
      <c r="O750" s="187">
        <v>1186</v>
      </c>
      <c r="P750" s="188">
        <v>0</v>
      </c>
      <c r="Q750" s="186">
        <v>815</v>
      </c>
      <c r="R750" s="189">
        <v>1186</v>
      </c>
      <c r="S750" s="184" t="s">
        <v>59</v>
      </c>
    </row>
    <row r="751" spans="1:19">
      <c r="A751" s="111">
        <v>750</v>
      </c>
      <c r="B751" s="121">
        <v>45112</v>
      </c>
      <c r="C751" s="113">
        <f t="shared" si="4"/>
        <v>2023</v>
      </c>
      <c r="D751" s="114">
        <f t="shared" si="5"/>
        <v>7</v>
      </c>
      <c r="E751" s="114" t="s">
        <v>7</v>
      </c>
      <c r="F751" s="114" t="s">
        <v>239</v>
      </c>
      <c r="G751" s="115" t="s">
        <v>240</v>
      </c>
      <c r="H751" s="114" t="s">
        <v>241</v>
      </c>
      <c r="I751" s="114" t="s">
        <v>184</v>
      </c>
      <c r="J751" s="186">
        <v>5</v>
      </c>
      <c r="K751" s="187">
        <v>62</v>
      </c>
      <c r="L751" s="187">
        <v>31</v>
      </c>
      <c r="M751" s="187">
        <v>2.2999999999999998</v>
      </c>
      <c r="N751" s="187">
        <v>786</v>
      </c>
      <c r="O751" s="187">
        <v>1193</v>
      </c>
      <c r="P751" s="188">
        <v>0</v>
      </c>
      <c r="Q751" s="189">
        <v>3929</v>
      </c>
      <c r="R751" s="189">
        <v>5964</v>
      </c>
      <c r="S751" s="184" t="s">
        <v>59</v>
      </c>
    </row>
    <row r="752" spans="1:19">
      <c r="A752" s="111">
        <v>751</v>
      </c>
      <c r="B752" s="121">
        <v>45113</v>
      </c>
      <c r="C752" s="113">
        <f t="shared" si="4"/>
        <v>2023</v>
      </c>
      <c r="D752" s="114">
        <f t="shared" si="5"/>
        <v>7</v>
      </c>
      <c r="E752" s="114" t="s">
        <v>7</v>
      </c>
      <c r="F752" s="114" t="s">
        <v>220</v>
      </c>
      <c r="G752" s="115" t="s">
        <v>221</v>
      </c>
      <c r="H752" s="114" t="s">
        <v>222</v>
      </c>
      <c r="I752" s="114" t="s">
        <v>184</v>
      </c>
      <c r="J752" s="186">
        <v>1</v>
      </c>
      <c r="K752" s="187">
        <v>68</v>
      </c>
      <c r="L752" s="187">
        <v>31</v>
      </c>
      <c r="M752" s="187">
        <v>2.7</v>
      </c>
      <c r="N752" s="187">
        <v>879</v>
      </c>
      <c r="O752" s="187">
        <v>1268</v>
      </c>
      <c r="P752" s="188">
        <v>1</v>
      </c>
      <c r="Q752" s="186">
        <v>879</v>
      </c>
      <c r="R752" s="189">
        <v>1268</v>
      </c>
      <c r="S752" s="184" t="s">
        <v>59</v>
      </c>
    </row>
    <row r="753" spans="1:19">
      <c r="A753" s="111">
        <v>752</v>
      </c>
      <c r="B753" s="121">
        <v>45114</v>
      </c>
      <c r="C753" s="113">
        <f t="shared" si="4"/>
        <v>2023</v>
      </c>
      <c r="D753" s="114">
        <f t="shared" si="5"/>
        <v>7</v>
      </c>
      <c r="E753" s="114" t="s">
        <v>7</v>
      </c>
      <c r="F753" s="114" t="s">
        <v>242</v>
      </c>
      <c r="G753" s="115" t="s">
        <v>243</v>
      </c>
      <c r="H753" s="114" t="s">
        <v>244</v>
      </c>
      <c r="I753" s="114" t="s">
        <v>184</v>
      </c>
      <c r="J753" s="186">
        <v>5</v>
      </c>
      <c r="K753" s="187">
        <v>73</v>
      </c>
      <c r="L753" s="187">
        <v>30</v>
      </c>
      <c r="M753" s="187">
        <v>2.7</v>
      </c>
      <c r="N753" s="187">
        <v>1093</v>
      </c>
      <c r="O753" s="187">
        <v>1941</v>
      </c>
      <c r="P753" s="188">
        <v>0.2</v>
      </c>
      <c r="Q753" s="189">
        <v>5464</v>
      </c>
      <c r="R753" s="189">
        <v>9705</v>
      </c>
      <c r="S753" s="184" t="s">
        <v>59</v>
      </c>
    </row>
    <row r="754" spans="1:19">
      <c r="A754" s="111">
        <v>753</v>
      </c>
      <c r="B754" s="121">
        <v>45115</v>
      </c>
      <c r="C754" s="113">
        <f t="shared" si="4"/>
        <v>2023</v>
      </c>
      <c r="D754" s="114">
        <f t="shared" si="5"/>
        <v>7</v>
      </c>
      <c r="E754" s="114" t="s">
        <v>7</v>
      </c>
      <c r="F754" s="114" t="s">
        <v>255</v>
      </c>
      <c r="G754" s="115" t="s">
        <v>256</v>
      </c>
      <c r="H754" s="114" t="s">
        <v>257</v>
      </c>
      <c r="I754" s="114" t="s">
        <v>173</v>
      </c>
      <c r="J754" s="186">
        <v>6</v>
      </c>
      <c r="K754" s="187">
        <v>80</v>
      </c>
      <c r="L754" s="187">
        <v>35</v>
      </c>
      <c r="M754" s="187">
        <v>2.4</v>
      </c>
      <c r="N754" s="187">
        <v>1812</v>
      </c>
      <c r="O754" s="187">
        <v>2709</v>
      </c>
      <c r="P754" s="188">
        <v>0.67</v>
      </c>
      <c r="Q754" s="189">
        <v>10869</v>
      </c>
      <c r="R754" s="189">
        <v>16255</v>
      </c>
      <c r="S754" s="184" t="s">
        <v>59</v>
      </c>
    </row>
    <row r="755" spans="1:19">
      <c r="A755" s="111">
        <v>754</v>
      </c>
      <c r="B755" s="121">
        <v>45116</v>
      </c>
      <c r="C755" s="113">
        <f t="shared" si="4"/>
        <v>2023</v>
      </c>
      <c r="D755" s="114">
        <f t="shared" si="5"/>
        <v>7</v>
      </c>
      <c r="E755" s="114" t="s">
        <v>7</v>
      </c>
      <c r="F755" s="114" t="s">
        <v>258</v>
      </c>
      <c r="G755" s="115" t="s">
        <v>256</v>
      </c>
      <c r="H755" s="114" t="s">
        <v>257</v>
      </c>
      <c r="I755" s="114" t="s">
        <v>200</v>
      </c>
      <c r="J755" s="186">
        <v>0</v>
      </c>
      <c r="K755" s="187">
        <v>0</v>
      </c>
      <c r="L755" s="187">
        <v>0</v>
      </c>
      <c r="M755" s="187">
        <v>0</v>
      </c>
      <c r="N755" s="187">
        <v>0</v>
      </c>
      <c r="O755" s="187">
        <v>0</v>
      </c>
      <c r="P755" s="188">
        <v>0</v>
      </c>
      <c r="Q755" s="186">
        <v>0</v>
      </c>
      <c r="R755" s="186">
        <v>0</v>
      </c>
      <c r="S755" s="184" t="s">
        <v>59</v>
      </c>
    </row>
    <row r="756" spans="1:19">
      <c r="A756" s="111">
        <v>755</v>
      </c>
      <c r="B756" s="121">
        <v>45117</v>
      </c>
      <c r="C756" s="113">
        <f t="shared" si="4"/>
        <v>2023</v>
      </c>
      <c r="D756" s="114">
        <f t="shared" si="5"/>
        <v>7</v>
      </c>
      <c r="E756" s="114" t="s">
        <v>24</v>
      </c>
      <c r="F756" s="114" t="s">
        <v>259</v>
      </c>
      <c r="G756" s="115" t="s">
        <v>260</v>
      </c>
      <c r="H756" s="114" t="s">
        <v>261</v>
      </c>
      <c r="I756" s="114" t="s">
        <v>184</v>
      </c>
      <c r="J756" s="186">
        <v>1</v>
      </c>
      <c r="K756" s="187">
        <v>11</v>
      </c>
      <c r="L756" s="187">
        <v>19</v>
      </c>
      <c r="M756" s="187">
        <v>0.9</v>
      </c>
      <c r="N756" s="187">
        <v>35</v>
      </c>
      <c r="O756" s="187">
        <v>48</v>
      </c>
      <c r="P756" s="188">
        <v>0</v>
      </c>
      <c r="Q756" s="186">
        <v>35</v>
      </c>
      <c r="R756" s="186">
        <v>48</v>
      </c>
      <c r="S756" s="184" t="s">
        <v>59</v>
      </c>
    </row>
    <row r="757" spans="1:19">
      <c r="A757" s="111">
        <v>756</v>
      </c>
      <c r="B757" s="121">
        <v>45118</v>
      </c>
      <c r="C757" s="113">
        <f t="shared" si="4"/>
        <v>2023</v>
      </c>
      <c r="D757" s="114">
        <f t="shared" si="5"/>
        <v>7</v>
      </c>
      <c r="E757" s="114" t="s">
        <v>24</v>
      </c>
      <c r="F757" s="114" t="s">
        <v>262</v>
      </c>
      <c r="G757" s="115" t="s">
        <v>263</v>
      </c>
      <c r="H757" s="114" t="s">
        <v>264</v>
      </c>
      <c r="I757" s="114" t="s">
        <v>184</v>
      </c>
      <c r="J757" s="186">
        <v>4</v>
      </c>
      <c r="K757" s="187">
        <v>12</v>
      </c>
      <c r="L757" s="187">
        <v>43</v>
      </c>
      <c r="M757" s="187">
        <v>0.8</v>
      </c>
      <c r="N757" s="187">
        <v>38</v>
      </c>
      <c r="O757" s="187">
        <v>50</v>
      </c>
      <c r="P757" s="188">
        <v>0.75</v>
      </c>
      <c r="Q757" s="186">
        <v>153</v>
      </c>
      <c r="R757" s="186">
        <v>199</v>
      </c>
      <c r="S757" s="184" t="s">
        <v>59</v>
      </c>
    </row>
    <row r="758" spans="1:19">
      <c r="A758" s="111">
        <v>757</v>
      </c>
      <c r="B758" s="121">
        <v>45119</v>
      </c>
      <c r="C758" s="113">
        <f t="shared" si="4"/>
        <v>2023</v>
      </c>
      <c r="D758" s="114">
        <f t="shared" si="5"/>
        <v>7</v>
      </c>
      <c r="E758" s="114" t="s">
        <v>28</v>
      </c>
      <c r="F758" s="114" t="s">
        <v>265</v>
      </c>
      <c r="G758" s="115" t="s">
        <v>266</v>
      </c>
      <c r="H758" s="114" t="s">
        <v>267</v>
      </c>
      <c r="I758" s="114" t="s">
        <v>184</v>
      </c>
      <c r="J758" s="186">
        <v>2</v>
      </c>
      <c r="K758" s="187">
        <v>26</v>
      </c>
      <c r="L758" s="187">
        <v>24</v>
      </c>
      <c r="M758" s="187">
        <v>1.4</v>
      </c>
      <c r="N758" s="187">
        <v>187</v>
      </c>
      <c r="O758" s="187">
        <v>279</v>
      </c>
      <c r="P758" s="188">
        <v>1</v>
      </c>
      <c r="Q758" s="186">
        <v>373</v>
      </c>
      <c r="R758" s="186">
        <v>558</v>
      </c>
      <c r="S758" s="184" t="s">
        <v>59</v>
      </c>
    </row>
    <row r="759" spans="1:19">
      <c r="A759" s="111">
        <v>758</v>
      </c>
      <c r="B759" s="121">
        <v>45120</v>
      </c>
      <c r="C759" s="113">
        <f t="shared" si="4"/>
        <v>2023</v>
      </c>
      <c r="D759" s="114">
        <f t="shared" si="5"/>
        <v>7</v>
      </c>
      <c r="E759" s="114" t="s">
        <v>93</v>
      </c>
      <c r="F759" s="114" t="s">
        <v>265</v>
      </c>
      <c r="G759" s="115" t="s">
        <v>266</v>
      </c>
      <c r="H759" s="114" t="s">
        <v>267</v>
      </c>
      <c r="I759" s="114" t="s">
        <v>184</v>
      </c>
      <c r="J759" s="186">
        <v>1</v>
      </c>
      <c r="K759" s="187">
        <v>17</v>
      </c>
      <c r="L759" s="187">
        <v>22</v>
      </c>
      <c r="M759" s="187">
        <v>1.6</v>
      </c>
      <c r="N759" s="187">
        <v>79</v>
      </c>
      <c r="O759" s="187">
        <v>130</v>
      </c>
      <c r="P759" s="188">
        <v>1</v>
      </c>
      <c r="Q759" s="186">
        <v>79</v>
      </c>
      <c r="R759" s="186">
        <v>130</v>
      </c>
      <c r="S759" s="184" t="s">
        <v>59</v>
      </c>
    </row>
    <row r="760" spans="1:19">
      <c r="A760" s="111">
        <v>759</v>
      </c>
      <c r="B760" s="121">
        <v>45121</v>
      </c>
      <c r="C760" s="113">
        <f t="shared" si="4"/>
        <v>2023</v>
      </c>
      <c r="D760" s="114">
        <f t="shared" si="5"/>
        <v>7</v>
      </c>
      <c r="E760" s="114" t="s">
        <v>10</v>
      </c>
      <c r="F760" s="114" t="s">
        <v>268</v>
      </c>
      <c r="G760" s="115" t="s">
        <v>269</v>
      </c>
      <c r="H760" s="114" t="s">
        <v>270</v>
      </c>
      <c r="I760" s="114" t="s">
        <v>184</v>
      </c>
      <c r="J760" s="186">
        <v>5</v>
      </c>
      <c r="K760" s="187">
        <v>51</v>
      </c>
      <c r="L760" s="187">
        <v>23</v>
      </c>
      <c r="M760" s="187">
        <v>2.4</v>
      </c>
      <c r="N760" s="187">
        <v>1048</v>
      </c>
      <c r="O760" s="187">
        <v>1548</v>
      </c>
      <c r="P760" s="188">
        <v>0.8</v>
      </c>
      <c r="Q760" s="186">
        <v>5238</v>
      </c>
      <c r="R760" s="186">
        <v>7739</v>
      </c>
      <c r="S760" s="184" t="s">
        <v>59</v>
      </c>
    </row>
    <row r="761" spans="1:19">
      <c r="A761" s="111">
        <v>760</v>
      </c>
      <c r="B761" s="121">
        <v>45122</v>
      </c>
      <c r="C761" s="113">
        <f t="shared" si="4"/>
        <v>2023</v>
      </c>
      <c r="D761" s="114">
        <f t="shared" si="5"/>
        <v>7</v>
      </c>
      <c r="E761" s="114" t="s">
        <v>32</v>
      </c>
      <c r="F761" s="114" t="s">
        <v>249</v>
      </c>
      <c r="G761" s="115" t="s">
        <v>250</v>
      </c>
      <c r="H761" s="114" t="s">
        <v>251</v>
      </c>
      <c r="I761" s="114" t="s">
        <v>184</v>
      </c>
      <c r="J761" s="186">
        <v>0</v>
      </c>
      <c r="K761" s="187">
        <v>0</v>
      </c>
      <c r="L761" s="187">
        <v>0</v>
      </c>
      <c r="M761" s="187">
        <v>0</v>
      </c>
      <c r="N761" s="187">
        <v>0</v>
      </c>
      <c r="O761" s="187">
        <v>0</v>
      </c>
      <c r="P761" s="190" t="e">
        <v>#DIV/0!</v>
      </c>
      <c r="Q761" s="186">
        <v>0</v>
      </c>
      <c r="R761" s="186">
        <v>0</v>
      </c>
      <c r="S761" s="184" t="s">
        <v>59</v>
      </c>
    </row>
    <row r="762" spans="1:19">
      <c r="A762" s="111">
        <v>761</v>
      </c>
      <c r="B762" s="121">
        <v>45123</v>
      </c>
      <c r="C762" s="113">
        <f t="shared" si="4"/>
        <v>2023</v>
      </c>
      <c r="D762" s="114">
        <f t="shared" si="5"/>
        <v>7</v>
      </c>
      <c r="E762" s="114" t="s">
        <v>79</v>
      </c>
      <c r="F762" s="114" t="s">
        <v>255</v>
      </c>
      <c r="G762" s="115" t="s">
        <v>256</v>
      </c>
      <c r="H762" s="114" t="s">
        <v>257</v>
      </c>
      <c r="I762" s="114" t="s">
        <v>173</v>
      </c>
      <c r="J762" s="186">
        <v>0</v>
      </c>
      <c r="K762" s="187">
        <v>0</v>
      </c>
      <c r="L762" s="187">
        <v>0</v>
      </c>
      <c r="M762" s="187">
        <v>0</v>
      </c>
      <c r="N762" s="187">
        <v>0</v>
      </c>
      <c r="O762" s="187">
        <v>0</v>
      </c>
      <c r="P762" s="188">
        <v>0</v>
      </c>
      <c r="Q762" s="186">
        <v>0</v>
      </c>
      <c r="R762" s="186">
        <v>0</v>
      </c>
      <c r="S762" s="184" t="s">
        <v>59</v>
      </c>
    </row>
    <row r="763" spans="1:19">
      <c r="A763" s="111">
        <v>762</v>
      </c>
      <c r="B763" s="121">
        <v>45124</v>
      </c>
      <c r="C763" s="113">
        <f t="shared" si="4"/>
        <v>2023</v>
      </c>
      <c r="D763" s="114">
        <f t="shared" si="5"/>
        <v>7</v>
      </c>
      <c r="E763" s="114" t="s">
        <v>101</v>
      </c>
      <c r="F763" s="114" t="s">
        <v>249</v>
      </c>
      <c r="G763" s="115" t="s">
        <v>250</v>
      </c>
      <c r="H763" s="114" t="s">
        <v>251</v>
      </c>
      <c r="I763" s="114" t="s">
        <v>184</v>
      </c>
      <c r="J763" s="186">
        <v>0</v>
      </c>
      <c r="K763" s="187">
        <v>0</v>
      </c>
      <c r="L763" s="187">
        <v>0</v>
      </c>
      <c r="M763" s="187">
        <v>0</v>
      </c>
      <c r="N763" s="187">
        <v>0</v>
      </c>
      <c r="O763" s="187">
        <v>0</v>
      </c>
      <c r="P763" s="188">
        <v>0</v>
      </c>
      <c r="Q763" s="186">
        <v>0</v>
      </c>
      <c r="R763" s="186">
        <v>0</v>
      </c>
      <c r="S763" s="184" t="s">
        <v>59</v>
      </c>
    </row>
    <row r="764" spans="1:19">
      <c r="A764" s="111">
        <v>763</v>
      </c>
      <c r="B764" s="121">
        <v>45125</v>
      </c>
      <c r="C764" s="113">
        <f t="shared" si="4"/>
        <v>2023</v>
      </c>
      <c r="D764" s="114">
        <f t="shared" si="5"/>
        <v>7</v>
      </c>
      <c r="E764" s="114" t="s">
        <v>116</v>
      </c>
      <c r="F764" s="114" t="s">
        <v>271</v>
      </c>
      <c r="G764" s="185"/>
      <c r="H764" s="185"/>
      <c r="I764" s="185"/>
      <c r="J764" s="186">
        <v>0</v>
      </c>
      <c r="K764" s="187">
        <v>0</v>
      </c>
      <c r="L764" s="187">
        <v>0</v>
      </c>
      <c r="M764" s="187">
        <v>0</v>
      </c>
      <c r="N764" s="187">
        <v>0</v>
      </c>
      <c r="O764" s="187">
        <v>0</v>
      </c>
      <c r="P764" s="188">
        <v>0</v>
      </c>
      <c r="Q764" s="186">
        <v>0</v>
      </c>
      <c r="R764" s="186">
        <v>0</v>
      </c>
      <c r="S764" s="184" t="s">
        <v>59</v>
      </c>
    </row>
    <row r="765" spans="1:19">
      <c r="A765" s="111">
        <v>764</v>
      </c>
      <c r="B765" s="191">
        <v>45139</v>
      </c>
      <c r="C765" s="113">
        <f t="shared" si="4"/>
        <v>2023</v>
      </c>
      <c r="D765" s="114">
        <f t="shared" si="5"/>
        <v>8</v>
      </c>
      <c r="E765" s="114" t="s">
        <v>79</v>
      </c>
      <c r="F765" s="114" t="s">
        <v>170</v>
      </c>
      <c r="G765" s="115" t="s">
        <v>171</v>
      </c>
      <c r="H765" s="114" t="s">
        <v>172</v>
      </c>
      <c r="I765" s="114" t="s">
        <v>173</v>
      </c>
      <c r="J765" s="186">
        <v>2</v>
      </c>
      <c r="K765" s="187">
        <v>29</v>
      </c>
      <c r="L765" s="187">
        <v>24</v>
      </c>
      <c r="M765" s="187">
        <v>1.6</v>
      </c>
      <c r="N765" s="187">
        <v>203</v>
      </c>
      <c r="O765" s="187">
        <v>292</v>
      </c>
      <c r="P765" s="188">
        <v>0</v>
      </c>
      <c r="Q765" s="186">
        <v>405</v>
      </c>
      <c r="R765" s="186">
        <v>583</v>
      </c>
      <c r="S765" s="184" t="s">
        <v>59</v>
      </c>
    </row>
    <row r="766" spans="1:19">
      <c r="A766" s="111">
        <v>765</v>
      </c>
      <c r="B766" s="191">
        <v>45140</v>
      </c>
      <c r="C766" s="113">
        <f t="shared" si="4"/>
        <v>2023</v>
      </c>
      <c r="D766" s="114">
        <f t="shared" si="5"/>
        <v>8</v>
      </c>
      <c r="E766" s="114" t="s">
        <v>79</v>
      </c>
      <c r="F766" s="114" t="s">
        <v>174</v>
      </c>
      <c r="G766" s="115" t="s">
        <v>175</v>
      </c>
      <c r="H766" s="114" t="s">
        <v>176</v>
      </c>
      <c r="I766" s="114" t="s">
        <v>173</v>
      </c>
      <c r="J766" s="186">
        <v>0</v>
      </c>
      <c r="K766" s="187">
        <v>0</v>
      </c>
      <c r="L766" s="187">
        <v>0</v>
      </c>
      <c r="M766" s="187">
        <v>0</v>
      </c>
      <c r="N766" s="187">
        <v>0</v>
      </c>
      <c r="O766" s="187">
        <v>0</v>
      </c>
      <c r="P766" s="188">
        <v>0</v>
      </c>
      <c r="Q766" s="186">
        <v>0</v>
      </c>
      <c r="R766" s="186">
        <v>0</v>
      </c>
      <c r="S766" s="184" t="s">
        <v>59</v>
      </c>
    </row>
    <row r="767" spans="1:19">
      <c r="A767" s="111">
        <v>766</v>
      </c>
      <c r="B767" s="191">
        <v>45141</v>
      </c>
      <c r="C767" s="113">
        <f t="shared" ref="C767:C1021" si="6">YEAR(B767)</f>
        <v>2023</v>
      </c>
      <c r="D767" s="114">
        <f t="shared" ref="D767:D1021" si="7">MONTH(B767)</f>
        <v>8</v>
      </c>
      <c r="E767" s="114" t="s">
        <v>79</v>
      </c>
      <c r="F767" s="114" t="s">
        <v>177</v>
      </c>
      <c r="G767" s="115" t="s">
        <v>175</v>
      </c>
      <c r="H767" s="114" t="s">
        <v>176</v>
      </c>
      <c r="I767" s="114" t="s">
        <v>173</v>
      </c>
      <c r="J767" s="186">
        <v>3</v>
      </c>
      <c r="K767" s="187">
        <v>78</v>
      </c>
      <c r="L767" s="187">
        <v>31</v>
      </c>
      <c r="M767" s="187">
        <v>2.7</v>
      </c>
      <c r="N767" s="187">
        <v>1782</v>
      </c>
      <c r="O767" s="187">
        <v>2537</v>
      </c>
      <c r="P767" s="188">
        <v>0</v>
      </c>
      <c r="Q767" s="189">
        <v>5345</v>
      </c>
      <c r="R767" s="189">
        <v>7612</v>
      </c>
      <c r="S767" s="184" t="s">
        <v>59</v>
      </c>
    </row>
    <row r="768" spans="1:19">
      <c r="A768" s="111">
        <v>767</v>
      </c>
      <c r="B768" s="191">
        <v>45142</v>
      </c>
      <c r="C768" s="113">
        <f t="shared" si="6"/>
        <v>2023</v>
      </c>
      <c r="D768" s="114">
        <f t="shared" si="7"/>
        <v>8</v>
      </c>
      <c r="E768" s="114" t="s">
        <v>20</v>
      </c>
      <c r="F768" s="114" t="s">
        <v>178</v>
      </c>
      <c r="G768" s="115" t="s">
        <v>179</v>
      </c>
      <c r="H768" s="114" t="s">
        <v>180</v>
      </c>
      <c r="I768" s="114" t="s">
        <v>173</v>
      </c>
      <c r="J768" s="186">
        <v>2</v>
      </c>
      <c r="K768" s="187">
        <v>56</v>
      </c>
      <c r="L768" s="187">
        <v>28</v>
      </c>
      <c r="M768" s="187">
        <v>2.2000000000000002</v>
      </c>
      <c r="N768" s="187">
        <v>920</v>
      </c>
      <c r="O768" s="187">
        <v>1303</v>
      </c>
      <c r="P768" s="188">
        <v>0</v>
      </c>
      <c r="Q768" s="189">
        <v>1839</v>
      </c>
      <c r="R768" s="189">
        <v>2605</v>
      </c>
      <c r="S768" s="184" t="s">
        <v>59</v>
      </c>
    </row>
    <row r="769" spans="1:19">
      <c r="A769" s="111">
        <v>768</v>
      </c>
      <c r="B769" s="191">
        <v>45143</v>
      </c>
      <c r="C769" s="113">
        <f t="shared" si="6"/>
        <v>2023</v>
      </c>
      <c r="D769" s="114">
        <f t="shared" si="7"/>
        <v>8</v>
      </c>
      <c r="E769" s="114" t="s">
        <v>8</v>
      </c>
      <c r="F769" s="114" t="s">
        <v>181</v>
      </c>
      <c r="G769" s="115" t="s">
        <v>182</v>
      </c>
      <c r="H769" s="114" t="s">
        <v>183</v>
      </c>
      <c r="I769" s="114" t="s">
        <v>184</v>
      </c>
      <c r="J769" s="186">
        <v>4</v>
      </c>
      <c r="K769" s="187">
        <v>28</v>
      </c>
      <c r="L769" s="187">
        <v>59</v>
      </c>
      <c r="M769" s="187">
        <v>2.2999999999999998</v>
      </c>
      <c r="N769" s="187">
        <v>612</v>
      </c>
      <c r="O769" s="187">
        <v>921</v>
      </c>
      <c r="P769" s="188">
        <v>1</v>
      </c>
      <c r="Q769" s="189">
        <v>2447</v>
      </c>
      <c r="R769" s="189">
        <v>3685</v>
      </c>
      <c r="S769" s="184" t="s">
        <v>59</v>
      </c>
    </row>
    <row r="770" spans="1:19">
      <c r="A770" s="111">
        <v>769</v>
      </c>
      <c r="B770" s="191">
        <v>45144</v>
      </c>
      <c r="C770" s="113">
        <f t="shared" si="6"/>
        <v>2023</v>
      </c>
      <c r="D770" s="114">
        <f t="shared" si="7"/>
        <v>8</v>
      </c>
      <c r="E770" s="114" t="s">
        <v>8</v>
      </c>
      <c r="F770" s="114" t="s">
        <v>185</v>
      </c>
      <c r="G770" s="115" t="s">
        <v>186</v>
      </c>
      <c r="H770" s="114" t="s">
        <v>187</v>
      </c>
      <c r="I770" s="114" t="s">
        <v>184</v>
      </c>
      <c r="J770" s="186">
        <v>5</v>
      </c>
      <c r="K770" s="187">
        <v>57</v>
      </c>
      <c r="L770" s="187">
        <v>29</v>
      </c>
      <c r="M770" s="187">
        <v>2.1</v>
      </c>
      <c r="N770" s="187">
        <v>757</v>
      </c>
      <c r="O770" s="187">
        <v>1112</v>
      </c>
      <c r="P770" s="188">
        <v>0.2</v>
      </c>
      <c r="Q770" s="189">
        <v>3787</v>
      </c>
      <c r="R770" s="189">
        <v>5561</v>
      </c>
      <c r="S770" s="184" t="s">
        <v>59</v>
      </c>
    </row>
    <row r="771" spans="1:19">
      <c r="A771" s="111">
        <v>770</v>
      </c>
      <c r="B771" s="191">
        <v>45145</v>
      </c>
      <c r="C771" s="113">
        <f t="shared" si="6"/>
        <v>2023</v>
      </c>
      <c r="D771" s="114">
        <f t="shared" si="7"/>
        <v>8</v>
      </c>
      <c r="E771" s="114" t="s">
        <v>8</v>
      </c>
      <c r="F771" s="114" t="s">
        <v>188</v>
      </c>
      <c r="G771" s="115" t="s">
        <v>189</v>
      </c>
      <c r="H771" s="114" t="s">
        <v>190</v>
      </c>
      <c r="I771" s="114" t="s">
        <v>184</v>
      </c>
      <c r="J771" s="186">
        <v>5</v>
      </c>
      <c r="K771" s="187">
        <v>50</v>
      </c>
      <c r="L771" s="187">
        <v>27</v>
      </c>
      <c r="M771" s="187">
        <v>2.1</v>
      </c>
      <c r="N771" s="187">
        <v>611</v>
      </c>
      <c r="O771" s="187">
        <v>984</v>
      </c>
      <c r="P771" s="188">
        <v>0.4</v>
      </c>
      <c r="Q771" s="189">
        <v>3057</v>
      </c>
      <c r="R771" s="189">
        <v>4918</v>
      </c>
      <c r="S771" s="184" t="s">
        <v>59</v>
      </c>
    </row>
    <row r="772" spans="1:19">
      <c r="A772" s="111">
        <v>771</v>
      </c>
      <c r="B772" s="191">
        <v>45146</v>
      </c>
      <c r="C772" s="113">
        <f t="shared" si="6"/>
        <v>2023</v>
      </c>
      <c r="D772" s="114">
        <f t="shared" si="7"/>
        <v>8</v>
      </c>
      <c r="E772" s="114" t="s">
        <v>8</v>
      </c>
      <c r="F772" s="114" t="s">
        <v>191</v>
      </c>
      <c r="G772" s="115" t="s">
        <v>192</v>
      </c>
      <c r="H772" s="114" t="s">
        <v>193</v>
      </c>
      <c r="I772" s="114" t="s">
        <v>173</v>
      </c>
      <c r="J772" s="186">
        <v>0</v>
      </c>
      <c r="K772" s="187">
        <v>0</v>
      </c>
      <c r="L772" s="187">
        <v>0</v>
      </c>
      <c r="M772" s="187">
        <v>0</v>
      </c>
      <c r="N772" s="187">
        <v>0</v>
      </c>
      <c r="O772" s="187">
        <v>0</v>
      </c>
      <c r="P772" s="188">
        <v>0</v>
      </c>
      <c r="Q772" s="186">
        <v>0</v>
      </c>
      <c r="R772" s="186">
        <v>0</v>
      </c>
      <c r="S772" s="184" t="s">
        <v>59</v>
      </c>
    </row>
    <row r="773" spans="1:19">
      <c r="A773" s="111">
        <v>772</v>
      </c>
      <c r="B773" s="191">
        <v>45147</v>
      </c>
      <c r="C773" s="113">
        <f t="shared" si="6"/>
        <v>2023</v>
      </c>
      <c r="D773" s="114">
        <f t="shared" si="7"/>
        <v>8</v>
      </c>
      <c r="E773" s="114" t="s">
        <v>8</v>
      </c>
      <c r="F773" s="114" t="s">
        <v>245</v>
      </c>
      <c r="G773" s="115" t="s">
        <v>246</v>
      </c>
      <c r="H773" s="114" t="s">
        <v>247</v>
      </c>
      <c r="I773" s="114" t="s">
        <v>184</v>
      </c>
      <c r="J773" s="186">
        <v>4</v>
      </c>
      <c r="K773" s="187">
        <v>44</v>
      </c>
      <c r="L773" s="187">
        <v>25</v>
      </c>
      <c r="M773" s="187">
        <v>2</v>
      </c>
      <c r="N773" s="187">
        <v>2038</v>
      </c>
      <c r="O773" s="187">
        <v>2929</v>
      </c>
      <c r="P773" s="188">
        <v>0</v>
      </c>
      <c r="Q773" s="189">
        <v>2038</v>
      </c>
      <c r="R773" s="189">
        <v>2929</v>
      </c>
      <c r="S773" s="184" t="s">
        <v>59</v>
      </c>
    </row>
    <row r="774" spans="1:19">
      <c r="A774" s="111">
        <v>773</v>
      </c>
      <c r="B774" s="191">
        <v>45148</v>
      </c>
      <c r="C774" s="113">
        <f t="shared" si="6"/>
        <v>2023</v>
      </c>
      <c r="D774" s="114">
        <f t="shared" si="7"/>
        <v>8</v>
      </c>
      <c r="E774" s="114" t="s">
        <v>88</v>
      </c>
      <c r="F774" s="114" t="s">
        <v>195</v>
      </c>
      <c r="G774" s="115" t="s">
        <v>196</v>
      </c>
      <c r="H774" s="114" t="s">
        <v>197</v>
      </c>
      <c r="I774" s="114" t="s">
        <v>184</v>
      </c>
      <c r="J774" s="186">
        <v>3</v>
      </c>
      <c r="K774" s="187">
        <v>65</v>
      </c>
      <c r="L774" s="187">
        <v>31</v>
      </c>
      <c r="M774" s="187">
        <v>2.2999999999999998</v>
      </c>
      <c r="N774" s="187">
        <v>665</v>
      </c>
      <c r="O774" s="187">
        <v>932</v>
      </c>
      <c r="P774" s="188">
        <v>0.33</v>
      </c>
      <c r="Q774" s="189">
        <v>1995</v>
      </c>
      <c r="R774" s="189">
        <v>2796</v>
      </c>
      <c r="S774" s="184" t="s">
        <v>59</v>
      </c>
    </row>
    <row r="775" spans="1:19">
      <c r="A775" s="111">
        <v>774</v>
      </c>
      <c r="B775" s="191">
        <v>45149</v>
      </c>
      <c r="C775" s="113">
        <f t="shared" si="6"/>
        <v>2023</v>
      </c>
      <c r="D775" s="114">
        <f t="shared" si="7"/>
        <v>8</v>
      </c>
      <c r="E775" s="114" t="s">
        <v>104</v>
      </c>
      <c r="F775" s="114" t="s">
        <v>198</v>
      </c>
      <c r="G775" s="115" t="s">
        <v>199</v>
      </c>
      <c r="H775" s="114" t="s">
        <v>199</v>
      </c>
      <c r="I775" s="114" t="s">
        <v>200</v>
      </c>
      <c r="J775" s="186">
        <v>0</v>
      </c>
      <c r="K775" s="187">
        <v>0</v>
      </c>
      <c r="L775" s="187">
        <v>0</v>
      </c>
      <c r="M775" s="187">
        <v>0</v>
      </c>
      <c r="N775" s="187">
        <v>0</v>
      </c>
      <c r="O775" s="187">
        <v>0</v>
      </c>
      <c r="P775" s="188">
        <v>0</v>
      </c>
      <c r="Q775" s="186">
        <v>0</v>
      </c>
      <c r="R775" s="186">
        <v>0</v>
      </c>
      <c r="S775" s="184" t="s">
        <v>59</v>
      </c>
    </row>
    <row r="776" spans="1:19">
      <c r="A776" s="111">
        <v>775</v>
      </c>
      <c r="B776" s="191">
        <v>45150</v>
      </c>
      <c r="C776" s="113">
        <f t="shared" si="6"/>
        <v>2023</v>
      </c>
      <c r="D776" s="114">
        <f t="shared" si="7"/>
        <v>8</v>
      </c>
      <c r="E776" s="114" t="s">
        <v>93</v>
      </c>
      <c r="F776" s="114" t="s">
        <v>248</v>
      </c>
      <c r="G776" s="115" t="s">
        <v>199</v>
      </c>
      <c r="H776" s="114" t="s">
        <v>199</v>
      </c>
      <c r="I776" s="114" t="s">
        <v>200</v>
      </c>
      <c r="J776" s="186">
        <v>1</v>
      </c>
      <c r="K776" s="187">
        <v>32</v>
      </c>
      <c r="L776" s="187">
        <v>26</v>
      </c>
      <c r="M776" s="187">
        <v>2</v>
      </c>
      <c r="N776" s="187">
        <v>269</v>
      </c>
      <c r="O776" s="187">
        <v>326</v>
      </c>
      <c r="P776" s="188">
        <v>0</v>
      </c>
      <c r="Q776" s="186">
        <v>0</v>
      </c>
      <c r="R776" s="186">
        <v>0</v>
      </c>
      <c r="S776" s="184" t="s">
        <v>59</v>
      </c>
    </row>
    <row r="777" spans="1:19">
      <c r="A777" s="111">
        <v>776</v>
      </c>
      <c r="B777" s="191">
        <v>45151</v>
      </c>
      <c r="C777" s="113">
        <f t="shared" si="6"/>
        <v>2023</v>
      </c>
      <c r="D777" s="114">
        <f t="shared" si="7"/>
        <v>8</v>
      </c>
      <c r="E777" s="114" t="s">
        <v>30</v>
      </c>
      <c r="F777" s="114" t="s">
        <v>205</v>
      </c>
      <c r="G777" s="115" t="s">
        <v>206</v>
      </c>
      <c r="H777" s="114" t="s">
        <v>207</v>
      </c>
      <c r="I777" s="114" t="s">
        <v>184</v>
      </c>
      <c r="J777" s="186">
        <v>0</v>
      </c>
      <c r="K777" s="187">
        <v>0</v>
      </c>
      <c r="L777" s="187">
        <v>0</v>
      </c>
      <c r="M777" s="187">
        <v>0</v>
      </c>
      <c r="N777" s="187">
        <v>0</v>
      </c>
      <c r="O777" s="187">
        <v>0</v>
      </c>
      <c r="P777" s="188">
        <v>0</v>
      </c>
      <c r="Q777" s="186">
        <v>0</v>
      </c>
      <c r="R777" s="186">
        <v>0</v>
      </c>
      <c r="S777" s="184" t="s">
        <v>59</v>
      </c>
    </row>
    <row r="778" spans="1:19">
      <c r="A778" s="111">
        <v>777</v>
      </c>
      <c r="B778" s="191">
        <v>45152</v>
      </c>
      <c r="C778" s="113">
        <f t="shared" si="6"/>
        <v>2023</v>
      </c>
      <c r="D778" s="114">
        <f t="shared" si="7"/>
        <v>8</v>
      </c>
      <c r="E778" s="114" t="s">
        <v>10</v>
      </c>
      <c r="F778" s="114" t="s">
        <v>208</v>
      </c>
      <c r="G778" s="115" t="s">
        <v>209</v>
      </c>
      <c r="H778" s="114" t="s">
        <v>210</v>
      </c>
      <c r="I778" s="114" t="s">
        <v>173</v>
      </c>
      <c r="J778" s="186">
        <v>0</v>
      </c>
      <c r="K778" s="187">
        <v>0</v>
      </c>
      <c r="L778" s="187">
        <v>0</v>
      </c>
      <c r="M778" s="187">
        <v>0</v>
      </c>
      <c r="N778" s="187">
        <v>0</v>
      </c>
      <c r="O778" s="187">
        <v>0</v>
      </c>
      <c r="P778" s="188">
        <v>0</v>
      </c>
      <c r="Q778" s="186">
        <v>0</v>
      </c>
      <c r="R778" s="186">
        <v>0</v>
      </c>
      <c r="S778" s="184" t="s">
        <v>59</v>
      </c>
    </row>
    <row r="779" spans="1:19">
      <c r="A779" s="111">
        <v>778</v>
      </c>
      <c r="B779" s="191">
        <v>45153</v>
      </c>
      <c r="C779" s="113">
        <f t="shared" si="6"/>
        <v>2023</v>
      </c>
      <c r="D779" s="114">
        <f t="shared" si="7"/>
        <v>8</v>
      </c>
      <c r="E779" s="114" t="s">
        <v>10</v>
      </c>
      <c r="F779" s="114" t="s">
        <v>211</v>
      </c>
      <c r="G779" s="115" t="s">
        <v>212</v>
      </c>
      <c r="H779" s="114" t="s">
        <v>213</v>
      </c>
      <c r="I779" s="114" t="s">
        <v>173</v>
      </c>
      <c r="J779" s="186">
        <v>0</v>
      </c>
      <c r="K779" s="187">
        <v>0</v>
      </c>
      <c r="L779" s="187">
        <v>0</v>
      </c>
      <c r="M779" s="187">
        <v>0</v>
      </c>
      <c r="N779" s="187">
        <v>0</v>
      </c>
      <c r="O779" s="187">
        <v>0</v>
      </c>
      <c r="P779" s="188">
        <v>0</v>
      </c>
      <c r="Q779" s="186">
        <v>0</v>
      </c>
      <c r="R779" s="186">
        <v>0</v>
      </c>
      <c r="S779" s="184" t="s">
        <v>59</v>
      </c>
    </row>
    <row r="780" spans="1:19">
      <c r="A780" s="111">
        <v>779</v>
      </c>
      <c r="B780" s="191">
        <v>45154</v>
      </c>
      <c r="C780" s="113">
        <f t="shared" si="6"/>
        <v>2023</v>
      </c>
      <c r="D780" s="114">
        <f t="shared" si="7"/>
        <v>8</v>
      </c>
      <c r="E780" s="114" t="s">
        <v>10</v>
      </c>
      <c r="F780" s="114" t="s">
        <v>214</v>
      </c>
      <c r="G780" s="115" t="s">
        <v>215</v>
      </c>
      <c r="H780" s="114" t="s">
        <v>216</v>
      </c>
      <c r="I780" s="114" t="s">
        <v>184</v>
      </c>
      <c r="J780" s="186">
        <v>7</v>
      </c>
      <c r="K780" s="187">
        <v>52</v>
      </c>
      <c r="L780" s="187">
        <v>27</v>
      </c>
      <c r="M780" s="187">
        <v>2.4</v>
      </c>
      <c r="N780" s="187">
        <v>692</v>
      </c>
      <c r="O780" s="187">
        <v>1050</v>
      </c>
      <c r="P780" s="188">
        <v>1</v>
      </c>
      <c r="Q780" s="189">
        <v>4844</v>
      </c>
      <c r="R780" s="189">
        <v>7348</v>
      </c>
      <c r="S780" s="184" t="s">
        <v>59</v>
      </c>
    </row>
    <row r="781" spans="1:19">
      <c r="A781" s="111">
        <v>780</v>
      </c>
      <c r="B781" s="191">
        <v>45155</v>
      </c>
      <c r="C781" s="113">
        <f t="shared" si="6"/>
        <v>2023</v>
      </c>
      <c r="D781" s="114">
        <f t="shared" si="7"/>
        <v>8</v>
      </c>
      <c r="E781" s="114" t="s">
        <v>9</v>
      </c>
      <c r="F781" s="114" t="s">
        <v>217</v>
      </c>
      <c r="G781" s="115" t="s">
        <v>218</v>
      </c>
      <c r="H781" s="114" t="s">
        <v>219</v>
      </c>
      <c r="I781" s="114" t="s">
        <v>184</v>
      </c>
      <c r="J781" s="186">
        <v>4</v>
      </c>
      <c r="K781" s="187">
        <v>98</v>
      </c>
      <c r="L781" s="187">
        <v>33</v>
      </c>
      <c r="M781" s="187">
        <v>3.2</v>
      </c>
      <c r="N781" s="187">
        <v>2322</v>
      </c>
      <c r="O781" s="187">
        <v>3648</v>
      </c>
      <c r="P781" s="188">
        <v>0.75</v>
      </c>
      <c r="Q781" s="189">
        <v>9286</v>
      </c>
      <c r="R781" s="189">
        <v>14590</v>
      </c>
      <c r="S781" s="184" t="s">
        <v>59</v>
      </c>
    </row>
    <row r="782" spans="1:19">
      <c r="A782" s="111">
        <v>781</v>
      </c>
      <c r="B782" s="191">
        <v>45156</v>
      </c>
      <c r="C782" s="113">
        <f t="shared" si="6"/>
        <v>2023</v>
      </c>
      <c r="D782" s="114">
        <f t="shared" si="7"/>
        <v>8</v>
      </c>
      <c r="E782" s="114" t="s">
        <v>11</v>
      </c>
      <c r="F782" s="114" t="s">
        <v>220</v>
      </c>
      <c r="G782" s="115" t="s">
        <v>221</v>
      </c>
      <c r="H782" s="114" t="s">
        <v>222</v>
      </c>
      <c r="I782" s="114" t="s">
        <v>184</v>
      </c>
      <c r="J782" s="186">
        <v>2</v>
      </c>
      <c r="K782" s="187">
        <v>51</v>
      </c>
      <c r="L782" s="187">
        <v>30</v>
      </c>
      <c r="M782" s="187">
        <v>2.2000000000000002</v>
      </c>
      <c r="N782" s="187">
        <v>790</v>
      </c>
      <c r="O782" s="187">
        <v>1266</v>
      </c>
      <c r="P782" s="188">
        <v>0.5</v>
      </c>
      <c r="Q782" s="189">
        <v>1579</v>
      </c>
      <c r="R782" s="189">
        <v>2532</v>
      </c>
      <c r="S782" s="184" t="s">
        <v>59</v>
      </c>
    </row>
    <row r="783" spans="1:19">
      <c r="A783" s="111">
        <v>782</v>
      </c>
      <c r="B783" s="191">
        <v>45157</v>
      </c>
      <c r="C783" s="113">
        <f t="shared" si="6"/>
        <v>2023</v>
      </c>
      <c r="D783" s="114">
        <f t="shared" si="7"/>
        <v>8</v>
      </c>
      <c r="E783" s="114" t="s">
        <v>11</v>
      </c>
      <c r="F783" s="114" t="s">
        <v>249</v>
      </c>
      <c r="G783" s="115" t="s">
        <v>250</v>
      </c>
      <c r="H783" s="114" t="s">
        <v>251</v>
      </c>
      <c r="I783" s="114" t="s">
        <v>184</v>
      </c>
      <c r="J783" s="186">
        <v>0</v>
      </c>
      <c r="K783" s="187">
        <v>0</v>
      </c>
      <c r="L783" s="187">
        <v>0</v>
      </c>
      <c r="M783" s="187">
        <v>0</v>
      </c>
      <c r="N783" s="187">
        <v>0</v>
      </c>
      <c r="O783" s="187">
        <v>0</v>
      </c>
      <c r="P783" s="188">
        <v>0</v>
      </c>
      <c r="Q783" s="186">
        <v>0</v>
      </c>
      <c r="R783" s="186">
        <v>0</v>
      </c>
      <c r="S783" s="184" t="s">
        <v>59</v>
      </c>
    </row>
    <row r="784" spans="1:19">
      <c r="A784" s="111">
        <v>783</v>
      </c>
      <c r="B784" s="191">
        <v>45158</v>
      </c>
      <c r="C784" s="113">
        <f t="shared" si="6"/>
        <v>2023</v>
      </c>
      <c r="D784" s="114">
        <f t="shared" si="7"/>
        <v>8</v>
      </c>
      <c r="E784" s="114" t="s">
        <v>91</v>
      </c>
      <c r="F784" s="114" t="s">
        <v>178</v>
      </c>
      <c r="G784" s="115" t="s">
        <v>179</v>
      </c>
      <c r="H784" s="114" t="s">
        <v>180</v>
      </c>
      <c r="I784" s="114" t="s">
        <v>173</v>
      </c>
      <c r="J784" s="186">
        <v>2</v>
      </c>
      <c r="K784" s="187">
        <v>48</v>
      </c>
      <c r="L784" s="187">
        <v>21</v>
      </c>
      <c r="M784" s="187">
        <v>2.5</v>
      </c>
      <c r="N784" s="187">
        <v>861</v>
      </c>
      <c r="O784" s="187">
        <v>1227</v>
      </c>
      <c r="P784" s="188">
        <v>1</v>
      </c>
      <c r="Q784" s="189">
        <v>1721</v>
      </c>
      <c r="R784" s="189">
        <v>2453</v>
      </c>
      <c r="S784" s="184" t="s">
        <v>59</v>
      </c>
    </row>
    <row r="785" spans="1:19">
      <c r="A785" s="111">
        <v>784</v>
      </c>
      <c r="B785" s="191">
        <v>45159</v>
      </c>
      <c r="C785" s="113">
        <f t="shared" si="6"/>
        <v>2023</v>
      </c>
      <c r="D785" s="114">
        <f t="shared" si="7"/>
        <v>8</v>
      </c>
      <c r="E785" s="114" t="s">
        <v>23</v>
      </c>
      <c r="F785" s="114" t="s">
        <v>223</v>
      </c>
      <c r="G785" s="115" t="s">
        <v>175</v>
      </c>
      <c r="H785" s="114" t="s">
        <v>176</v>
      </c>
      <c r="I785" s="114" t="s">
        <v>173</v>
      </c>
      <c r="J785" s="186">
        <v>0</v>
      </c>
      <c r="K785" s="187">
        <v>0</v>
      </c>
      <c r="L785" s="187">
        <v>0</v>
      </c>
      <c r="M785" s="187">
        <v>0</v>
      </c>
      <c r="N785" s="187">
        <v>0</v>
      </c>
      <c r="O785" s="187">
        <v>0</v>
      </c>
      <c r="P785" s="188">
        <v>0</v>
      </c>
      <c r="Q785" s="186">
        <v>0</v>
      </c>
      <c r="R785" s="186">
        <v>0</v>
      </c>
      <c r="S785" s="184" t="s">
        <v>59</v>
      </c>
    </row>
    <row r="786" spans="1:19">
      <c r="A786" s="111">
        <v>785</v>
      </c>
      <c r="B786" s="191">
        <v>45160</v>
      </c>
      <c r="C786" s="113">
        <f t="shared" si="6"/>
        <v>2023</v>
      </c>
      <c r="D786" s="114">
        <f t="shared" si="7"/>
        <v>8</v>
      </c>
      <c r="E786" s="114" t="s">
        <v>23</v>
      </c>
      <c r="F786" s="114" t="s">
        <v>224</v>
      </c>
      <c r="G786" s="115" t="s">
        <v>107</v>
      </c>
      <c r="H786" s="114" t="s">
        <v>107</v>
      </c>
      <c r="I786" s="114" t="s">
        <v>107</v>
      </c>
      <c r="J786" s="186">
        <v>0</v>
      </c>
      <c r="K786" s="187">
        <v>0</v>
      </c>
      <c r="L786" s="187">
        <v>0</v>
      </c>
      <c r="M786" s="187">
        <v>0</v>
      </c>
      <c r="N786" s="187">
        <v>0</v>
      </c>
      <c r="O786" s="187">
        <v>0</v>
      </c>
      <c r="P786" s="188">
        <v>0</v>
      </c>
      <c r="Q786" s="186">
        <v>0</v>
      </c>
      <c r="R786" s="186">
        <v>0</v>
      </c>
      <c r="S786" s="184" t="s">
        <v>59</v>
      </c>
    </row>
    <row r="787" spans="1:19">
      <c r="A787" s="111">
        <v>786</v>
      </c>
      <c r="B787" s="191">
        <v>45161</v>
      </c>
      <c r="C787" s="113">
        <f t="shared" si="6"/>
        <v>2023</v>
      </c>
      <c r="D787" s="114">
        <f t="shared" si="7"/>
        <v>8</v>
      </c>
      <c r="E787" s="114" t="s">
        <v>15</v>
      </c>
      <c r="F787" s="114" t="s">
        <v>225</v>
      </c>
      <c r="G787" s="115" t="s">
        <v>226</v>
      </c>
      <c r="H787" s="114" t="s">
        <v>227</v>
      </c>
      <c r="I787" s="114" t="s">
        <v>173</v>
      </c>
      <c r="J787" s="186">
        <v>0</v>
      </c>
      <c r="K787" s="187">
        <v>0</v>
      </c>
      <c r="L787" s="187">
        <v>0</v>
      </c>
      <c r="M787" s="187">
        <v>0</v>
      </c>
      <c r="N787" s="187">
        <v>0</v>
      </c>
      <c r="O787" s="187">
        <v>0</v>
      </c>
      <c r="P787" s="188">
        <v>0</v>
      </c>
      <c r="Q787" s="186">
        <v>0</v>
      </c>
      <c r="R787" s="186">
        <v>0</v>
      </c>
      <c r="S787" s="184" t="s">
        <v>59</v>
      </c>
    </row>
    <row r="788" spans="1:19">
      <c r="A788" s="111">
        <v>787</v>
      </c>
      <c r="B788" s="191">
        <v>45162</v>
      </c>
      <c r="C788" s="113">
        <f t="shared" si="6"/>
        <v>2023</v>
      </c>
      <c r="D788" s="114">
        <f t="shared" si="7"/>
        <v>8</v>
      </c>
      <c r="E788" s="114" t="s">
        <v>84</v>
      </c>
      <c r="F788" s="114" t="s">
        <v>228</v>
      </c>
      <c r="G788" s="115" t="s">
        <v>229</v>
      </c>
      <c r="H788" s="114" t="s">
        <v>230</v>
      </c>
      <c r="I788" s="114" t="s">
        <v>184</v>
      </c>
      <c r="J788" s="186">
        <v>4</v>
      </c>
      <c r="K788" s="187">
        <v>32</v>
      </c>
      <c r="L788" s="187">
        <v>24</v>
      </c>
      <c r="M788" s="187">
        <v>1.5</v>
      </c>
      <c r="N788" s="187">
        <v>405</v>
      </c>
      <c r="O788" s="187">
        <v>633</v>
      </c>
      <c r="P788" s="188">
        <v>0.75</v>
      </c>
      <c r="Q788" s="189">
        <v>1619</v>
      </c>
      <c r="R788" s="189">
        <v>2531</v>
      </c>
      <c r="S788" s="184" t="s">
        <v>59</v>
      </c>
    </row>
    <row r="789" spans="1:19">
      <c r="A789" s="111">
        <v>788</v>
      </c>
      <c r="B789" s="191">
        <v>45163</v>
      </c>
      <c r="C789" s="113">
        <f t="shared" si="6"/>
        <v>2023</v>
      </c>
      <c r="D789" s="114">
        <f t="shared" si="7"/>
        <v>8</v>
      </c>
      <c r="E789" s="114" t="s">
        <v>84</v>
      </c>
      <c r="F789" s="114" t="s">
        <v>231</v>
      </c>
      <c r="G789" s="115" t="s">
        <v>232</v>
      </c>
      <c r="H789" s="114" t="s">
        <v>233</v>
      </c>
      <c r="I789" s="114" t="s">
        <v>184</v>
      </c>
      <c r="J789" s="186">
        <v>0</v>
      </c>
      <c r="K789" s="187">
        <v>0</v>
      </c>
      <c r="L789" s="187">
        <v>0</v>
      </c>
      <c r="M789" s="187">
        <v>0</v>
      </c>
      <c r="N789" s="187">
        <v>0</v>
      </c>
      <c r="O789" s="187">
        <v>0</v>
      </c>
      <c r="P789" s="188">
        <v>0</v>
      </c>
      <c r="Q789" s="186">
        <v>0</v>
      </c>
      <c r="R789" s="186">
        <v>0</v>
      </c>
      <c r="S789" s="184" t="s">
        <v>59</v>
      </c>
    </row>
    <row r="790" spans="1:19">
      <c r="A790" s="111">
        <v>789</v>
      </c>
      <c r="B790" s="191">
        <v>45164</v>
      </c>
      <c r="C790" s="113">
        <f t="shared" si="6"/>
        <v>2023</v>
      </c>
      <c r="D790" s="114">
        <f t="shared" si="7"/>
        <v>8</v>
      </c>
      <c r="E790" s="114" t="s">
        <v>84</v>
      </c>
      <c r="F790" s="114" t="s">
        <v>249</v>
      </c>
      <c r="G790" s="125" t="s">
        <v>250</v>
      </c>
      <c r="H790" s="185" t="s">
        <v>251</v>
      </c>
      <c r="I790" s="185"/>
      <c r="J790" s="186">
        <v>0</v>
      </c>
      <c r="K790" s="187">
        <v>0</v>
      </c>
      <c r="L790" s="187">
        <v>0</v>
      </c>
      <c r="M790" s="187">
        <v>0</v>
      </c>
      <c r="N790" s="187">
        <v>0</v>
      </c>
      <c r="O790" s="187">
        <v>0</v>
      </c>
      <c r="P790" s="188">
        <v>0</v>
      </c>
      <c r="Q790" s="186">
        <v>0</v>
      </c>
      <c r="R790" s="186">
        <v>0</v>
      </c>
      <c r="S790" s="184" t="s">
        <v>59</v>
      </c>
    </row>
    <row r="791" spans="1:19">
      <c r="A791" s="111">
        <v>790</v>
      </c>
      <c r="B791" s="191">
        <v>45165</v>
      </c>
      <c r="C791" s="113">
        <f t="shared" si="6"/>
        <v>2023</v>
      </c>
      <c r="D791" s="114">
        <f t="shared" si="7"/>
        <v>8</v>
      </c>
      <c r="E791" s="114" t="s">
        <v>22</v>
      </c>
      <c r="F791" s="114" t="s">
        <v>174</v>
      </c>
      <c r="G791" s="115" t="s">
        <v>175</v>
      </c>
      <c r="H791" s="114" t="s">
        <v>176</v>
      </c>
      <c r="I791" s="114" t="s">
        <v>173</v>
      </c>
      <c r="J791" s="186">
        <v>5</v>
      </c>
      <c r="K791" s="187">
        <v>77</v>
      </c>
      <c r="L791" s="187">
        <v>33</v>
      </c>
      <c r="M791" s="187">
        <v>2.5</v>
      </c>
      <c r="N791" s="187">
        <v>1705</v>
      </c>
      <c r="O791" s="187">
        <v>2575</v>
      </c>
      <c r="P791" s="188">
        <v>0.4</v>
      </c>
      <c r="Q791" s="189">
        <v>8526</v>
      </c>
      <c r="R791" s="189">
        <v>12874</v>
      </c>
      <c r="S791" s="184" t="s">
        <v>59</v>
      </c>
    </row>
    <row r="792" spans="1:19">
      <c r="A792" s="111">
        <v>791</v>
      </c>
      <c r="B792" s="191">
        <v>45166</v>
      </c>
      <c r="C792" s="113">
        <f t="shared" si="6"/>
        <v>2023</v>
      </c>
      <c r="D792" s="114">
        <f t="shared" si="7"/>
        <v>8</v>
      </c>
      <c r="E792" s="114" t="s">
        <v>22</v>
      </c>
      <c r="F792" s="114" t="s">
        <v>177</v>
      </c>
      <c r="G792" s="115" t="s">
        <v>175</v>
      </c>
      <c r="H792" s="114" t="s">
        <v>176</v>
      </c>
      <c r="I792" s="114" t="s">
        <v>173</v>
      </c>
      <c r="J792" s="186">
        <v>1</v>
      </c>
      <c r="K792" s="187">
        <v>0</v>
      </c>
      <c r="L792" s="187">
        <v>0</v>
      </c>
      <c r="M792" s="187">
        <v>0</v>
      </c>
      <c r="N792" s="187">
        <v>0</v>
      </c>
      <c r="O792" s="187">
        <v>0</v>
      </c>
      <c r="P792" s="188">
        <v>0</v>
      </c>
      <c r="Q792" s="189">
        <v>1535</v>
      </c>
      <c r="R792" s="189">
        <v>2354</v>
      </c>
      <c r="S792" s="184" t="s">
        <v>59</v>
      </c>
    </row>
    <row r="793" spans="1:19">
      <c r="A793" s="111">
        <v>792</v>
      </c>
      <c r="B793" s="191">
        <v>45167</v>
      </c>
      <c r="C793" s="113">
        <f t="shared" si="6"/>
        <v>2023</v>
      </c>
      <c r="D793" s="114">
        <f t="shared" si="7"/>
        <v>8</v>
      </c>
      <c r="E793" s="114" t="s">
        <v>22</v>
      </c>
      <c r="F793" s="114" t="s">
        <v>223</v>
      </c>
      <c r="G793" s="115" t="s">
        <v>175</v>
      </c>
      <c r="H793" s="114" t="s">
        <v>176</v>
      </c>
      <c r="I793" s="114" t="s">
        <v>173</v>
      </c>
      <c r="J793" s="186">
        <v>0</v>
      </c>
      <c r="K793" s="187">
        <v>0</v>
      </c>
      <c r="L793" s="187">
        <v>0</v>
      </c>
      <c r="M793" s="187">
        <v>0</v>
      </c>
      <c r="N793" s="187">
        <v>0</v>
      </c>
      <c r="O793" s="187">
        <v>0</v>
      </c>
      <c r="P793" s="188">
        <v>0</v>
      </c>
      <c r="Q793" s="186">
        <v>0</v>
      </c>
      <c r="R793" s="186">
        <v>0</v>
      </c>
      <c r="S793" s="184" t="s">
        <v>59</v>
      </c>
    </row>
    <row r="794" spans="1:19">
      <c r="A794" s="111">
        <v>793</v>
      </c>
      <c r="B794" s="191">
        <v>45168</v>
      </c>
      <c r="C794" s="113">
        <f t="shared" si="6"/>
        <v>2023</v>
      </c>
      <c r="D794" s="114">
        <f t="shared" si="7"/>
        <v>8</v>
      </c>
      <c r="E794" s="114" t="s">
        <v>12</v>
      </c>
      <c r="F794" s="114" t="s">
        <v>220</v>
      </c>
      <c r="G794" s="115" t="s">
        <v>221</v>
      </c>
      <c r="H794" s="114" t="s">
        <v>222</v>
      </c>
      <c r="I794" s="114" t="s">
        <v>184</v>
      </c>
      <c r="J794" s="186">
        <v>1</v>
      </c>
      <c r="K794" s="187">
        <v>78</v>
      </c>
      <c r="L794" s="187">
        <v>34</v>
      </c>
      <c r="M794" s="187">
        <v>2.5</v>
      </c>
      <c r="N794" s="187">
        <v>1242</v>
      </c>
      <c r="O794" s="187">
        <v>1756</v>
      </c>
      <c r="P794" s="188">
        <v>0</v>
      </c>
      <c r="Q794" s="189">
        <v>1242</v>
      </c>
      <c r="R794" s="189">
        <v>1756</v>
      </c>
      <c r="S794" s="184" t="s">
        <v>59</v>
      </c>
    </row>
    <row r="795" spans="1:19">
      <c r="A795" s="111">
        <v>794</v>
      </c>
      <c r="B795" s="191">
        <v>45169</v>
      </c>
      <c r="C795" s="113">
        <f t="shared" si="6"/>
        <v>2023</v>
      </c>
      <c r="D795" s="114">
        <f t="shared" si="7"/>
        <v>8</v>
      </c>
      <c r="E795" s="114" t="s">
        <v>12</v>
      </c>
      <c r="F795" s="114" t="s">
        <v>234</v>
      </c>
      <c r="G795" s="115" t="s">
        <v>235</v>
      </c>
      <c r="H795" s="114" t="s">
        <v>236</v>
      </c>
      <c r="I795" s="114" t="s">
        <v>184</v>
      </c>
      <c r="J795" s="186">
        <v>4</v>
      </c>
      <c r="K795" s="187">
        <v>34</v>
      </c>
      <c r="L795" s="187">
        <v>18</v>
      </c>
      <c r="M795" s="187">
        <v>2.1</v>
      </c>
      <c r="N795" s="187">
        <v>802</v>
      </c>
      <c r="O795" s="187">
        <v>1205</v>
      </c>
      <c r="P795" s="188">
        <v>0</v>
      </c>
      <c r="Q795" s="189">
        <v>3206</v>
      </c>
      <c r="R795" s="189">
        <v>4819</v>
      </c>
      <c r="S795" s="184" t="s">
        <v>59</v>
      </c>
    </row>
    <row r="796" spans="1:19">
      <c r="A796" s="111">
        <v>795</v>
      </c>
      <c r="B796" s="191">
        <v>45139</v>
      </c>
      <c r="C796" s="113">
        <f t="shared" si="6"/>
        <v>2023</v>
      </c>
      <c r="D796" s="114">
        <f t="shared" si="7"/>
        <v>8</v>
      </c>
      <c r="E796" s="114" t="s">
        <v>12</v>
      </c>
      <c r="F796" s="114" t="s">
        <v>237</v>
      </c>
      <c r="G796" s="115" t="s">
        <v>199</v>
      </c>
      <c r="H796" s="114" t="s">
        <v>199</v>
      </c>
      <c r="I796" s="114" t="s">
        <v>200</v>
      </c>
      <c r="J796" s="186">
        <v>0</v>
      </c>
      <c r="K796" s="187">
        <v>0</v>
      </c>
      <c r="L796" s="187">
        <v>0</v>
      </c>
      <c r="M796" s="187">
        <v>0</v>
      </c>
      <c r="N796" s="187">
        <v>0</v>
      </c>
      <c r="O796" s="187">
        <v>0</v>
      </c>
      <c r="P796" s="188">
        <v>0</v>
      </c>
      <c r="Q796" s="186">
        <v>0</v>
      </c>
      <c r="R796" s="186">
        <v>0</v>
      </c>
      <c r="S796" s="184" t="s">
        <v>59</v>
      </c>
    </row>
    <row r="797" spans="1:19">
      <c r="A797" s="111">
        <v>796</v>
      </c>
      <c r="B797" s="191">
        <v>45140</v>
      </c>
      <c r="C797" s="113">
        <f t="shared" si="6"/>
        <v>2023</v>
      </c>
      <c r="D797" s="114">
        <f t="shared" si="7"/>
        <v>8</v>
      </c>
      <c r="E797" s="114" t="s">
        <v>12</v>
      </c>
      <c r="F797" s="114" t="s">
        <v>252</v>
      </c>
      <c r="G797" s="115" t="s">
        <v>253</v>
      </c>
      <c r="H797" s="114" t="s">
        <v>254</v>
      </c>
      <c r="I797" s="114" t="s">
        <v>184</v>
      </c>
      <c r="J797" s="186">
        <v>0</v>
      </c>
      <c r="K797" s="187">
        <v>0</v>
      </c>
      <c r="L797" s="187">
        <v>0</v>
      </c>
      <c r="M797" s="187">
        <v>0</v>
      </c>
      <c r="N797" s="187">
        <v>0</v>
      </c>
      <c r="O797" s="187">
        <v>0</v>
      </c>
      <c r="P797" s="188">
        <v>0</v>
      </c>
      <c r="Q797" s="186">
        <v>0</v>
      </c>
      <c r="R797" s="186">
        <v>0</v>
      </c>
      <c r="S797" s="184" t="s">
        <v>59</v>
      </c>
    </row>
    <row r="798" spans="1:19">
      <c r="A798" s="111">
        <v>797</v>
      </c>
      <c r="B798" s="191">
        <v>45141</v>
      </c>
      <c r="C798" s="113">
        <f t="shared" si="6"/>
        <v>2023</v>
      </c>
      <c r="D798" s="114">
        <f t="shared" si="7"/>
        <v>8</v>
      </c>
      <c r="E798" s="114" t="s">
        <v>26</v>
      </c>
      <c r="F798" s="114" t="s">
        <v>238</v>
      </c>
      <c r="G798" s="115" t="s">
        <v>175</v>
      </c>
      <c r="H798" s="114" t="s">
        <v>176</v>
      </c>
      <c r="I798" s="114" t="s">
        <v>173</v>
      </c>
      <c r="J798" s="186">
        <v>0</v>
      </c>
      <c r="K798" s="187">
        <v>0</v>
      </c>
      <c r="L798" s="187">
        <v>0</v>
      </c>
      <c r="M798" s="187">
        <v>0</v>
      </c>
      <c r="N798" s="187">
        <v>0</v>
      </c>
      <c r="O798" s="187">
        <v>0</v>
      </c>
      <c r="P798" s="188">
        <v>0</v>
      </c>
      <c r="Q798" s="186">
        <v>0</v>
      </c>
      <c r="R798" s="186">
        <v>0</v>
      </c>
      <c r="S798" s="184" t="s">
        <v>59</v>
      </c>
    </row>
    <row r="799" spans="1:19">
      <c r="A799" s="111">
        <v>798</v>
      </c>
      <c r="B799" s="191">
        <v>45142</v>
      </c>
      <c r="C799" s="113">
        <f t="shared" si="6"/>
        <v>2023</v>
      </c>
      <c r="D799" s="114">
        <f t="shared" si="7"/>
        <v>8</v>
      </c>
      <c r="E799" s="114" t="s">
        <v>19</v>
      </c>
      <c r="F799" s="114" t="s">
        <v>178</v>
      </c>
      <c r="G799" s="115" t="s">
        <v>179</v>
      </c>
      <c r="H799" s="114" t="s">
        <v>180</v>
      </c>
      <c r="I799" s="114" t="s">
        <v>173</v>
      </c>
      <c r="J799" s="186">
        <v>2</v>
      </c>
      <c r="K799" s="187">
        <v>50</v>
      </c>
      <c r="L799" s="187">
        <v>24</v>
      </c>
      <c r="M799" s="187">
        <v>2.2000000000000002</v>
      </c>
      <c r="N799" s="187">
        <v>812</v>
      </c>
      <c r="O799" s="187">
        <v>1192</v>
      </c>
      <c r="P799" s="188">
        <v>1</v>
      </c>
      <c r="Q799" s="189">
        <v>1624</v>
      </c>
      <c r="R799" s="189">
        <v>2383</v>
      </c>
      <c r="S799" s="184" t="s">
        <v>59</v>
      </c>
    </row>
    <row r="800" spans="1:19">
      <c r="A800" s="111">
        <v>799</v>
      </c>
      <c r="B800" s="191">
        <v>45143</v>
      </c>
      <c r="C800" s="113">
        <f t="shared" si="6"/>
        <v>2023</v>
      </c>
      <c r="D800" s="114">
        <f t="shared" si="7"/>
        <v>8</v>
      </c>
      <c r="E800" s="114" t="s">
        <v>7</v>
      </c>
      <c r="F800" s="114" t="s">
        <v>239</v>
      </c>
      <c r="G800" s="115" t="s">
        <v>240</v>
      </c>
      <c r="H800" s="114" t="s">
        <v>241</v>
      </c>
      <c r="I800" s="114" t="s">
        <v>184</v>
      </c>
      <c r="J800" s="186">
        <v>4</v>
      </c>
      <c r="K800" s="187">
        <v>56</v>
      </c>
      <c r="L800" s="187">
        <v>26</v>
      </c>
      <c r="M800" s="187">
        <v>2.5</v>
      </c>
      <c r="N800" s="187">
        <v>665</v>
      </c>
      <c r="O800" s="187">
        <v>988</v>
      </c>
      <c r="P800" s="188">
        <v>0</v>
      </c>
      <c r="Q800" s="189">
        <v>2659</v>
      </c>
      <c r="R800" s="189">
        <v>3950</v>
      </c>
      <c r="S800" s="184" t="s">
        <v>59</v>
      </c>
    </row>
    <row r="801" spans="1:19">
      <c r="A801" s="111">
        <v>800</v>
      </c>
      <c r="B801" s="191">
        <v>45144</v>
      </c>
      <c r="C801" s="113">
        <f t="shared" si="6"/>
        <v>2023</v>
      </c>
      <c r="D801" s="114">
        <f t="shared" si="7"/>
        <v>8</v>
      </c>
      <c r="E801" s="114" t="s">
        <v>7</v>
      </c>
      <c r="F801" s="114" t="s">
        <v>220</v>
      </c>
      <c r="G801" s="115" t="s">
        <v>221</v>
      </c>
      <c r="H801" s="114" t="s">
        <v>222</v>
      </c>
      <c r="I801" s="114" t="s">
        <v>184</v>
      </c>
      <c r="J801" s="186">
        <v>2</v>
      </c>
      <c r="K801" s="187">
        <v>72</v>
      </c>
      <c r="L801" s="187">
        <v>36</v>
      </c>
      <c r="M801" s="187">
        <v>2.2999999999999998</v>
      </c>
      <c r="N801" s="187">
        <v>792</v>
      </c>
      <c r="O801" s="187">
        <v>1143</v>
      </c>
      <c r="P801" s="188">
        <v>0.5</v>
      </c>
      <c r="Q801" s="189">
        <v>1584</v>
      </c>
      <c r="R801" s="189">
        <v>2286</v>
      </c>
      <c r="S801" s="184" t="s">
        <v>59</v>
      </c>
    </row>
    <row r="802" spans="1:19">
      <c r="A802" s="111">
        <v>801</v>
      </c>
      <c r="B802" s="191">
        <v>45145</v>
      </c>
      <c r="C802" s="113">
        <f t="shared" si="6"/>
        <v>2023</v>
      </c>
      <c r="D802" s="114">
        <f t="shared" si="7"/>
        <v>8</v>
      </c>
      <c r="E802" s="114" t="s">
        <v>7</v>
      </c>
      <c r="F802" s="114" t="s">
        <v>242</v>
      </c>
      <c r="G802" s="115" t="s">
        <v>243</v>
      </c>
      <c r="H802" s="114" t="s">
        <v>244</v>
      </c>
      <c r="I802" s="114" t="s">
        <v>184</v>
      </c>
      <c r="J802" s="186">
        <v>4</v>
      </c>
      <c r="K802" s="187">
        <v>75</v>
      </c>
      <c r="L802" s="187">
        <v>28</v>
      </c>
      <c r="M802" s="187">
        <v>2.9</v>
      </c>
      <c r="N802" s="187">
        <v>1340</v>
      </c>
      <c r="O802" s="187">
        <v>2242</v>
      </c>
      <c r="P802" s="188">
        <v>0</v>
      </c>
      <c r="Q802" s="189">
        <v>5358</v>
      </c>
      <c r="R802" s="189">
        <v>8969</v>
      </c>
      <c r="S802" s="184" t="s">
        <v>59</v>
      </c>
    </row>
    <row r="803" spans="1:19">
      <c r="A803" s="111">
        <v>802</v>
      </c>
      <c r="B803" s="191">
        <v>45146</v>
      </c>
      <c r="C803" s="113">
        <f t="shared" si="6"/>
        <v>2023</v>
      </c>
      <c r="D803" s="114">
        <f t="shared" si="7"/>
        <v>8</v>
      </c>
      <c r="E803" s="114" t="s">
        <v>7</v>
      </c>
      <c r="F803" s="114" t="s">
        <v>255</v>
      </c>
      <c r="G803" s="115" t="s">
        <v>256</v>
      </c>
      <c r="H803" s="114" t="s">
        <v>257</v>
      </c>
      <c r="I803" s="114" t="s">
        <v>173</v>
      </c>
      <c r="J803" s="186">
        <v>3</v>
      </c>
      <c r="K803" s="187">
        <v>100</v>
      </c>
      <c r="L803" s="187">
        <v>38</v>
      </c>
      <c r="M803" s="187">
        <v>2.9</v>
      </c>
      <c r="N803" s="187">
        <v>2089</v>
      </c>
      <c r="O803" s="187">
        <v>3074</v>
      </c>
      <c r="P803" s="188">
        <v>0.33</v>
      </c>
      <c r="Q803" s="189">
        <v>6266</v>
      </c>
      <c r="R803" s="189">
        <v>9221</v>
      </c>
      <c r="S803" s="184" t="s">
        <v>59</v>
      </c>
    </row>
    <row r="804" spans="1:19">
      <c r="A804" s="111">
        <v>803</v>
      </c>
      <c r="B804" s="191">
        <v>45147</v>
      </c>
      <c r="C804" s="113">
        <f t="shared" si="6"/>
        <v>2023</v>
      </c>
      <c r="D804" s="114">
        <f t="shared" si="7"/>
        <v>8</v>
      </c>
      <c r="E804" s="114" t="s">
        <v>7</v>
      </c>
      <c r="F804" s="114" t="s">
        <v>258</v>
      </c>
      <c r="G804" s="115" t="s">
        <v>256</v>
      </c>
      <c r="H804" s="114" t="s">
        <v>257</v>
      </c>
      <c r="I804" s="114" t="s">
        <v>200</v>
      </c>
      <c r="J804" s="186">
        <v>0</v>
      </c>
      <c r="K804" s="187">
        <v>0</v>
      </c>
      <c r="L804" s="187">
        <v>0</v>
      </c>
      <c r="M804" s="187">
        <v>0</v>
      </c>
      <c r="N804" s="187">
        <v>0</v>
      </c>
      <c r="O804" s="187">
        <v>0</v>
      </c>
      <c r="P804" s="188">
        <v>0</v>
      </c>
      <c r="Q804" s="186">
        <v>0</v>
      </c>
      <c r="R804" s="186">
        <v>0</v>
      </c>
      <c r="S804" s="184" t="s">
        <v>59</v>
      </c>
    </row>
    <row r="805" spans="1:19">
      <c r="A805" s="111">
        <v>804</v>
      </c>
      <c r="B805" s="191">
        <v>45148</v>
      </c>
      <c r="C805" s="113">
        <f t="shared" si="6"/>
        <v>2023</v>
      </c>
      <c r="D805" s="114">
        <f t="shared" si="7"/>
        <v>8</v>
      </c>
      <c r="E805" s="114" t="s">
        <v>24</v>
      </c>
      <c r="F805" s="114" t="s">
        <v>259</v>
      </c>
      <c r="G805" s="115" t="s">
        <v>260</v>
      </c>
      <c r="H805" s="114" t="s">
        <v>261</v>
      </c>
      <c r="I805" s="114" t="s">
        <v>184</v>
      </c>
      <c r="J805" s="186">
        <v>2</v>
      </c>
      <c r="K805" s="187">
        <v>9</v>
      </c>
      <c r="L805" s="187">
        <v>23</v>
      </c>
      <c r="M805" s="187">
        <v>0.7</v>
      </c>
      <c r="N805" s="187">
        <v>40</v>
      </c>
      <c r="O805" s="187">
        <v>59</v>
      </c>
      <c r="P805" s="188">
        <v>0</v>
      </c>
      <c r="Q805" s="186">
        <v>80</v>
      </c>
      <c r="R805" s="186">
        <v>117</v>
      </c>
      <c r="S805" s="184" t="s">
        <v>59</v>
      </c>
    </row>
    <row r="806" spans="1:19">
      <c r="A806" s="111">
        <v>805</v>
      </c>
      <c r="B806" s="191">
        <v>45149</v>
      </c>
      <c r="C806" s="113">
        <f t="shared" si="6"/>
        <v>2023</v>
      </c>
      <c r="D806" s="114">
        <f t="shared" si="7"/>
        <v>8</v>
      </c>
      <c r="E806" s="114" t="s">
        <v>24</v>
      </c>
      <c r="F806" s="114" t="s">
        <v>262</v>
      </c>
      <c r="G806" s="115" t="s">
        <v>263</v>
      </c>
      <c r="H806" s="114" t="s">
        <v>264</v>
      </c>
      <c r="I806" s="114" t="s">
        <v>184</v>
      </c>
      <c r="J806" s="186">
        <v>3</v>
      </c>
      <c r="K806" s="187">
        <v>30</v>
      </c>
      <c r="L806" s="187">
        <v>29</v>
      </c>
      <c r="M806" s="187">
        <v>1.5</v>
      </c>
      <c r="N806" s="187">
        <v>133</v>
      </c>
      <c r="O806" s="187">
        <v>225</v>
      </c>
      <c r="P806" s="188">
        <v>1</v>
      </c>
      <c r="Q806" s="186">
        <v>399</v>
      </c>
      <c r="R806" s="186">
        <v>674</v>
      </c>
      <c r="S806" s="184" t="s">
        <v>59</v>
      </c>
    </row>
    <row r="807" spans="1:19">
      <c r="A807" s="111">
        <v>806</v>
      </c>
      <c r="B807" s="191">
        <v>45150</v>
      </c>
      <c r="C807" s="113">
        <f t="shared" si="6"/>
        <v>2023</v>
      </c>
      <c r="D807" s="114">
        <f t="shared" si="7"/>
        <v>8</v>
      </c>
      <c r="E807" s="114" t="s">
        <v>28</v>
      </c>
      <c r="F807" s="114" t="s">
        <v>265</v>
      </c>
      <c r="G807" s="115" t="s">
        <v>266</v>
      </c>
      <c r="H807" s="114" t="s">
        <v>267</v>
      </c>
      <c r="I807" s="114" t="s">
        <v>184</v>
      </c>
      <c r="J807" s="186">
        <v>1</v>
      </c>
      <c r="K807" s="187">
        <v>20</v>
      </c>
      <c r="L807" s="187">
        <v>25</v>
      </c>
      <c r="M807" s="187">
        <v>0.9</v>
      </c>
      <c r="N807" s="187">
        <v>247</v>
      </c>
      <c r="O807" s="187">
        <v>274</v>
      </c>
      <c r="P807" s="188">
        <v>1</v>
      </c>
      <c r="Q807" s="186">
        <v>247</v>
      </c>
      <c r="R807" s="186">
        <v>274</v>
      </c>
      <c r="S807" s="184" t="s">
        <v>59</v>
      </c>
    </row>
    <row r="808" spans="1:19">
      <c r="A808" s="111">
        <v>807</v>
      </c>
      <c r="B808" s="191">
        <v>45151</v>
      </c>
      <c r="C808" s="113">
        <f t="shared" si="6"/>
        <v>2023</v>
      </c>
      <c r="D808" s="114">
        <f t="shared" si="7"/>
        <v>8</v>
      </c>
      <c r="E808" s="114" t="s">
        <v>93</v>
      </c>
      <c r="F808" s="114" t="s">
        <v>265</v>
      </c>
      <c r="G808" s="115" t="s">
        <v>266</v>
      </c>
      <c r="H808" s="114" t="s">
        <v>267</v>
      </c>
      <c r="I808" s="114" t="s">
        <v>184</v>
      </c>
      <c r="J808" s="186">
        <v>2</v>
      </c>
      <c r="K808" s="187">
        <v>18</v>
      </c>
      <c r="L808" s="187">
        <v>29</v>
      </c>
      <c r="M808" s="187">
        <v>1</v>
      </c>
      <c r="N808" s="187">
        <v>116</v>
      </c>
      <c r="O808" s="187">
        <v>139</v>
      </c>
      <c r="P808" s="188">
        <v>1</v>
      </c>
      <c r="Q808" s="186">
        <v>231</v>
      </c>
      <c r="R808" s="186">
        <v>277</v>
      </c>
      <c r="S808" s="184" t="s">
        <v>59</v>
      </c>
    </row>
    <row r="809" spans="1:19">
      <c r="A809" s="111">
        <v>808</v>
      </c>
      <c r="B809" s="191">
        <v>45152</v>
      </c>
      <c r="C809" s="113">
        <f t="shared" si="6"/>
        <v>2023</v>
      </c>
      <c r="D809" s="114">
        <f t="shared" si="7"/>
        <v>8</v>
      </c>
      <c r="E809" s="114" t="s">
        <v>10</v>
      </c>
      <c r="F809" s="114" t="s">
        <v>268</v>
      </c>
      <c r="G809" s="115" t="s">
        <v>269</v>
      </c>
      <c r="H809" s="114" t="s">
        <v>270</v>
      </c>
      <c r="I809" s="114" t="s">
        <v>184</v>
      </c>
      <c r="J809" s="186">
        <v>4</v>
      </c>
      <c r="K809" s="187">
        <v>76</v>
      </c>
      <c r="L809" s="187">
        <v>31</v>
      </c>
      <c r="M809" s="187">
        <v>2.7</v>
      </c>
      <c r="N809" s="187">
        <v>1255</v>
      </c>
      <c r="O809" s="187">
        <v>1910</v>
      </c>
      <c r="P809" s="188">
        <v>0.75</v>
      </c>
      <c r="Q809" s="186">
        <v>5020</v>
      </c>
      <c r="R809" s="186">
        <v>7639</v>
      </c>
      <c r="S809" s="184" t="s">
        <v>59</v>
      </c>
    </row>
    <row r="810" spans="1:19">
      <c r="A810" s="111">
        <v>809</v>
      </c>
      <c r="B810" s="191">
        <v>45153</v>
      </c>
      <c r="C810" s="113">
        <f t="shared" si="6"/>
        <v>2023</v>
      </c>
      <c r="D810" s="114">
        <f t="shared" si="7"/>
        <v>8</v>
      </c>
      <c r="E810" s="114" t="s">
        <v>32</v>
      </c>
      <c r="F810" s="114" t="s">
        <v>249</v>
      </c>
      <c r="G810" s="115" t="s">
        <v>250</v>
      </c>
      <c r="H810" s="114" t="s">
        <v>251</v>
      </c>
      <c r="I810" s="114" t="s">
        <v>184</v>
      </c>
      <c r="J810" s="186">
        <v>0</v>
      </c>
      <c r="K810" s="187">
        <v>0</v>
      </c>
      <c r="L810" s="187">
        <v>0</v>
      </c>
      <c r="M810" s="187">
        <v>0</v>
      </c>
      <c r="N810" s="187">
        <v>0</v>
      </c>
      <c r="O810" s="187">
        <v>0</v>
      </c>
      <c r="P810" s="188">
        <v>0</v>
      </c>
      <c r="Q810" s="186">
        <v>0</v>
      </c>
      <c r="R810" s="186">
        <v>0</v>
      </c>
      <c r="S810" s="184" t="s">
        <v>59</v>
      </c>
    </row>
    <row r="811" spans="1:19">
      <c r="A811" s="111">
        <v>810</v>
      </c>
      <c r="B811" s="191">
        <v>45154</v>
      </c>
      <c r="C811" s="113">
        <f t="shared" si="6"/>
        <v>2023</v>
      </c>
      <c r="D811" s="114">
        <f t="shared" si="7"/>
        <v>8</v>
      </c>
      <c r="E811" s="114" t="s">
        <v>79</v>
      </c>
      <c r="F811" s="114" t="s">
        <v>255</v>
      </c>
      <c r="G811" s="115" t="s">
        <v>256</v>
      </c>
      <c r="H811" s="114" t="s">
        <v>257</v>
      </c>
      <c r="I811" s="114" t="s">
        <v>173</v>
      </c>
      <c r="J811" s="186">
        <v>0</v>
      </c>
      <c r="K811" s="187">
        <v>0</v>
      </c>
      <c r="L811" s="187">
        <v>0</v>
      </c>
      <c r="M811" s="187">
        <v>0</v>
      </c>
      <c r="N811" s="187">
        <v>0</v>
      </c>
      <c r="O811" s="187">
        <v>0</v>
      </c>
      <c r="P811" s="188">
        <v>0</v>
      </c>
      <c r="Q811" s="186">
        <v>0</v>
      </c>
      <c r="R811" s="186">
        <v>0</v>
      </c>
      <c r="S811" s="184" t="s">
        <v>59</v>
      </c>
    </row>
    <row r="812" spans="1:19">
      <c r="A812" s="111">
        <v>811</v>
      </c>
      <c r="B812" s="191">
        <v>45155</v>
      </c>
      <c r="C812" s="113">
        <f t="shared" si="6"/>
        <v>2023</v>
      </c>
      <c r="D812" s="114">
        <f t="shared" si="7"/>
        <v>8</v>
      </c>
      <c r="E812" s="114" t="s">
        <v>101</v>
      </c>
      <c r="F812" s="114" t="s">
        <v>249</v>
      </c>
      <c r="G812" s="115" t="s">
        <v>250</v>
      </c>
      <c r="H812" s="114" t="s">
        <v>251</v>
      </c>
      <c r="I812" s="114" t="s">
        <v>184</v>
      </c>
      <c r="J812" s="186">
        <v>0</v>
      </c>
      <c r="K812" s="187">
        <v>0</v>
      </c>
      <c r="L812" s="187">
        <v>0</v>
      </c>
      <c r="M812" s="187">
        <v>0</v>
      </c>
      <c r="N812" s="187">
        <v>0</v>
      </c>
      <c r="O812" s="187">
        <v>0</v>
      </c>
      <c r="P812" s="188">
        <v>0</v>
      </c>
      <c r="Q812" s="186">
        <v>0</v>
      </c>
      <c r="R812" s="186">
        <v>0</v>
      </c>
      <c r="S812" s="184" t="s">
        <v>59</v>
      </c>
    </row>
    <row r="813" spans="1:19">
      <c r="A813" s="111">
        <v>812</v>
      </c>
      <c r="B813" s="191">
        <v>45156</v>
      </c>
      <c r="C813" s="113">
        <f t="shared" si="6"/>
        <v>2023</v>
      </c>
      <c r="D813" s="114">
        <f t="shared" si="7"/>
        <v>8</v>
      </c>
      <c r="E813" s="114" t="s">
        <v>116</v>
      </c>
      <c r="F813" s="114" t="s">
        <v>271</v>
      </c>
      <c r="G813" s="185"/>
      <c r="H813" s="185"/>
      <c r="I813" s="185"/>
      <c r="J813" s="186">
        <v>0</v>
      </c>
      <c r="K813" s="187">
        <v>0</v>
      </c>
      <c r="L813" s="187">
        <v>0</v>
      </c>
      <c r="M813" s="187">
        <v>0</v>
      </c>
      <c r="N813" s="187">
        <v>0</v>
      </c>
      <c r="O813" s="187">
        <v>0</v>
      </c>
      <c r="P813" s="188">
        <v>0</v>
      </c>
      <c r="Q813" s="186">
        <v>0</v>
      </c>
      <c r="R813" s="186">
        <v>0</v>
      </c>
      <c r="S813" s="184" t="s">
        <v>59</v>
      </c>
    </row>
    <row r="814" spans="1:19">
      <c r="A814" s="111">
        <v>813</v>
      </c>
      <c r="B814" s="191">
        <v>45170</v>
      </c>
      <c r="C814" s="113">
        <f t="shared" si="6"/>
        <v>2023</v>
      </c>
      <c r="D814" s="114">
        <f t="shared" si="7"/>
        <v>9</v>
      </c>
      <c r="E814" s="114" t="s">
        <v>79</v>
      </c>
      <c r="F814" s="114" t="s">
        <v>170</v>
      </c>
      <c r="G814" s="115" t="s">
        <v>171</v>
      </c>
      <c r="H814" s="114" t="s">
        <v>172</v>
      </c>
      <c r="I814" s="114" t="s">
        <v>173</v>
      </c>
      <c r="J814" s="186">
        <v>2</v>
      </c>
      <c r="K814" s="187">
        <v>76</v>
      </c>
      <c r="L814" s="187">
        <v>27</v>
      </c>
      <c r="M814" s="187">
        <v>3</v>
      </c>
      <c r="N814" s="187">
        <v>2068</v>
      </c>
      <c r="O814" s="187">
        <v>3010</v>
      </c>
      <c r="P814" s="188">
        <v>0.5</v>
      </c>
      <c r="Q814" s="189">
        <v>4136</v>
      </c>
      <c r="R814" s="189">
        <v>6019</v>
      </c>
      <c r="S814" s="184" t="s">
        <v>59</v>
      </c>
    </row>
    <row r="815" spans="1:19">
      <c r="A815" s="111">
        <v>814</v>
      </c>
      <c r="B815" s="191">
        <v>45171</v>
      </c>
      <c r="C815" s="113">
        <f t="shared" si="6"/>
        <v>2023</v>
      </c>
      <c r="D815" s="114">
        <f t="shared" si="7"/>
        <v>9</v>
      </c>
      <c r="E815" s="114" t="s">
        <v>79</v>
      </c>
      <c r="F815" s="114" t="s">
        <v>174</v>
      </c>
      <c r="G815" s="115" t="s">
        <v>175</v>
      </c>
      <c r="H815" s="114" t="s">
        <v>176</v>
      </c>
      <c r="I815" s="114" t="s">
        <v>173</v>
      </c>
      <c r="J815" s="186">
        <v>0</v>
      </c>
      <c r="K815" s="187">
        <v>0</v>
      </c>
      <c r="L815" s="187">
        <v>0</v>
      </c>
      <c r="M815" s="187">
        <v>0</v>
      </c>
      <c r="N815" s="187">
        <v>0</v>
      </c>
      <c r="O815" s="187">
        <v>0</v>
      </c>
      <c r="P815" s="188">
        <v>0</v>
      </c>
      <c r="Q815" s="186">
        <v>0</v>
      </c>
      <c r="R815" s="186">
        <v>0</v>
      </c>
      <c r="S815" s="184" t="s">
        <v>59</v>
      </c>
    </row>
    <row r="816" spans="1:19">
      <c r="A816" s="111">
        <v>815</v>
      </c>
      <c r="B816" s="191">
        <v>45172</v>
      </c>
      <c r="C816" s="113">
        <f t="shared" si="6"/>
        <v>2023</v>
      </c>
      <c r="D816" s="114">
        <f t="shared" si="7"/>
        <v>9</v>
      </c>
      <c r="E816" s="114" t="s">
        <v>79</v>
      </c>
      <c r="F816" s="114" t="s">
        <v>177</v>
      </c>
      <c r="G816" s="115" t="s">
        <v>175</v>
      </c>
      <c r="H816" s="114" t="s">
        <v>176</v>
      </c>
      <c r="I816" s="114" t="s">
        <v>173</v>
      </c>
      <c r="J816" s="186">
        <v>0</v>
      </c>
      <c r="K816" s="187">
        <v>0</v>
      </c>
      <c r="L816" s="187">
        <v>0</v>
      </c>
      <c r="M816" s="187">
        <v>0</v>
      </c>
      <c r="N816" s="187">
        <v>0</v>
      </c>
      <c r="O816" s="187">
        <v>0</v>
      </c>
      <c r="P816" s="188">
        <v>0</v>
      </c>
      <c r="Q816" s="186">
        <v>0</v>
      </c>
      <c r="R816" s="186">
        <v>0</v>
      </c>
      <c r="S816" s="184" t="s">
        <v>59</v>
      </c>
    </row>
    <row r="817" spans="1:19">
      <c r="A817" s="111">
        <v>816</v>
      </c>
      <c r="B817" s="191">
        <v>45173</v>
      </c>
      <c r="C817" s="113">
        <f t="shared" si="6"/>
        <v>2023</v>
      </c>
      <c r="D817" s="114">
        <f t="shared" si="7"/>
        <v>9</v>
      </c>
      <c r="E817" s="114" t="s">
        <v>20</v>
      </c>
      <c r="F817" s="114" t="s">
        <v>178</v>
      </c>
      <c r="G817" s="115" t="s">
        <v>179</v>
      </c>
      <c r="H817" s="114" t="s">
        <v>180</v>
      </c>
      <c r="I817" s="114" t="s">
        <v>173</v>
      </c>
      <c r="J817" s="186">
        <v>2</v>
      </c>
      <c r="K817" s="187">
        <v>51</v>
      </c>
      <c r="L817" s="187">
        <v>22</v>
      </c>
      <c r="M817" s="187">
        <v>2.5</v>
      </c>
      <c r="N817" s="187">
        <v>990</v>
      </c>
      <c r="O817" s="187">
        <v>1454</v>
      </c>
      <c r="P817" s="188">
        <v>0.5</v>
      </c>
      <c r="Q817" s="189">
        <v>1980</v>
      </c>
      <c r="R817" s="189">
        <v>2908</v>
      </c>
      <c r="S817" s="184" t="s">
        <v>59</v>
      </c>
    </row>
    <row r="818" spans="1:19">
      <c r="A818" s="111">
        <v>817</v>
      </c>
      <c r="B818" s="191">
        <v>45174</v>
      </c>
      <c r="C818" s="113">
        <f t="shared" si="6"/>
        <v>2023</v>
      </c>
      <c r="D818" s="114">
        <f t="shared" si="7"/>
        <v>9</v>
      </c>
      <c r="E818" s="114" t="s">
        <v>8</v>
      </c>
      <c r="F818" s="114" t="s">
        <v>181</v>
      </c>
      <c r="G818" s="115" t="s">
        <v>182</v>
      </c>
      <c r="H818" s="114" t="s">
        <v>183</v>
      </c>
      <c r="I818" s="114" t="s">
        <v>184</v>
      </c>
      <c r="J818" s="186">
        <v>4</v>
      </c>
      <c r="K818" s="187">
        <v>61</v>
      </c>
      <c r="L818" s="187">
        <v>31</v>
      </c>
      <c r="M818" s="187">
        <v>2.4</v>
      </c>
      <c r="N818" s="187">
        <v>617</v>
      </c>
      <c r="O818" s="187">
        <v>973</v>
      </c>
      <c r="P818" s="188">
        <v>1</v>
      </c>
      <c r="Q818" s="189">
        <v>2467</v>
      </c>
      <c r="R818" s="189">
        <v>3892</v>
      </c>
      <c r="S818" s="184" t="s">
        <v>59</v>
      </c>
    </row>
    <row r="819" spans="1:19">
      <c r="A819" s="111">
        <v>818</v>
      </c>
      <c r="B819" s="191">
        <v>45175</v>
      </c>
      <c r="C819" s="113">
        <f t="shared" si="6"/>
        <v>2023</v>
      </c>
      <c r="D819" s="114">
        <f t="shared" si="7"/>
        <v>9</v>
      </c>
      <c r="E819" s="114" t="s">
        <v>8</v>
      </c>
      <c r="F819" s="114" t="s">
        <v>185</v>
      </c>
      <c r="G819" s="115" t="s">
        <v>186</v>
      </c>
      <c r="H819" s="114" t="s">
        <v>187</v>
      </c>
      <c r="I819" s="114" t="s">
        <v>184</v>
      </c>
      <c r="J819" s="186">
        <v>4</v>
      </c>
      <c r="K819" s="187">
        <v>60</v>
      </c>
      <c r="L819" s="187">
        <v>30</v>
      </c>
      <c r="M819" s="187">
        <v>2.2000000000000002</v>
      </c>
      <c r="N819" s="187">
        <v>729</v>
      </c>
      <c r="O819" s="187">
        <v>1160</v>
      </c>
      <c r="P819" s="188">
        <v>0.25</v>
      </c>
      <c r="Q819" s="189">
        <v>2917</v>
      </c>
      <c r="R819" s="189">
        <v>4641</v>
      </c>
      <c r="S819" s="184" t="s">
        <v>59</v>
      </c>
    </row>
    <row r="820" spans="1:19">
      <c r="A820" s="111">
        <v>819</v>
      </c>
      <c r="B820" s="191">
        <v>45176</v>
      </c>
      <c r="C820" s="113">
        <f t="shared" si="6"/>
        <v>2023</v>
      </c>
      <c r="D820" s="114">
        <f t="shared" si="7"/>
        <v>9</v>
      </c>
      <c r="E820" s="114" t="s">
        <v>8</v>
      </c>
      <c r="F820" s="114" t="s">
        <v>188</v>
      </c>
      <c r="G820" s="115" t="s">
        <v>189</v>
      </c>
      <c r="H820" s="114" t="s">
        <v>190</v>
      </c>
      <c r="I820" s="114" t="s">
        <v>184</v>
      </c>
      <c r="J820" s="186">
        <v>4</v>
      </c>
      <c r="K820" s="187">
        <v>47</v>
      </c>
      <c r="L820" s="187">
        <v>24</v>
      </c>
      <c r="M820" s="187">
        <v>2.2999999999999998</v>
      </c>
      <c r="N820" s="187">
        <v>649</v>
      </c>
      <c r="O820" s="187">
        <v>1055</v>
      </c>
      <c r="P820" s="188">
        <v>0.25</v>
      </c>
      <c r="Q820" s="189">
        <v>2596</v>
      </c>
      <c r="R820" s="189">
        <v>4220</v>
      </c>
      <c r="S820" s="184" t="s">
        <v>59</v>
      </c>
    </row>
    <row r="821" spans="1:19">
      <c r="A821" s="111">
        <v>820</v>
      </c>
      <c r="B821" s="191">
        <v>45177</v>
      </c>
      <c r="C821" s="113">
        <f t="shared" si="6"/>
        <v>2023</v>
      </c>
      <c r="D821" s="114">
        <f t="shared" si="7"/>
        <v>9</v>
      </c>
      <c r="E821" s="114" t="s">
        <v>8</v>
      </c>
      <c r="F821" s="114" t="s">
        <v>191</v>
      </c>
      <c r="G821" s="115" t="s">
        <v>192</v>
      </c>
      <c r="H821" s="114" t="s">
        <v>193</v>
      </c>
      <c r="I821" s="114" t="s">
        <v>173</v>
      </c>
      <c r="J821" s="186">
        <v>1</v>
      </c>
      <c r="K821" s="187">
        <v>49</v>
      </c>
      <c r="L821" s="187">
        <v>24</v>
      </c>
      <c r="M821" s="187">
        <v>2.2999999999999998</v>
      </c>
      <c r="N821" s="187">
        <v>553</v>
      </c>
      <c r="O821" s="187">
        <v>785</v>
      </c>
      <c r="P821" s="188">
        <v>1</v>
      </c>
      <c r="Q821" s="186">
        <v>553</v>
      </c>
      <c r="R821" s="186">
        <v>785</v>
      </c>
      <c r="S821" s="184" t="s">
        <v>59</v>
      </c>
    </row>
    <row r="822" spans="1:19">
      <c r="A822" s="111">
        <v>821</v>
      </c>
      <c r="B822" s="191">
        <v>45178</v>
      </c>
      <c r="C822" s="113">
        <f t="shared" si="6"/>
        <v>2023</v>
      </c>
      <c r="D822" s="114">
        <f t="shared" si="7"/>
        <v>9</v>
      </c>
      <c r="E822" s="114" t="s">
        <v>8</v>
      </c>
      <c r="F822" s="114" t="s">
        <v>245</v>
      </c>
      <c r="G822" s="115" t="s">
        <v>246</v>
      </c>
      <c r="H822" s="114" t="s">
        <v>247</v>
      </c>
      <c r="I822" s="114" t="s">
        <v>184</v>
      </c>
      <c r="J822" s="186">
        <v>3</v>
      </c>
      <c r="K822" s="187">
        <v>42</v>
      </c>
      <c r="L822" s="187">
        <v>26</v>
      </c>
      <c r="M822" s="187">
        <v>2</v>
      </c>
      <c r="N822" s="187">
        <v>1733</v>
      </c>
      <c r="O822" s="187">
        <v>2548</v>
      </c>
      <c r="P822" s="188">
        <v>0</v>
      </c>
      <c r="Q822" s="189">
        <v>1733</v>
      </c>
      <c r="R822" s="189">
        <v>2548</v>
      </c>
      <c r="S822" s="184" t="s">
        <v>59</v>
      </c>
    </row>
    <row r="823" spans="1:19">
      <c r="A823" s="111">
        <v>822</v>
      </c>
      <c r="B823" s="191">
        <v>45179</v>
      </c>
      <c r="C823" s="113">
        <f t="shared" si="6"/>
        <v>2023</v>
      </c>
      <c r="D823" s="114">
        <f t="shared" si="7"/>
        <v>9</v>
      </c>
      <c r="E823" s="114" t="s">
        <v>88</v>
      </c>
      <c r="F823" s="114" t="s">
        <v>195</v>
      </c>
      <c r="G823" s="115" t="s">
        <v>196</v>
      </c>
      <c r="H823" s="114" t="s">
        <v>197</v>
      </c>
      <c r="I823" s="114" t="s">
        <v>184</v>
      </c>
      <c r="J823" s="186">
        <v>2</v>
      </c>
      <c r="K823" s="187">
        <v>37</v>
      </c>
      <c r="L823" s="187">
        <v>18</v>
      </c>
      <c r="M823" s="187">
        <v>2.2000000000000002</v>
      </c>
      <c r="N823" s="187">
        <v>653</v>
      </c>
      <c r="O823" s="187">
        <v>991</v>
      </c>
      <c r="P823" s="188">
        <v>0</v>
      </c>
      <c r="Q823" s="189">
        <v>1306</v>
      </c>
      <c r="R823" s="189">
        <v>1982</v>
      </c>
      <c r="S823" s="184" t="s">
        <v>59</v>
      </c>
    </row>
    <row r="824" spans="1:19">
      <c r="A824" s="111">
        <v>823</v>
      </c>
      <c r="B824" s="191">
        <v>45180</v>
      </c>
      <c r="C824" s="113">
        <f t="shared" si="6"/>
        <v>2023</v>
      </c>
      <c r="D824" s="114">
        <f t="shared" si="7"/>
        <v>9</v>
      </c>
      <c r="E824" s="114" t="s">
        <v>104</v>
      </c>
      <c r="F824" s="114" t="s">
        <v>198</v>
      </c>
      <c r="G824" s="115" t="s">
        <v>199</v>
      </c>
      <c r="H824" s="114" t="s">
        <v>199</v>
      </c>
      <c r="I824" s="114" t="s">
        <v>200</v>
      </c>
      <c r="J824" s="186">
        <v>0</v>
      </c>
      <c r="K824" s="187">
        <v>0</v>
      </c>
      <c r="L824" s="187">
        <v>0</v>
      </c>
      <c r="M824" s="187">
        <v>0</v>
      </c>
      <c r="N824" s="187">
        <v>0</v>
      </c>
      <c r="O824" s="187">
        <v>0</v>
      </c>
      <c r="P824" s="188">
        <v>0</v>
      </c>
      <c r="Q824" s="186">
        <v>0</v>
      </c>
      <c r="R824" s="186">
        <v>0</v>
      </c>
      <c r="S824" s="184" t="s">
        <v>59</v>
      </c>
    </row>
    <row r="825" spans="1:19">
      <c r="A825" s="111">
        <v>824</v>
      </c>
      <c r="B825" s="191">
        <v>45181</v>
      </c>
      <c r="C825" s="113">
        <f t="shared" si="6"/>
        <v>2023</v>
      </c>
      <c r="D825" s="114">
        <f t="shared" si="7"/>
        <v>9</v>
      </c>
      <c r="E825" s="114" t="s">
        <v>93</v>
      </c>
      <c r="F825" s="114" t="s">
        <v>248</v>
      </c>
      <c r="G825" s="115" t="s">
        <v>199</v>
      </c>
      <c r="H825" s="114" t="s">
        <v>199</v>
      </c>
      <c r="I825" s="114" t="s">
        <v>200</v>
      </c>
      <c r="J825" s="186">
        <v>1</v>
      </c>
      <c r="K825" s="187">
        <v>32</v>
      </c>
      <c r="L825" s="187">
        <v>26</v>
      </c>
      <c r="M825" s="187">
        <v>2</v>
      </c>
      <c r="N825" s="187">
        <v>269</v>
      </c>
      <c r="O825" s="187">
        <v>326</v>
      </c>
      <c r="P825" s="190" t="e">
        <v>#DIV/0!</v>
      </c>
      <c r="Q825" s="186">
        <v>0</v>
      </c>
      <c r="R825" s="186">
        <v>0</v>
      </c>
      <c r="S825" s="184" t="s">
        <v>59</v>
      </c>
    </row>
    <row r="826" spans="1:19">
      <c r="A826" s="111">
        <v>825</v>
      </c>
      <c r="B826" s="191">
        <v>45182</v>
      </c>
      <c r="C826" s="113">
        <f t="shared" si="6"/>
        <v>2023</v>
      </c>
      <c r="D826" s="114">
        <f t="shared" si="7"/>
        <v>9</v>
      </c>
      <c r="E826" s="114" t="s">
        <v>30</v>
      </c>
      <c r="F826" s="114" t="s">
        <v>205</v>
      </c>
      <c r="G826" s="115" t="s">
        <v>206</v>
      </c>
      <c r="H826" s="114" t="s">
        <v>207</v>
      </c>
      <c r="I826" s="114" t="s">
        <v>184</v>
      </c>
      <c r="J826" s="186">
        <v>0</v>
      </c>
      <c r="K826" s="187">
        <v>0</v>
      </c>
      <c r="L826" s="187">
        <v>0</v>
      </c>
      <c r="M826" s="187">
        <v>0</v>
      </c>
      <c r="N826" s="187">
        <v>0</v>
      </c>
      <c r="O826" s="187">
        <v>0</v>
      </c>
      <c r="P826" s="188">
        <v>0</v>
      </c>
      <c r="Q826" s="186">
        <v>0</v>
      </c>
      <c r="R826" s="186">
        <v>0</v>
      </c>
      <c r="S826" s="184" t="s">
        <v>59</v>
      </c>
    </row>
    <row r="827" spans="1:19">
      <c r="A827" s="111">
        <v>826</v>
      </c>
      <c r="B827" s="191">
        <v>45183</v>
      </c>
      <c r="C827" s="113">
        <f t="shared" si="6"/>
        <v>2023</v>
      </c>
      <c r="D827" s="114">
        <f t="shared" si="7"/>
        <v>9</v>
      </c>
      <c r="E827" s="114" t="s">
        <v>10</v>
      </c>
      <c r="F827" s="114" t="s">
        <v>208</v>
      </c>
      <c r="G827" s="115" t="s">
        <v>209</v>
      </c>
      <c r="H827" s="114" t="s">
        <v>210</v>
      </c>
      <c r="I827" s="114" t="s">
        <v>173</v>
      </c>
      <c r="J827" s="186">
        <v>0</v>
      </c>
      <c r="K827" s="187">
        <v>0</v>
      </c>
      <c r="L827" s="187">
        <v>0</v>
      </c>
      <c r="M827" s="187">
        <v>0</v>
      </c>
      <c r="N827" s="187">
        <v>0</v>
      </c>
      <c r="O827" s="187">
        <v>0</v>
      </c>
      <c r="P827" s="188">
        <v>0</v>
      </c>
      <c r="Q827" s="186">
        <v>0</v>
      </c>
      <c r="R827" s="186">
        <v>0</v>
      </c>
      <c r="S827" s="184" t="s">
        <v>59</v>
      </c>
    </row>
    <row r="828" spans="1:19">
      <c r="A828" s="111">
        <v>827</v>
      </c>
      <c r="B828" s="191">
        <v>45184</v>
      </c>
      <c r="C828" s="113">
        <f t="shared" si="6"/>
        <v>2023</v>
      </c>
      <c r="D828" s="114">
        <f t="shared" si="7"/>
        <v>9</v>
      </c>
      <c r="E828" s="114" t="s">
        <v>10</v>
      </c>
      <c r="F828" s="114" t="s">
        <v>211</v>
      </c>
      <c r="G828" s="115" t="s">
        <v>212</v>
      </c>
      <c r="H828" s="114" t="s">
        <v>213</v>
      </c>
      <c r="I828" s="114" t="s">
        <v>173</v>
      </c>
      <c r="J828" s="186">
        <v>0</v>
      </c>
      <c r="K828" s="187">
        <v>0</v>
      </c>
      <c r="L828" s="187">
        <v>0</v>
      </c>
      <c r="M828" s="187">
        <v>0</v>
      </c>
      <c r="N828" s="187">
        <v>0</v>
      </c>
      <c r="O828" s="187">
        <v>0</v>
      </c>
      <c r="P828" s="188">
        <v>0</v>
      </c>
      <c r="Q828" s="186">
        <v>0</v>
      </c>
      <c r="R828" s="186">
        <v>0</v>
      </c>
      <c r="S828" s="184" t="s">
        <v>59</v>
      </c>
    </row>
    <row r="829" spans="1:19">
      <c r="A829" s="111">
        <v>828</v>
      </c>
      <c r="B829" s="191">
        <v>45185</v>
      </c>
      <c r="C829" s="113">
        <f t="shared" si="6"/>
        <v>2023</v>
      </c>
      <c r="D829" s="114">
        <f t="shared" si="7"/>
        <v>9</v>
      </c>
      <c r="E829" s="114" t="s">
        <v>10</v>
      </c>
      <c r="F829" s="114" t="s">
        <v>214</v>
      </c>
      <c r="G829" s="115" t="s">
        <v>215</v>
      </c>
      <c r="H829" s="114" t="s">
        <v>216</v>
      </c>
      <c r="I829" s="114" t="s">
        <v>184</v>
      </c>
      <c r="J829" s="186">
        <v>5</v>
      </c>
      <c r="K829" s="187">
        <v>72</v>
      </c>
      <c r="L829" s="187">
        <v>35</v>
      </c>
      <c r="M829" s="187">
        <v>2.4</v>
      </c>
      <c r="N829" s="187">
        <v>1152</v>
      </c>
      <c r="O829" s="187">
        <v>1650</v>
      </c>
      <c r="P829" s="188">
        <v>1</v>
      </c>
      <c r="Q829" s="189">
        <v>5759</v>
      </c>
      <c r="R829" s="189">
        <v>8251</v>
      </c>
      <c r="S829" s="184" t="s">
        <v>59</v>
      </c>
    </row>
    <row r="830" spans="1:19">
      <c r="A830" s="111">
        <v>829</v>
      </c>
      <c r="B830" s="191">
        <v>45186</v>
      </c>
      <c r="C830" s="113">
        <f t="shared" si="6"/>
        <v>2023</v>
      </c>
      <c r="D830" s="114">
        <f t="shared" si="7"/>
        <v>9</v>
      </c>
      <c r="E830" s="114" t="s">
        <v>9</v>
      </c>
      <c r="F830" s="114" t="s">
        <v>217</v>
      </c>
      <c r="G830" s="115" t="s">
        <v>218</v>
      </c>
      <c r="H830" s="114" t="s">
        <v>219</v>
      </c>
      <c r="I830" s="114" t="s">
        <v>184</v>
      </c>
      <c r="J830" s="186">
        <v>4</v>
      </c>
      <c r="K830" s="187">
        <v>87</v>
      </c>
      <c r="L830" s="187">
        <v>29</v>
      </c>
      <c r="M830" s="187">
        <v>3.2</v>
      </c>
      <c r="N830" s="187">
        <v>2736</v>
      </c>
      <c r="O830" s="187">
        <v>4469</v>
      </c>
      <c r="P830" s="188">
        <v>0.5</v>
      </c>
      <c r="Q830" s="189">
        <v>10944</v>
      </c>
      <c r="R830" s="189">
        <v>17875</v>
      </c>
      <c r="S830" s="184" t="s">
        <v>59</v>
      </c>
    </row>
    <row r="831" spans="1:19">
      <c r="A831" s="111">
        <v>830</v>
      </c>
      <c r="B831" s="191">
        <v>45187</v>
      </c>
      <c r="C831" s="113">
        <f t="shared" si="6"/>
        <v>2023</v>
      </c>
      <c r="D831" s="114">
        <f t="shared" si="7"/>
        <v>9</v>
      </c>
      <c r="E831" s="114" t="s">
        <v>11</v>
      </c>
      <c r="F831" s="114" t="s">
        <v>220</v>
      </c>
      <c r="G831" s="115" t="s">
        <v>221</v>
      </c>
      <c r="H831" s="114" t="s">
        <v>222</v>
      </c>
      <c r="I831" s="114" t="s">
        <v>184</v>
      </c>
      <c r="J831" s="186">
        <v>1</v>
      </c>
      <c r="K831" s="187">
        <v>77</v>
      </c>
      <c r="L831" s="187">
        <v>39</v>
      </c>
      <c r="M831" s="187">
        <v>2.2999999999999998</v>
      </c>
      <c r="N831" s="187">
        <v>783</v>
      </c>
      <c r="O831" s="187">
        <v>1123</v>
      </c>
      <c r="P831" s="188">
        <v>0</v>
      </c>
      <c r="Q831" s="186">
        <v>783</v>
      </c>
      <c r="R831" s="189">
        <v>1123</v>
      </c>
      <c r="S831" s="184" t="s">
        <v>59</v>
      </c>
    </row>
    <row r="832" spans="1:19">
      <c r="A832" s="111">
        <v>831</v>
      </c>
      <c r="B832" s="191">
        <v>45188</v>
      </c>
      <c r="C832" s="113">
        <f t="shared" si="6"/>
        <v>2023</v>
      </c>
      <c r="D832" s="114">
        <f t="shared" si="7"/>
        <v>9</v>
      </c>
      <c r="E832" s="114" t="s">
        <v>11</v>
      </c>
      <c r="F832" s="114" t="s">
        <v>249</v>
      </c>
      <c r="G832" s="115" t="s">
        <v>250</v>
      </c>
      <c r="H832" s="114" t="s">
        <v>251</v>
      </c>
      <c r="I832" s="114" t="s">
        <v>184</v>
      </c>
      <c r="J832" s="186">
        <v>0</v>
      </c>
      <c r="K832" s="187">
        <v>0</v>
      </c>
      <c r="L832" s="187">
        <v>0</v>
      </c>
      <c r="M832" s="187">
        <v>0</v>
      </c>
      <c r="N832" s="187">
        <v>0</v>
      </c>
      <c r="O832" s="187">
        <v>0</v>
      </c>
      <c r="P832" s="188">
        <v>0</v>
      </c>
      <c r="Q832" s="186">
        <v>0</v>
      </c>
      <c r="R832" s="186">
        <v>0</v>
      </c>
      <c r="S832" s="184" t="s">
        <v>59</v>
      </c>
    </row>
    <row r="833" spans="1:19">
      <c r="A833" s="111">
        <v>832</v>
      </c>
      <c r="B833" s="191">
        <v>45189</v>
      </c>
      <c r="C833" s="113">
        <f t="shared" si="6"/>
        <v>2023</v>
      </c>
      <c r="D833" s="114">
        <f t="shared" si="7"/>
        <v>9</v>
      </c>
      <c r="E833" s="114" t="s">
        <v>91</v>
      </c>
      <c r="F833" s="114" t="s">
        <v>178</v>
      </c>
      <c r="G833" s="115" t="s">
        <v>179</v>
      </c>
      <c r="H833" s="114" t="s">
        <v>180</v>
      </c>
      <c r="I833" s="114" t="s">
        <v>173</v>
      </c>
      <c r="J833" s="186">
        <v>1</v>
      </c>
      <c r="K833" s="187">
        <v>67</v>
      </c>
      <c r="L833" s="187">
        <v>34</v>
      </c>
      <c r="M833" s="187">
        <v>2.2000000000000002</v>
      </c>
      <c r="N833" s="187">
        <v>871</v>
      </c>
      <c r="O833" s="187">
        <v>1221</v>
      </c>
      <c r="P833" s="188">
        <v>1</v>
      </c>
      <c r="Q833" s="186">
        <v>871</v>
      </c>
      <c r="R833" s="189">
        <v>1221</v>
      </c>
      <c r="S833" s="184" t="s">
        <v>59</v>
      </c>
    </row>
    <row r="834" spans="1:19">
      <c r="A834" s="111">
        <v>833</v>
      </c>
      <c r="B834" s="191">
        <v>45190</v>
      </c>
      <c r="C834" s="113">
        <f t="shared" si="6"/>
        <v>2023</v>
      </c>
      <c r="D834" s="114">
        <f t="shared" si="7"/>
        <v>9</v>
      </c>
      <c r="E834" s="114" t="s">
        <v>23</v>
      </c>
      <c r="F834" s="114" t="s">
        <v>223</v>
      </c>
      <c r="G834" s="115" t="s">
        <v>175</v>
      </c>
      <c r="H834" s="114" t="s">
        <v>176</v>
      </c>
      <c r="I834" s="114" t="s">
        <v>173</v>
      </c>
      <c r="J834" s="186">
        <v>0</v>
      </c>
      <c r="K834" s="187">
        <v>0</v>
      </c>
      <c r="L834" s="187">
        <v>0</v>
      </c>
      <c r="M834" s="187">
        <v>0</v>
      </c>
      <c r="N834" s="187">
        <v>0</v>
      </c>
      <c r="O834" s="187">
        <v>0</v>
      </c>
      <c r="P834" s="188">
        <v>0</v>
      </c>
      <c r="Q834" s="186">
        <v>0</v>
      </c>
      <c r="R834" s="186">
        <v>0</v>
      </c>
      <c r="S834" s="184" t="s">
        <v>59</v>
      </c>
    </row>
    <row r="835" spans="1:19">
      <c r="A835" s="111">
        <v>834</v>
      </c>
      <c r="B835" s="191">
        <v>45191</v>
      </c>
      <c r="C835" s="113">
        <f t="shared" si="6"/>
        <v>2023</v>
      </c>
      <c r="D835" s="114">
        <f t="shared" si="7"/>
        <v>9</v>
      </c>
      <c r="E835" s="114" t="s">
        <v>23</v>
      </c>
      <c r="F835" s="114" t="s">
        <v>224</v>
      </c>
      <c r="G835" s="115" t="s">
        <v>107</v>
      </c>
      <c r="H835" s="114" t="s">
        <v>107</v>
      </c>
      <c r="I835" s="114" t="s">
        <v>107</v>
      </c>
      <c r="J835" s="186">
        <v>0</v>
      </c>
      <c r="K835" s="187">
        <v>0</v>
      </c>
      <c r="L835" s="187">
        <v>0</v>
      </c>
      <c r="M835" s="187">
        <v>0</v>
      </c>
      <c r="N835" s="187">
        <v>0</v>
      </c>
      <c r="O835" s="187">
        <v>0</v>
      </c>
      <c r="P835" s="188">
        <v>0</v>
      </c>
      <c r="Q835" s="186">
        <v>0</v>
      </c>
      <c r="R835" s="186">
        <v>0</v>
      </c>
      <c r="S835" s="184" t="s">
        <v>59</v>
      </c>
    </row>
    <row r="836" spans="1:19">
      <c r="A836" s="111">
        <v>835</v>
      </c>
      <c r="B836" s="191">
        <v>45192</v>
      </c>
      <c r="C836" s="113">
        <f t="shared" si="6"/>
        <v>2023</v>
      </c>
      <c r="D836" s="114">
        <f t="shared" si="7"/>
        <v>9</v>
      </c>
      <c r="E836" s="114" t="s">
        <v>15</v>
      </c>
      <c r="F836" s="114" t="s">
        <v>225</v>
      </c>
      <c r="G836" s="115" t="s">
        <v>226</v>
      </c>
      <c r="H836" s="114" t="s">
        <v>227</v>
      </c>
      <c r="I836" s="114" t="s">
        <v>173</v>
      </c>
      <c r="J836" s="186">
        <v>0</v>
      </c>
      <c r="K836" s="187">
        <v>0</v>
      </c>
      <c r="L836" s="187">
        <v>0</v>
      </c>
      <c r="M836" s="187">
        <v>0</v>
      </c>
      <c r="N836" s="187">
        <v>0</v>
      </c>
      <c r="O836" s="187">
        <v>0</v>
      </c>
      <c r="P836" s="188">
        <v>0</v>
      </c>
      <c r="Q836" s="186">
        <v>0</v>
      </c>
      <c r="R836" s="186">
        <v>0</v>
      </c>
      <c r="S836" s="184" t="s">
        <v>59</v>
      </c>
    </row>
    <row r="837" spans="1:19">
      <c r="A837" s="111">
        <v>836</v>
      </c>
      <c r="B837" s="191">
        <v>45193</v>
      </c>
      <c r="C837" s="113">
        <f t="shared" si="6"/>
        <v>2023</v>
      </c>
      <c r="D837" s="114">
        <f t="shared" si="7"/>
        <v>9</v>
      </c>
      <c r="E837" s="114" t="s">
        <v>84</v>
      </c>
      <c r="F837" s="114" t="s">
        <v>228</v>
      </c>
      <c r="G837" s="115" t="s">
        <v>229</v>
      </c>
      <c r="H837" s="114" t="s">
        <v>230</v>
      </c>
      <c r="I837" s="114" t="s">
        <v>184</v>
      </c>
      <c r="J837" s="186">
        <v>5</v>
      </c>
      <c r="K837" s="187">
        <v>36</v>
      </c>
      <c r="L837" s="187">
        <v>23</v>
      </c>
      <c r="M837" s="187">
        <v>1.8</v>
      </c>
      <c r="N837" s="187">
        <v>447</v>
      </c>
      <c r="O837" s="187">
        <v>687</v>
      </c>
      <c r="P837" s="188">
        <v>0.6</v>
      </c>
      <c r="Q837" s="189">
        <v>2236</v>
      </c>
      <c r="R837" s="189">
        <v>3434</v>
      </c>
      <c r="S837" s="184" t="s">
        <v>59</v>
      </c>
    </row>
    <row r="838" spans="1:19">
      <c r="A838" s="111">
        <v>837</v>
      </c>
      <c r="B838" s="191">
        <v>45194</v>
      </c>
      <c r="C838" s="113">
        <f t="shared" si="6"/>
        <v>2023</v>
      </c>
      <c r="D838" s="114">
        <f t="shared" si="7"/>
        <v>9</v>
      </c>
      <c r="E838" s="114" t="s">
        <v>84</v>
      </c>
      <c r="F838" s="114" t="s">
        <v>231</v>
      </c>
      <c r="G838" s="115" t="s">
        <v>232</v>
      </c>
      <c r="H838" s="114" t="s">
        <v>233</v>
      </c>
      <c r="I838" s="114" t="s">
        <v>184</v>
      </c>
      <c r="J838" s="186">
        <v>0</v>
      </c>
      <c r="K838" s="187">
        <v>0</v>
      </c>
      <c r="L838" s="187">
        <v>0</v>
      </c>
      <c r="M838" s="187">
        <v>0</v>
      </c>
      <c r="N838" s="187">
        <v>0</v>
      </c>
      <c r="O838" s="187">
        <v>0</v>
      </c>
      <c r="P838" s="188">
        <v>0</v>
      </c>
      <c r="Q838" s="186">
        <v>0</v>
      </c>
      <c r="R838" s="186">
        <v>0</v>
      </c>
      <c r="S838" s="184" t="s">
        <v>59</v>
      </c>
    </row>
    <row r="839" spans="1:19">
      <c r="A839" s="111">
        <v>838</v>
      </c>
      <c r="B839" s="191">
        <v>45195</v>
      </c>
      <c r="C839" s="113">
        <f t="shared" si="6"/>
        <v>2023</v>
      </c>
      <c r="D839" s="114">
        <f t="shared" si="7"/>
        <v>9</v>
      </c>
      <c r="E839" s="114" t="s">
        <v>84</v>
      </c>
      <c r="F839" s="114" t="s">
        <v>249</v>
      </c>
      <c r="G839" s="125" t="s">
        <v>250</v>
      </c>
      <c r="H839" s="185" t="s">
        <v>251</v>
      </c>
      <c r="I839" s="185"/>
      <c r="J839" s="186">
        <v>0</v>
      </c>
      <c r="K839" s="187">
        <v>0</v>
      </c>
      <c r="L839" s="187">
        <v>0</v>
      </c>
      <c r="M839" s="187">
        <v>0</v>
      </c>
      <c r="N839" s="187">
        <v>0</v>
      </c>
      <c r="O839" s="187">
        <v>0</v>
      </c>
      <c r="P839" s="188">
        <v>0</v>
      </c>
      <c r="Q839" s="186">
        <v>0</v>
      </c>
      <c r="R839" s="186">
        <v>0</v>
      </c>
      <c r="S839" s="184" t="s">
        <v>59</v>
      </c>
    </row>
    <row r="840" spans="1:19">
      <c r="A840" s="111">
        <v>839</v>
      </c>
      <c r="B840" s="191">
        <v>45196</v>
      </c>
      <c r="C840" s="113">
        <f t="shared" si="6"/>
        <v>2023</v>
      </c>
      <c r="D840" s="114">
        <f t="shared" si="7"/>
        <v>9</v>
      </c>
      <c r="E840" s="114" t="s">
        <v>22</v>
      </c>
      <c r="F840" s="114" t="s">
        <v>174</v>
      </c>
      <c r="G840" s="115" t="s">
        <v>175</v>
      </c>
      <c r="H840" s="114" t="s">
        <v>176</v>
      </c>
      <c r="I840" s="114" t="s">
        <v>173</v>
      </c>
      <c r="J840" s="186">
        <v>4</v>
      </c>
      <c r="K840" s="187">
        <v>79</v>
      </c>
      <c r="L840" s="187">
        <v>29</v>
      </c>
      <c r="M840" s="187">
        <v>2.8</v>
      </c>
      <c r="N840" s="187">
        <v>1875</v>
      </c>
      <c r="O840" s="187">
        <v>2771</v>
      </c>
      <c r="P840" s="188">
        <v>0.5</v>
      </c>
      <c r="Q840" s="189">
        <v>7498</v>
      </c>
      <c r="R840" s="189">
        <v>11083</v>
      </c>
      <c r="S840" s="184" t="s">
        <v>59</v>
      </c>
    </row>
    <row r="841" spans="1:19">
      <c r="A841" s="111">
        <v>840</v>
      </c>
      <c r="B841" s="191">
        <v>45197</v>
      </c>
      <c r="C841" s="113">
        <f t="shared" si="6"/>
        <v>2023</v>
      </c>
      <c r="D841" s="114">
        <f t="shared" si="7"/>
        <v>9</v>
      </c>
      <c r="E841" s="114" t="s">
        <v>22</v>
      </c>
      <c r="F841" s="114" t="s">
        <v>177</v>
      </c>
      <c r="G841" s="115" t="s">
        <v>175</v>
      </c>
      <c r="H841" s="114" t="s">
        <v>176</v>
      </c>
      <c r="I841" s="114" t="s">
        <v>173</v>
      </c>
      <c r="J841" s="186">
        <v>4</v>
      </c>
      <c r="K841" s="187">
        <v>0</v>
      </c>
      <c r="L841" s="187">
        <v>0</v>
      </c>
      <c r="M841" s="187">
        <v>0</v>
      </c>
      <c r="N841" s="187">
        <v>0</v>
      </c>
      <c r="O841" s="187">
        <v>0</v>
      </c>
      <c r="P841" s="188">
        <v>0</v>
      </c>
      <c r="Q841" s="189">
        <v>6558</v>
      </c>
      <c r="R841" s="189">
        <v>9454</v>
      </c>
      <c r="S841" s="184" t="s">
        <v>59</v>
      </c>
    </row>
    <row r="842" spans="1:19">
      <c r="A842" s="111">
        <v>841</v>
      </c>
      <c r="B842" s="191">
        <v>45198</v>
      </c>
      <c r="C842" s="113">
        <f t="shared" si="6"/>
        <v>2023</v>
      </c>
      <c r="D842" s="114">
        <f t="shared" si="7"/>
        <v>9</v>
      </c>
      <c r="E842" s="114" t="s">
        <v>22</v>
      </c>
      <c r="F842" s="114" t="s">
        <v>223</v>
      </c>
      <c r="G842" s="115" t="s">
        <v>175</v>
      </c>
      <c r="H842" s="114" t="s">
        <v>176</v>
      </c>
      <c r="I842" s="114" t="s">
        <v>173</v>
      </c>
      <c r="J842" s="186">
        <v>0</v>
      </c>
      <c r="K842" s="187">
        <v>0</v>
      </c>
      <c r="L842" s="187">
        <v>0</v>
      </c>
      <c r="M842" s="187">
        <v>0</v>
      </c>
      <c r="N842" s="187">
        <v>0</v>
      </c>
      <c r="O842" s="187">
        <v>0</v>
      </c>
      <c r="P842" s="188">
        <v>0</v>
      </c>
      <c r="Q842" s="186">
        <v>0</v>
      </c>
      <c r="R842" s="186">
        <v>0</v>
      </c>
      <c r="S842" s="184" t="s">
        <v>59</v>
      </c>
    </row>
    <row r="843" spans="1:19">
      <c r="A843" s="111">
        <v>842</v>
      </c>
      <c r="B843" s="191">
        <v>45199</v>
      </c>
      <c r="C843" s="113">
        <f t="shared" si="6"/>
        <v>2023</v>
      </c>
      <c r="D843" s="114">
        <f t="shared" si="7"/>
        <v>9</v>
      </c>
      <c r="E843" s="114" t="s">
        <v>12</v>
      </c>
      <c r="F843" s="114" t="s">
        <v>220</v>
      </c>
      <c r="G843" s="115" t="s">
        <v>221</v>
      </c>
      <c r="H843" s="114" t="s">
        <v>222</v>
      </c>
      <c r="I843" s="114" t="s">
        <v>184</v>
      </c>
      <c r="J843" s="186">
        <v>2</v>
      </c>
      <c r="K843" s="187">
        <v>51</v>
      </c>
      <c r="L843" s="187">
        <v>24</v>
      </c>
      <c r="M843" s="187">
        <v>2.4</v>
      </c>
      <c r="N843" s="187">
        <v>784</v>
      </c>
      <c r="O843" s="187">
        <v>1218</v>
      </c>
      <c r="P843" s="188">
        <v>1</v>
      </c>
      <c r="Q843" s="189">
        <v>1567</v>
      </c>
      <c r="R843" s="189">
        <v>2435</v>
      </c>
      <c r="S843" s="184" t="s">
        <v>59</v>
      </c>
    </row>
    <row r="844" spans="1:19">
      <c r="A844" s="111">
        <v>843</v>
      </c>
      <c r="B844" s="191">
        <v>45170</v>
      </c>
      <c r="C844" s="113">
        <f t="shared" si="6"/>
        <v>2023</v>
      </c>
      <c r="D844" s="114">
        <f t="shared" si="7"/>
        <v>9</v>
      </c>
      <c r="E844" s="114" t="s">
        <v>12</v>
      </c>
      <c r="F844" s="114" t="s">
        <v>234</v>
      </c>
      <c r="G844" s="115" t="s">
        <v>235</v>
      </c>
      <c r="H844" s="114" t="s">
        <v>236</v>
      </c>
      <c r="I844" s="114" t="s">
        <v>184</v>
      </c>
      <c r="J844" s="186">
        <v>4</v>
      </c>
      <c r="K844" s="187">
        <v>48</v>
      </c>
      <c r="L844" s="187">
        <v>24</v>
      </c>
      <c r="M844" s="187">
        <v>2.2000000000000002</v>
      </c>
      <c r="N844" s="187">
        <v>840</v>
      </c>
      <c r="O844" s="187">
        <v>1295</v>
      </c>
      <c r="P844" s="188">
        <v>0.25</v>
      </c>
      <c r="Q844" s="189">
        <v>3361</v>
      </c>
      <c r="R844" s="189">
        <v>5180</v>
      </c>
      <c r="S844" s="184" t="s">
        <v>59</v>
      </c>
    </row>
    <row r="845" spans="1:19">
      <c r="A845" s="111">
        <v>844</v>
      </c>
      <c r="B845" s="191">
        <v>45171</v>
      </c>
      <c r="C845" s="113">
        <f t="shared" si="6"/>
        <v>2023</v>
      </c>
      <c r="D845" s="114">
        <f t="shared" si="7"/>
        <v>9</v>
      </c>
      <c r="E845" s="114" t="s">
        <v>12</v>
      </c>
      <c r="F845" s="114" t="s">
        <v>237</v>
      </c>
      <c r="G845" s="115" t="s">
        <v>199</v>
      </c>
      <c r="H845" s="114" t="s">
        <v>199</v>
      </c>
      <c r="I845" s="114" t="s">
        <v>200</v>
      </c>
      <c r="J845" s="186">
        <v>0</v>
      </c>
      <c r="K845" s="187">
        <v>0</v>
      </c>
      <c r="L845" s="187">
        <v>0</v>
      </c>
      <c r="M845" s="187">
        <v>0</v>
      </c>
      <c r="N845" s="187">
        <v>0</v>
      </c>
      <c r="O845" s="187">
        <v>0</v>
      </c>
      <c r="P845" s="188">
        <v>0</v>
      </c>
      <c r="Q845" s="186">
        <v>0</v>
      </c>
      <c r="R845" s="186">
        <v>0</v>
      </c>
      <c r="S845" s="184" t="s">
        <v>59</v>
      </c>
    </row>
    <row r="846" spans="1:19">
      <c r="A846" s="111">
        <v>845</v>
      </c>
      <c r="B846" s="191">
        <v>45172</v>
      </c>
      <c r="C846" s="113">
        <f t="shared" si="6"/>
        <v>2023</v>
      </c>
      <c r="D846" s="114">
        <f t="shared" si="7"/>
        <v>9</v>
      </c>
      <c r="E846" s="114" t="s">
        <v>12</v>
      </c>
      <c r="F846" s="114" t="s">
        <v>252</v>
      </c>
      <c r="G846" s="115" t="s">
        <v>253</v>
      </c>
      <c r="H846" s="114" t="s">
        <v>254</v>
      </c>
      <c r="I846" s="114" t="s">
        <v>184</v>
      </c>
      <c r="J846" s="186">
        <v>0</v>
      </c>
      <c r="K846" s="187">
        <v>0</v>
      </c>
      <c r="L846" s="187">
        <v>0</v>
      </c>
      <c r="M846" s="187">
        <v>0</v>
      </c>
      <c r="N846" s="187">
        <v>0</v>
      </c>
      <c r="O846" s="187">
        <v>0</v>
      </c>
      <c r="P846" s="188">
        <v>0</v>
      </c>
      <c r="Q846" s="186">
        <v>0</v>
      </c>
      <c r="R846" s="186">
        <v>0</v>
      </c>
      <c r="S846" s="184" t="s">
        <v>59</v>
      </c>
    </row>
    <row r="847" spans="1:19">
      <c r="A847" s="111">
        <v>846</v>
      </c>
      <c r="B847" s="191">
        <v>45173</v>
      </c>
      <c r="C847" s="113">
        <f t="shared" si="6"/>
        <v>2023</v>
      </c>
      <c r="D847" s="114">
        <f t="shared" si="7"/>
        <v>9</v>
      </c>
      <c r="E847" s="114" t="s">
        <v>26</v>
      </c>
      <c r="F847" s="114" t="s">
        <v>238</v>
      </c>
      <c r="G847" s="115" t="s">
        <v>175</v>
      </c>
      <c r="H847" s="114" t="s">
        <v>176</v>
      </c>
      <c r="I847" s="114" t="s">
        <v>173</v>
      </c>
      <c r="J847" s="186">
        <v>0</v>
      </c>
      <c r="K847" s="187">
        <v>0</v>
      </c>
      <c r="L847" s="187">
        <v>0</v>
      </c>
      <c r="M847" s="187">
        <v>0</v>
      </c>
      <c r="N847" s="187">
        <v>0</v>
      </c>
      <c r="O847" s="187">
        <v>0</v>
      </c>
      <c r="P847" s="188">
        <v>0</v>
      </c>
      <c r="Q847" s="186">
        <v>0</v>
      </c>
      <c r="R847" s="186">
        <v>0</v>
      </c>
      <c r="S847" s="184" t="s">
        <v>59</v>
      </c>
    </row>
    <row r="848" spans="1:19">
      <c r="A848" s="111">
        <v>847</v>
      </c>
      <c r="B848" s="191">
        <v>45174</v>
      </c>
      <c r="C848" s="113">
        <f t="shared" si="6"/>
        <v>2023</v>
      </c>
      <c r="D848" s="114">
        <f t="shared" si="7"/>
        <v>9</v>
      </c>
      <c r="E848" s="114" t="s">
        <v>19</v>
      </c>
      <c r="F848" s="114" t="s">
        <v>178</v>
      </c>
      <c r="G848" s="115" t="s">
        <v>179</v>
      </c>
      <c r="H848" s="114" t="s">
        <v>180</v>
      </c>
      <c r="I848" s="114" t="s">
        <v>173</v>
      </c>
      <c r="J848" s="186">
        <v>1</v>
      </c>
      <c r="K848" s="187">
        <v>58</v>
      </c>
      <c r="L848" s="187">
        <v>29</v>
      </c>
      <c r="M848" s="187">
        <v>2.2000000000000002</v>
      </c>
      <c r="N848" s="187">
        <v>812</v>
      </c>
      <c r="O848" s="187">
        <v>1186</v>
      </c>
      <c r="P848" s="188">
        <v>1</v>
      </c>
      <c r="Q848" s="186">
        <v>812</v>
      </c>
      <c r="R848" s="189">
        <v>1186</v>
      </c>
      <c r="S848" s="184" t="s">
        <v>59</v>
      </c>
    </row>
    <row r="849" spans="1:19">
      <c r="A849" s="111">
        <v>848</v>
      </c>
      <c r="B849" s="191">
        <v>45175</v>
      </c>
      <c r="C849" s="113">
        <f t="shared" si="6"/>
        <v>2023</v>
      </c>
      <c r="D849" s="114">
        <f t="shared" si="7"/>
        <v>9</v>
      </c>
      <c r="E849" s="114" t="s">
        <v>7</v>
      </c>
      <c r="F849" s="114" t="s">
        <v>239</v>
      </c>
      <c r="G849" s="115" t="s">
        <v>240</v>
      </c>
      <c r="H849" s="114" t="s">
        <v>241</v>
      </c>
      <c r="I849" s="114" t="s">
        <v>184</v>
      </c>
      <c r="J849" s="186">
        <v>4</v>
      </c>
      <c r="K849" s="187">
        <v>49</v>
      </c>
      <c r="L849" s="187">
        <v>25</v>
      </c>
      <c r="M849" s="187">
        <v>2.2000000000000002</v>
      </c>
      <c r="N849" s="187">
        <v>648</v>
      </c>
      <c r="O849" s="187">
        <v>923</v>
      </c>
      <c r="P849" s="188">
        <v>0.25</v>
      </c>
      <c r="Q849" s="189">
        <v>2591</v>
      </c>
      <c r="R849" s="189">
        <v>3693</v>
      </c>
      <c r="S849" s="184" t="s">
        <v>59</v>
      </c>
    </row>
    <row r="850" spans="1:19">
      <c r="A850" s="111">
        <v>849</v>
      </c>
      <c r="B850" s="191">
        <v>45176</v>
      </c>
      <c r="C850" s="113">
        <f t="shared" si="6"/>
        <v>2023</v>
      </c>
      <c r="D850" s="114">
        <f t="shared" si="7"/>
        <v>9</v>
      </c>
      <c r="E850" s="114" t="s">
        <v>7</v>
      </c>
      <c r="F850" s="114" t="s">
        <v>220</v>
      </c>
      <c r="G850" s="115" t="s">
        <v>221</v>
      </c>
      <c r="H850" s="114" t="s">
        <v>222</v>
      </c>
      <c r="I850" s="114" t="s">
        <v>184</v>
      </c>
      <c r="J850" s="186">
        <v>1</v>
      </c>
      <c r="K850" s="187">
        <v>69</v>
      </c>
      <c r="L850" s="187">
        <v>36</v>
      </c>
      <c r="M850" s="187">
        <v>2.2000000000000002</v>
      </c>
      <c r="N850" s="187">
        <v>868</v>
      </c>
      <c r="O850" s="187">
        <v>1251</v>
      </c>
      <c r="P850" s="188">
        <v>0</v>
      </c>
      <c r="Q850" s="186">
        <v>868</v>
      </c>
      <c r="R850" s="189">
        <v>1251</v>
      </c>
      <c r="S850" s="184" t="s">
        <v>59</v>
      </c>
    </row>
    <row r="851" spans="1:19">
      <c r="A851" s="111">
        <v>850</v>
      </c>
      <c r="B851" s="191">
        <v>45177</v>
      </c>
      <c r="C851" s="113">
        <f t="shared" si="6"/>
        <v>2023</v>
      </c>
      <c r="D851" s="114">
        <f t="shared" si="7"/>
        <v>9</v>
      </c>
      <c r="E851" s="114" t="s">
        <v>7</v>
      </c>
      <c r="F851" s="114" t="s">
        <v>242</v>
      </c>
      <c r="G851" s="115" t="s">
        <v>243</v>
      </c>
      <c r="H851" s="114" t="s">
        <v>244</v>
      </c>
      <c r="I851" s="114" t="s">
        <v>184</v>
      </c>
      <c r="J851" s="186">
        <v>4</v>
      </c>
      <c r="K851" s="187">
        <v>76</v>
      </c>
      <c r="L851" s="187">
        <v>31</v>
      </c>
      <c r="M851" s="187">
        <v>2.8</v>
      </c>
      <c r="N851" s="187">
        <v>1131</v>
      </c>
      <c r="O851" s="187">
        <v>1933</v>
      </c>
      <c r="P851" s="188">
        <v>0</v>
      </c>
      <c r="Q851" s="189">
        <v>4522</v>
      </c>
      <c r="R851" s="189">
        <v>7730</v>
      </c>
      <c r="S851" s="184" t="s">
        <v>59</v>
      </c>
    </row>
    <row r="852" spans="1:19">
      <c r="A852" s="111">
        <v>851</v>
      </c>
      <c r="B852" s="191">
        <v>45178</v>
      </c>
      <c r="C852" s="113">
        <f t="shared" si="6"/>
        <v>2023</v>
      </c>
      <c r="D852" s="114">
        <f t="shared" si="7"/>
        <v>9</v>
      </c>
      <c r="E852" s="114" t="s">
        <v>7</v>
      </c>
      <c r="F852" s="114" t="s">
        <v>255</v>
      </c>
      <c r="G852" s="115" t="s">
        <v>256</v>
      </c>
      <c r="H852" s="114" t="s">
        <v>257</v>
      </c>
      <c r="I852" s="114" t="s">
        <v>173</v>
      </c>
      <c r="J852" s="186">
        <v>2</v>
      </c>
      <c r="K852" s="187">
        <v>104</v>
      </c>
      <c r="L852" s="187">
        <v>35</v>
      </c>
      <c r="M852" s="187">
        <v>3</v>
      </c>
      <c r="N852" s="187">
        <v>2639</v>
      </c>
      <c r="O852" s="187">
        <v>3992</v>
      </c>
      <c r="P852" s="188">
        <v>0</v>
      </c>
      <c r="Q852" s="189">
        <v>5277</v>
      </c>
      <c r="R852" s="189">
        <v>7983</v>
      </c>
      <c r="S852" s="184" t="s">
        <v>59</v>
      </c>
    </row>
    <row r="853" spans="1:19">
      <c r="A853" s="111">
        <v>852</v>
      </c>
      <c r="B853" s="191">
        <v>45179</v>
      </c>
      <c r="C853" s="113">
        <f t="shared" si="6"/>
        <v>2023</v>
      </c>
      <c r="D853" s="114">
        <f t="shared" si="7"/>
        <v>9</v>
      </c>
      <c r="E853" s="114" t="s">
        <v>7</v>
      </c>
      <c r="F853" s="114" t="s">
        <v>258</v>
      </c>
      <c r="G853" s="115" t="s">
        <v>256</v>
      </c>
      <c r="H853" s="114" t="s">
        <v>257</v>
      </c>
      <c r="I853" s="114" t="s">
        <v>200</v>
      </c>
      <c r="J853" s="186">
        <v>0</v>
      </c>
      <c r="K853" s="187">
        <v>0</v>
      </c>
      <c r="L853" s="187">
        <v>0</v>
      </c>
      <c r="M853" s="187">
        <v>0</v>
      </c>
      <c r="N853" s="187">
        <v>0</v>
      </c>
      <c r="O853" s="187">
        <v>0</v>
      </c>
      <c r="P853" s="188">
        <v>0</v>
      </c>
      <c r="Q853" s="186">
        <v>0</v>
      </c>
      <c r="R853" s="186">
        <v>0</v>
      </c>
      <c r="S853" s="184" t="s">
        <v>59</v>
      </c>
    </row>
    <row r="854" spans="1:19">
      <c r="A854" s="111">
        <v>853</v>
      </c>
      <c r="B854" s="191">
        <v>45180</v>
      </c>
      <c r="C854" s="113">
        <f t="shared" si="6"/>
        <v>2023</v>
      </c>
      <c r="D854" s="114">
        <f t="shared" si="7"/>
        <v>9</v>
      </c>
      <c r="E854" s="114" t="s">
        <v>24</v>
      </c>
      <c r="F854" s="114" t="s">
        <v>259</v>
      </c>
      <c r="G854" s="115" t="s">
        <v>260</v>
      </c>
      <c r="H854" s="114" t="s">
        <v>261</v>
      </c>
      <c r="I854" s="114" t="s">
        <v>184</v>
      </c>
      <c r="J854" s="186">
        <v>2</v>
      </c>
      <c r="K854" s="187">
        <v>12</v>
      </c>
      <c r="L854" s="187">
        <v>18</v>
      </c>
      <c r="M854" s="187">
        <v>1.1000000000000001</v>
      </c>
      <c r="N854" s="187">
        <v>43</v>
      </c>
      <c r="O854" s="187">
        <v>58</v>
      </c>
      <c r="P854" s="188">
        <v>0</v>
      </c>
      <c r="Q854" s="186">
        <v>85</v>
      </c>
      <c r="R854" s="186">
        <v>115</v>
      </c>
      <c r="S854" s="184" t="s">
        <v>59</v>
      </c>
    </row>
    <row r="855" spans="1:19">
      <c r="A855" s="111">
        <v>854</v>
      </c>
      <c r="B855" s="191">
        <v>45181</v>
      </c>
      <c r="C855" s="113">
        <f t="shared" si="6"/>
        <v>2023</v>
      </c>
      <c r="D855" s="114">
        <f t="shared" si="7"/>
        <v>9</v>
      </c>
      <c r="E855" s="114" t="s">
        <v>24</v>
      </c>
      <c r="F855" s="114" t="s">
        <v>262</v>
      </c>
      <c r="G855" s="115" t="s">
        <v>263</v>
      </c>
      <c r="H855" s="114" t="s">
        <v>264</v>
      </c>
      <c r="I855" s="114" t="s">
        <v>184</v>
      </c>
      <c r="J855" s="186">
        <v>5</v>
      </c>
      <c r="K855" s="187">
        <v>22</v>
      </c>
      <c r="L855" s="187">
        <v>25</v>
      </c>
      <c r="M855" s="187">
        <v>1.1000000000000001</v>
      </c>
      <c r="N855" s="187">
        <v>110</v>
      </c>
      <c r="O855" s="187">
        <v>185</v>
      </c>
      <c r="P855" s="188">
        <v>0.8</v>
      </c>
      <c r="Q855" s="186">
        <v>550</v>
      </c>
      <c r="R855" s="186">
        <v>923</v>
      </c>
      <c r="S855" s="184" t="s">
        <v>59</v>
      </c>
    </row>
    <row r="856" spans="1:19">
      <c r="A856" s="111">
        <v>855</v>
      </c>
      <c r="B856" s="191">
        <v>45182</v>
      </c>
      <c r="C856" s="113">
        <f t="shared" si="6"/>
        <v>2023</v>
      </c>
      <c r="D856" s="114">
        <f t="shared" si="7"/>
        <v>9</v>
      </c>
      <c r="E856" s="114" t="s">
        <v>28</v>
      </c>
      <c r="F856" s="114" t="s">
        <v>265</v>
      </c>
      <c r="G856" s="115" t="s">
        <v>266</v>
      </c>
      <c r="H856" s="114" t="s">
        <v>267</v>
      </c>
      <c r="I856" s="114" t="s">
        <v>184</v>
      </c>
      <c r="J856" s="186">
        <v>2</v>
      </c>
      <c r="K856" s="187">
        <v>24</v>
      </c>
      <c r="L856" s="187">
        <v>25</v>
      </c>
      <c r="M856" s="187">
        <v>1.2</v>
      </c>
      <c r="N856" s="187">
        <v>165</v>
      </c>
      <c r="O856" s="187">
        <v>215</v>
      </c>
      <c r="P856" s="188">
        <v>0.5</v>
      </c>
      <c r="Q856" s="186">
        <v>329</v>
      </c>
      <c r="R856" s="186">
        <v>430</v>
      </c>
      <c r="S856" s="184" t="s">
        <v>59</v>
      </c>
    </row>
    <row r="857" spans="1:19">
      <c r="A857" s="111">
        <v>856</v>
      </c>
      <c r="B857" s="191">
        <v>45183</v>
      </c>
      <c r="C857" s="113">
        <f t="shared" si="6"/>
        <v>2023</v>
      </c>
      <c r="D857" s="114">
        <f t="shared" si="7"/>
        <v>9</v>
      </c>
      <c r="E857" s="114" t="s">
        <v>93</v>
      </c>
      <c r="F857" s="114" t="s">
        <v>265</v>
      </c>
      <c r="G857" s="115" t="s">
        <v>266</v>
      </c>
      <c r="H857" s="114" t="s">
        <v>267</v>
      </c>
      <c r="I857" s="114" t="s">
        <v>184</v>
      </c>
      <c r="J857" s="186">
        <v>1</v>
      </c>
      <c r="K857" s="187">
        <v>15</v>
      </c>
      <c r="L857" s="187">
        <v>20</v>
      </c>
      <c r="M857" s="187">
        <v>1</v>
      </c>
      <c r="N857" s="187">
        <v>137</v>
      </c>
      <c r="O857" s="187">
        <v>193</v>
      </c>
      <c r="P857" s="188">
        <v>1</v>
      </c>
      <c r="Q857" s="186">
        <v>137</v>
      </c>
      <c r="R857" s="186">
        <v>193</v>
      </c>
      <c r="S857" s="184" t="s">
        <v>59</v>
      </c>
    </row>
    <row r="858" spans="1:19">
      <c r="A858" s="111">
        <v>857</v>
      </c>
      <c r="B858" s="191">
        <v>45184</v>
      </c>
      <c r="C858" s="113">
        <f t="shared" si="6"/>
        <v>2023</v>
      </c>
      <c r="D858" s="114">
        <f t="shared" si="7"/>
        <v>9</v>
      </c>
      <c r="E858" s="114" t="s">
        <v>10</v>
      </c>
      <c r="F858" s="114" t="s">
        <v>268</v>
      </c>
      <c r="G858" s="115" t="s">
        <v>269</v>
      </c>
      <c r="H858" s="114" t="s">
        <v>270</v>
      </c>
      <c r="I858" s="114" t="s">
        <v>184</v>
      </c>
      <c r="J858" s="186">
        <v>5</v>
      </c>
      <c r="K858" s="187">
        <v>65</v>
      </c>
      <c r="L858" s="187">
        <v>26</v>
      </c>
      <c r="M858" s="187">
        <v>2.7</v>
      </c>
      <c r="N858" s="187">
        <v>1282</v>
      </c>
      <c r="O858" s="187">
        <v>1824</v>
      </c>
      <c r="P858" s="188">
        <v>0.4</v>
      </c>
      <c r="Q858" s="186">
        <v>6408</v>
      </c>
      <c r="R858" s="186">
        <v>9122</v>
      </c>
      <c r="S858" s="184" t="s">
        <v>59</v>
      </c>
    </row>
    <row r="859" spans="1:19">
      <c r="A859" s="111">
        <v>858</v>
      </c>
      <c r="B859" s="191">
        <v>45185</v>
      </c>
      <c r="C859" s="113">
        <f t="shared" si="6"/>
        <v>2023</v>
      </c>
      <c r="D859" s="114">
        <f t="shared" si="7"/>
        <v>9</v>
      </c>
      <c r="E859" s="114" t="s">
        <v>32</v>
      </c>
      <c r="F859" s="114" t="s">
        <v>249</v>
      </c>
      <c r="G859" s="115" t="s">
        <v>250</v>
      </c>
      <c r="H859" s="114" t="s">
        <v>251</v>
      </c>
      <c r="I859" s="114" t="s">
        <v>184</v>
      </c>
      <c r="J859" s="186">
        <v>0</v>
      </c>
      <c r="K859" s="187">
        <v>0</v>
      </c>
      <c r="L859" s="187">
        <v>0</v>
      </c>
      <c r="M859" s="187">
        <v>0</v>
      </c>
      <c r="N859" s="187">
        <v>0</v>
      </c>
      <c r="O859" s="187">
        <v>0</v>
      </c>
      <c r="P859" s="188">
        <v>0</v>
      </c>
      <c r="Q859" s="186">
        <v>0</v>
      </c>
      <c r="R859" s="186">
        <v>0</v>
      </c>
      <c r="S859" s="184" t="s">
        <v>59</v>
      </c>
    </row>
    <row r="860" spans="1:19">
      <c r="A860" s="111">
        <v>859</v>
      </c>
      <c r="B860" s="191">
        <v>45186</v>
      </c>
      <c r="C860" s="113">
        <f t="shared" si="6"/>
        <v>2023</v>
      </c>
      <c r="D860" s="114">
        <f t="shared" si="7"/>
        <v>9</v>
      </c>
      <c r="E860" s="114" t="s">
        <v>79</v>
      </c>
      <c r="F860" s="114" t="s">
        <v>255</v>
      </c>
      <c r="G860" s="115" t="s">
        <v>256</v>
      </c>
      <c r="H860" s="114" t="s">
        <v>257</v>
      </c>
      <c r="I860" s="114" t="s">
        <v>173</v>
      </c>
      <c r="J860" s="186">
        <v>0</v>
      </c>
      <c r="K860" s="187">
        <v>0</v>
      </c>
      <c r="L860" s="187">
        <v>0</v>
      </c>
      <c r="M860" s="187">
        <v>0</v>
      </c>
      <c r="N860" s="187">
        <v>0</v>
      </c>
      <c r="O860" s="187">
        <v>0</v>
      </c>
      <c r="P860" s="188">
        <v>0</v>
      </c>
      <c r="Q860" s="186">
        <v>0</v>
      </c>
      <c r="R860" s="186">
        <v>0</v>
      </c>
      <c r="S860" s="184" t="s">
        <v>59</v>
      </c>
    </row>
    <row r="861" spans="1:19">
      <c r="A861" s="111">
        <v>860</v>
      </c>
      <c r="B861" s="191">
        <v>45187</v>
      </c>
      <c r="C861" s="113">
        <f t="shared" si="6"/>
        <v>2023</v>
      </c>
      <c r="D861" s="114">
        <f t="shared" si="7"/>
        <v>9</v>
      </c>
      <c r="E861" s="114" t="s">
        <v>101</v>
      </c>
      <c r="F861" s="114" t="s">
        <v>249</v>
      </c>
      <c r="G861" s="115" t="s">
        <v>250</v>
      </c>
      <c r="H861" s="114" t="s">
        <v>251</v>
      </c>
      <c r="I861" s="114" t="s">
        <v>184</v>
      </c>
      <c r="J861" s="186">
        <v>0</v>
      </c>
      <c r="K861" s="187">
        <v>0</v>
      </c>
      <c r="L861" s="187">
        <v>0</v>
      </c>
      <c r="M861" s="187">
        <v>0</v>
      </c>
      <c r="N861" s="187">
        <v>0</v>
      </c>
      <c r="O861" s="187">
        <v>0</v>
      </c>
      <c r="P861" s="188">
        <v>0</v>
      </c>
      <c r="Q861" s="186">
        <v>0</v>
      </c>
      <c r="R861" s="186">
        <v>0</v>
      </c>
      <c r="S861" s="184" t="s">
        <v>59</v>
      </c>
    </row>
    <row r="862" spans="1:19">
      <c r="A862" s="111">
        <v>861</v>
      </c>
      <c r="B862" s="191">
        <v>45188</v>
      </c>
      <c r="C862" s="113">
        <f t="shared" si="6"/>
        <v>2023</v>
      </c>
      <c r="D862" s="114">
        <f t="shared" si="7"/>
        <v>9</v>
      </c>
      <c r="E862" s="114" t="s">
        <v>116</v>
      </c>
      <c r="F862" s="114" t="s">
        <v>271</v>
      </c>
      <c r="G862" s="185"/>
      <c r="H862" s="185"/>
      <c r="I862" s="185"/>
      <c r="J862" s="186">
        <v>0</v>
      </c>
      <c r="K862" s="187">
        <v>0</v>
      </c>
      <c r="L862" s="187">
        <v>0</v>
      </c>
      <c r="M862" s="187">
        <v>0</v>
      </c>
      <c r="N862" s="187">
        <v>0</v>
      </c>
      <c r="O862" s="187">
        <v>0</v>
      </c>
      <c r="P862" s="188">
        <v>0</v>
      </c>
      <c r="Q862" s="186">
        <v>0</v>
      </c>
      <c r="R862" s="186">
        <v>0</v>
      </c>
      <c r="S862" s="184" t="s">
        <v>59</v>
      </c>
    </row>
    <row r="863" spans="1:19">
      <c r="A863" s="111">
        <v>862</v>
      </c>
      <c r="B863" s="192">
        <v>45200</v>
      </c>
      <c r="C863" s="113">
        <f t="shared" si="6"/>
        <v>2023</v>
      </c>
      <c r="D863" s="114">
        <f t="shared" si="7"/>
        <v>10</v>
      </c>
      <c r="E863" s="114" t="s">
        <v>79</v>
      </c>
      <c r="F863" s="114" t="s">
        <v>170</v>
      </c>
      <c r="G863" s="115" t="s">
        <v>171</v>
      </c>
      <c r="H863" s="114" t="s">
        <v>172</v>
      </c>
      <c r="I863" s="114" t="s">
        <v>173</v>
      </c>
      <c r="J863" s="186">
        <v>0</v>
      </c>
      <c r="K863" s="187">
        <v>0</v>
      </c>
      <c r="L863" s="187">
        <v>0</v>
      </c>
      <c r="M863" s="187">
        <v>0</v>
      </c>
      <c r="N863" s="187">
        <v>0</v>
      </c>
      <c r="O863" s="187">
        <v>0</v>
      </c>
      <c r="P863" s="188">
        <v>0</v>
      </c>
      <c r="Q863" s="186">
        <v>0</v>
      </c>
      <c r="R863" s="186">
        <v>0</v>
      </c>
      <c r="S863" s="184" t="s">
        <v>59</v>
      </c>
    </row>
    <row r="864" spans="1:19">
      <c r="A864" s="111">
        <v>863</v>
      </c>
      <c r="B864" s="192">
        <v>45201</v>
      </c>
      <c r="C864" s="113">
        <f t="shared" si="6"/>
        <v>2023</v>
      </c>
      <c r="D864" s="114">
        <f t="shared" si="7"/>
        <v>10</v>
      </c>
      <c r="E864" s="114" t="s">
        <v>79</v>
      </c>
      <c r="F864" s="114" t="s">
        <v>174</v>
      </c>
      <c r="G864" s="115" t="s">
        <v>175</v>
      </c>
      <c r="H864" s="114" t="s">
        <v>176</v>
      </c>
      <c r="I864" s="114" t="s">
        <v>173</v>
      </c>
      <c r="J864" s="186">
        <v>0</v>
      </c>
      <c r="K864" s="187">
        <v>0</v>
      </c>
      <c r="L864" s="187">
        <v>0</v>
      </c>
      <c r="M864" s="187">
        <v>0</v>
      </c>
      <c r="N864" s="187">
        <v>0</v>
      </c>
      <c r="O864" s="187">
        <v>0</v>
      </c>
      <c r="P864" s="188">
        <v>0</v>
      </c>
      <c r="Q864" s="186">
        <v>0</v>
      </c>
      <c r="R864" s="186">
        <v>0</v>
      </c>
      <c r="S864" s="184" t="s">
        <v>59</v>
      </c>
    </row>
    <row r="865" spans="1:19">
      <c r="A865" s="111">
        <v>864</v>
      </c>
      <c r="B865" s="192">
        <v>45202</v>
      </c>
      <c r="C865" s="113">
        <f t="shared" si="6"/>
        <v>2023</v>
      </c>
      <c r="D865" s="114">
        <f t="shared" si="7"/>
        <v>10</v>
      </c>
      <c r="E865" s="114" t="s">
        <v>79</v>
      </c>
      <c r="F865" s="114" t="s">
        <v>177</v>
      </c>
      <c r="G865" s="115" t="s">
        <v>175</v>
      </c>
      <c r="H865" s="114" t="s">
        <v>176</v>
      </c>
      <c r="I865" s="114" t="s">
        <v>173</v>
      </c>
      <c r="J865" s="186">
        <v>0</v>
      </c>
      <c r="K865" s="187">
        <v>0</v>
      </c>
      <c r="L865" s="187">
        <v>0</v>
      </c>
      <c r="M865" s="187">
        <v>0</v>
      </c>
      <c r="N865" s="187">
        <v>0</v>
      </c>
      <c r="O865" s="187">
        <v>0</v>
      </c>
      <c r="P865" s="188">
        <v>0</v>
      </c>
      <c r="Q865" s="186">
        <v>0</v>
      </c>
      <c r="R865" s="186">
        <v>0</v>
      </c>
      <c r="S865" s="184" t="s">
        <v>59</v>
      </c>
    </row>
    <row r="866" spans="1:19">
      <c r="A866" s="111">
        <v>865</v>
      </c>
      <c r="B866" s="192">
        <v>45203</v>
      </c>
      <c r="C866" s="113">
        <f t="shared" si="6"/>
        <v>2023</v>
      </c>
      <c r="D866" s="114">
        <f t="shared" si="7"/>
        <v>10</v>
      </c>
      <c r="E866" s="114" t="s">
        <v>20</v>
      </c>
      <c r="F866" s="114" t="s">
        <v>178</v>
      </c>
      <c r="G866" s="115" t="s">
        <v>179</v>
      </c>
      <c r="H866" s="114" t="s">
        <v>180</v>
      </c>
      <c r="I866" s="114" t="s">
        <v>173</v>
      </c>
      <c r="J866" s="186">
        <v>1</v>
      </c>
      <c r="K866" s="187">
        <v>59</v>
      </c>
      <c r="L866" s="187">
        <v>31</v>
      </c>
      <c r="M866" s="187">
        <v>2.1</v>
      </c>
      <c r="N866" s="187">
        <v>996</v>
      </c>
      <c r="O866" s="187">
        <v>1431</v>
      </c>
      <c r="P866" s="188">
        <v>0</v>
      </c>
      <c r="Q866" s="186">
        <v>996</v>
      </c>
      <c r="R866" s="189">
        <v>1431</v>
      </c>
      <c r="S866" s="184" t="s">
        <v>59</v>
      </c>
    </row>
    <row r="867" spans="1:19">
      <c r="A867" s="111">
        <v>866</v>
      </c>
      <c r="B867" s="192">
        <v>45204</v>
      </c>
      <c r="C867" s="113">
        <f t="shared" si="6"/>
        <v>2023</v>
      </c>
      <c r="D867" s="114">
        <f t="shared" si="7"/>
        <v>10</v>
      </c>
      <c r="E867" s="114" t="s">
        <v>8</v>
      </c>
      <c r="F867" s="114" t="s">
        <v>181</v>
      </c>
      <c r="G867" s="115" t="s">
        <v>182</v>
      </c>
      <c r="H867" s="114" t="s">
        <v>183</v>
      </c>
      <c r="I867" s="114" t="s">
        <v>184</v>
      </c>
      <c r="J867" s="186">
        <v>4</v>
      </c>
      <c r="K867" s="187">
        <v>27</v>
      </c>
      <c r="L867" s="187">
        <v>45</v>
      </c>
      <c r="M867" s="187">
        <v>2</v>
      </c>
      <c r="N867" s="187">
        <v>571</v>
      </c>
      <c r="O867" s="187">
        <v>853</v>
      </c>
      <c r="P867" s="188">
        <v>0.25</v>
      </c>
      <c r="Q867" s="189">
        <v>2285</v>
      </c>
      <c r="R867" s="189">
        <v>3412</v>
      </c>
      <c r="S867" s="184" t="s">
        <v>59</v>
      </c>
    </row>
    <row r="868" spans="1:19">
      <c r="A868" s="111">
        <v>867</v>
      </c>
      <c r="B868" s="192">
        <v>45205</v>
      </c>
      <c r="C868" s="113">
        <f t="shared" si="6"/>
        <v>2023</v>
      </c>
      <c r="D868" s="114">
        <f t="shared" si="7"/>
        <v>10</v>
      </c>
      <c r="E868" s="114" t="s">
        <v>8</v>
      </c>
      <c r="F868" s="114" t="s">
        <v>185</v>
      </c>
      <c r="G868" s="115" t="s">
        <v>186</v>
      </c>
      <c r="H868" s="114" t="s">
        <v>187</v>
      </c>
      <c r="I868" s="114" t="s">
        <v>184</v>
      </c>
      <c r="J868" s="186">
        <v>5</v>
      </c>
      <c r="K868" s="187">
        <v>66</v>
      </c>
      <c r="L868" s="187">
        <v>29</v>
      </c>
      <c r="M868" s="187">
        <v>2.5</v>
      </c>
      <c r="N868" s="187">
        <v>756</v>
      </c>
      <c r="O868" s="187">
        <v>1160</v>
      </c>
      <c r="P868" s="188">
        <v>0</v>
      </c>
      <c r="Q868" s="189">
        <v>3782</v>
      </c>
      <c r="R868" s="189">
        <v>5802</v>
      </c>
      <c r="S868" s="184" t="s">
        <v>59</v>
      </c>
    </row>
    <row r="869" spans="1:19">
      <c r="A869" s="111">
        <v>868</v>
      </c>
      <c r="B869" s="192">
        <v>45206</v>
      </c>
      <c r="C869" s="113">
        <f t="shared" si="6"/>
        <v>2023</v>
      </c>
      <c r="D869" s="114">
        <f t="shared" si="7"/>
        <v>10</v>
      </c>
      <c r="E869" s="114" t="s">
        <v>8</v>
      </c>
      <c r="F869" s="114" t="s">
        <v>188</v>
      </c>
      <c r="G869" s="115" t="s">
        <v>189</v>
      </c>
      <c r="H869" s="114" t="s">
        <v>190</v>
      </c>
      <c r="I869" s="114" t="s">
        <v>184</v>
      </c>
      <c r="J869" s="186">
        <v>3</v>
      </c>
      <c r="K869" s="187">
        <v>50</v>
      </c>
      <c r="L869" s="187">
        <v>23</v>
      </c>
      <c r="M869" s="187">
        <v>2.4</v>
      </c>
      <c r="N869" s="187">
        <v>768</v>
      </c>
      <c r="O869" s="187">
        <v>1213</v>
      </c>
      <c r="P869" s="188">
        <v>0</v>
      </c>
      <c r="Q869" s="189">
        <v>2305</v>
      </c>
      <c r="R869" s="189">
        <v>3638</v>
      </c>
      <c r="S869" s="184" t="s">
        <v>59</v>
      </c>
    </row>
    <row r="870" spans="1:19">
      <c r="A870" s="111">
        <v>869</v>
      </c>
      <c r="B870" s="192">
        <v>45207</v>
      </c>
      <c r="C870" s="113">
        <f t="shared" si="6"/>
        <v>2023</v>
      </c>
      <c r="D870" s="114">
        <f t="shared" si="7"/>
        <v>10</v>
      </c>
      <c r="E870" s="114" t="s">
        <v>8</v>
      </c>
      <c r="F870" s="114" t="s">
        <v>191</v>
      </c>
      <c r="G870" s="115" t="s">
        <v>192</v>
      </c>
      <c r="H870" s="114" t="s">
        <v>193</v>
      </c>
      <c r="I870" s="114" t="s">
        <v>173</v>
      </c>
      <c r="J870" s="186">
        <v>0</v>
      </c>
      <c r="K870" s="187">
        <v>0</v>
      </c>
      <c r="L870" s="187">
        <v>0</v>
      </c>
      <c r="M870" s="187">
        <v>0</v>
      </c>
      <c r="N870" s="187">
        <v>0</v>
      </c>
      <c r="O870" s="187">
        <v>0</v>
      </c>
      <c r="P870" s="188">
        <v>0</v>
      </c>
      <c r="Q870" s="186">
        <v>0</v>
      </c>
      <c r="R870" s="186">
        <v>0</v>
      </c>
      <c r="S870" s="184" t="s">
        <v>59</v>
      </c>
    </row>
    <row r="871" spans="1:19">
      <c r="A871" s="111">
        <v>870</v>
      </c>
      <c r="B871" s="192">
        <v>45208</v>
      </c>
      <c r="C871" s="113">
        <f t="shared" si="6"/>
        <v>2023</v>
      </c>
      <c r="D871" s="114">
        <f t="shared" si="7"/>
        <v>10</v>
      </c>
      <c r="E871" s="114" t="s">
        <v>8</v>
      </c>
      <c r="F871" s="114" t="s">
        <v>245</v>
      </c>
      <c r="G871" s="115" t="s">
        <v>246</v>
      </c>
      <c r="H871" s="114" t="s">
        <v>247</v>
      </c>
      <c r="I871" s="114" t="s">
        <v>184</v>
      </c>
      <c r="J871" s="186">
        <v>4</v>
      </c>
      <c r="K871" s="187">
        <v>47</v>
      </c>
      <c r="L871" s="187">
        <v>26</v>
      </c>
      <c r="M871" s="187">
        <v>2</v>
      </c>
      <c r="N871" s="187">
        <v>2505</v>
      </c>
      <c r="O871" s="187">
        <v>3534</v>
      </c>
      <c r="P871" s="188">
        <v>0.5</v>
      </c>
      <c r="Q871" s="189">
        <v>2505</v>
      </c>
      <c r="R871" s="189">
        <v>3534</v>
      </c>
      <c r="S871" s="184" t="s">
        <v>59</v>
      </c>
    </row>
    <row r="872" spans="1:19">
      <c r="A872" s="111">
        <v>871</v>
      </c>
      <c r="B872" s="192">
        <v>45209</v>
      </c>
      <c r="C872" s="113">
        <f t="shared" si="6"/>
        <v>2023</v>
      </c>
      <c r="D872" s="114">
        <f t="shared" si="7"/>
        <v>10</v>
      </c>
      <c r="E872" s="114" t="s">
        <v>88</v>
      </c>
      <c r="F872" s="114" t="s">
        <v>195</v>
      </c>
      <c r="G872" s="115" t="s">
        <v>196</v>
      </c>
      <c r="H872" s="114" t="s">
        <v>197</v>
      </c>
      <c r="I872" s="114" t="s">
        <v>184</v>
      </c>
      <c r="J872" s="186">
        <v>4</v>
      </c>
      <c r="K872" s="187">
        <v>41</v>
      </c>
      <c r="L872" s="187">
        <v>23</v>
      </c>
      <c r="M872" s="187">
        <v>2</v>
      </c>
      <c r="N872" s="187">
        <v>505</v>
      </c>
      <c r="O872" s="187">
        <v>738</v>
      </c>
      <c r="P872" s="188">
        <v>0</v>
      </c>
      <c r="Q872" s="189">
        <v>2019</v>
      </c>
      <c r="R872" s="189">
        <v>2953</v>
      </c>
      <c r="S872" s="184" t="s">
        <v>59</v>
      </c>
    </row>
    <row r="873" spans="1:19">
      <c r="A873" s="111">
        <v>872</v>
      </c>
      <c r="B873" s="192">
        <v>45210</v>
      </c>
      <c r="C873" s="113">
        <f t="shared" si="6"/>
        <v>2023</v>
      </c>
      <c r="D873" s="114">
        <f t="shared" si="7"/>
        <v>10</v>
      </c>
      <c r="E873" s="114" t="s">
        <v>104</v>
      </c>
      <c r="F873" s="114" t="s">
        <v>198</v>
      </c>
      <c r="G873" s="115" t="s">
        <v>199</v>
      </c>
      <c r="H873" s="114" t="s">
        <v>199</v>
      </c>
      <c r="I873" s="114" t="s">
        <v>200</v>
      </c>
      <c r="J873" s="186">
        <v>0</v>
      </c>
      <c r="K873" s="187">
        <v>0</v>
      </c>
      <c r="L873" s="187">
        <v>0</v>
      </c>
      <c r="M873" s="187">
        <v>0</v>
      </c>
      <c r="N873" s="187">
        <v>0</v>
      </c>
      <c r="O873" s="187">
        <v>0</v>
      </c>
      <c r="P873" s="188">
        <v>0</v>
      </c>
      <c r="Q873" s="186">
        <v>0</v>
      </c>
      <c r="R873" s="186">
        <v>0</v>
      </c>
      <c r="S873" s="184" t="s">
        <v>59</v>
      </c>
    </row>
    <row r="874" spans="1:19">
      <c r="A874" s="111">
        <v>873</v>
      </c>
      <c r="B874" s="192">
        <v>45211</v>
      </c>
      <c r="C874" s="113">
        <f t="shared" si="6"/>
        <v>2023</v>
      </c>
      <c r="D874" s="114">
        <f t="shared" si="7"/>
        <v>10</v>
      </c>
      <c r="E874" s="114" t="s">
        <v>93</v>
      </c>
      <c r="F874" s="114" t="s">
        <v>248</v>
      </c>
      <c r="G874" s="115" t="s">
        <v>199</v>
      </c>
      <c r="H874" s="114" t="s">
        <v>199</v>
      </c>
      <c r="I874" s="114" t="s">
        <v>200</v>
      </c>
      <c r="J874" s="186">
        <v>1</v>
      </c>
      <c r="K874" s="187">
        <v>32</v>
      </c>
      <c r="L874" s="187">
        <v>26</v>
      </c>
      <c r="M874" s="187">
        <v>2</v>
      </c>
      <c r="N874" s="187">
        <v>269</v>
      </c>
      <c r="O874" s="187">
        <v>326</v>
      </c>
      <c r="P874" s="188">
        <v>0</v>
      </c>
      <c r="Q874" s="186">
        <v>0</v>
      </c>
      <c r="R874" s="186">
        <v>0</v>
      </c>
      <c r="S874" s="184" t="s">
        <v>59</v>
      </c>
    </row>
    <row r="875" spans="1:19">
      <c r="A875" s="111">
        <v>874</v>
      </c>
      <c r="B875" s="192">
        <v>45212</v>
      </c>
      <c r="C875" s="113">
        <f t="shared" si="6"/>
        <v>2023</v>
      </c>
      <c r="D875" s="114">
        <f t="shared" si="7"/>
        <v>10</v>
      </c>
      <c r="E875" s="114" t="s">
        <v>30</v>
      </c>
      <c r="F875" s="114" t="s">
        <v>205</v>
      </c>
      <c r="G875" s="115" t="s">
        <v>206</v>
      </c>
      <c r="H875" s="114" t="s">
        <v>207</v>
      </c>
      <c r="I875" s="114" t="s">
        <v>184</v>
      </c>
      <c r="J875" s="186">
        <v>0</v>
      </c>
      <c r="K875" s="187">
        <v>0</v>
      </c>
      <c r="L875" s="187">
        <v>0</v>
      </c>
      <c r="M875" s="187">
        <v>0</v>
      </c>
      <c r="N875" s="187">
        <v>0</v>
      </c>
      <c r="O875" s="187">
        <v>0</v>
      </c>
      <c r="P875" s="188">
        <v>0</v>
      </c>
      <c r="Q875" s="186">
        <v>0</v>
      </c>
      <c r="R875" s="186">
        <v>0</v>
      </c>
      <c r="S875" s="184" t="s">
        <v>59</v>
      </c>
    </row>
    <row r="876" spans="1:19">
      <c r="A876" s="111">
        <v>875</v>
      </c>
      <c r="B876" s="192">
        <v>45213</v>
      </c>
      <c r="C876" s="113">
        <f t="shared" si="6"/>
        <v>2023</v>
      </c>
      <c r="D876" s="114">
        <f t="shared" si="7"/>
        <v>10</v>
      </c>
      <c r="E876" s="114" t="s">
        <v>10</v>
      </c>
      <c r="F876" s="114" t="s">
        <v>208</v>
      </c>
      <c r="G876" s="115" t="s">
        <v>209</v>
      </c>
      <c r="H876" s="114" t="s">
        <v>210</v>
      </c>
      <c r="I876" s="114" t="s">
        <v>173</v>
      </c>
      <c r="J876" s="186">
        <v>0</v>
      </c>
      <c r="K876" s="187">
        <v>0</v>
      </c>
      <c r="L876" s="187">
        <v>0</v>
      </c>
      <c r="M876" s="187">
        <v>0</v>
      </c>
      <c r="N876" s="187">
        <v>0</v>
      </c>
      <c r="O876" s="187">
        <v>0</v>
      </c>
      <c r="P876" s="188">
        <v>0</v>
      </c>
      <c r="Q876" s="186">
        <v>0</v>
      </c>
      <c r="R876" s="186">
        <v>0</v>
      </c>
      <c r="S876" s="184" t="s">
        <v>59</v>
      </c>
    </row>
    <row r="877" spans="1:19">
      <c r="A877" s="111">
        <v>876</v>
      </c>
      <c r="B877" s="192">
        <v>45214</v>
      </c>
      <c r="C877" s="113">
        <f t="shared" si="6"/>
        <v>2023</v>
      </c>
      <c r="D877" s="114">
        <f t="shared" si="7"/>
        <v>10</v>
      </c>
      <c r="E877" s="114" t="s">
        <v>10</v>
      </c>
      <c r="F877" s="114" t="s">
        <v>211</v>
      </c>
      <c r="G877" s="115" t="s">
        <v>212</v>
      </c>
      <c r="H877" s="114" t="s">
        <v>213</v>
      </c>
      <c r="I877" s="114" t="s">
        <v>173</v>
      </c>
      <c r="J877" s="186">
        <v>0</v>
      </c>
      <c r="K877" s="187">
        <v>0</v>
      </c>
      <c r="L877" s="187">
        <v>0</v>
      </c>
      <c r="M877" s="187">
        <v>0</v>
      </c>
      <c r="N877" s="187">
        <v>0</v>
      </c>
      <c r="O877" s="187">
        <v>0</v>
      </c>
      <c r="P877" s="188">
        <v>0</v>
      </c>
      <c r="Q877" s="186">
        <v>0</v>
      </c>
      <c r="R877" s="186">
        <v>0</v>
      </c>
      <c r="S877" s="184" t="s">
        <v>59</v>
      </c>
    </row>
    <row r="878" spans="1:19">
      <c r="A878" s="111">
        <v>877</v>
      </c>
      <c r="B878" s="192">
        <v>45215</v>
      </c>
      <c r="C878" s="113">
        <f t="shared" si="6"/>
        <v>2023</v>
      </c>
      <c r="D878" s="114">
        <f t="shared" si="7"/>
        <v>10</v>
      </c>
      <c r="E878" s="114" t="s">
        <v>10</v>
      </c>
      <c r="F878" s="114" t="s">
        <v>214</v>
      </c>
      <c r="G878" s="115" t="s">
        <v>215</v>
      </c>
      <c r="H878" s="114" t="s">
        <v>216</v>
      </c>
      <c r="I878" s="114" t="s">
        <v>184</v>
      </c>
      <c r="J878" s="186">
        <v>6</v>
      </c>
      <c r="K878" s="187">
        <v>54</v>
      </c>
      <c r="L878" s="187">
        <v>25</v>
      </c>
      <c r="M878" s="187">
        <v>2.5</v>
      </c>
      <c r="N878" s="187">
        <v>911</v>
      </c>
      <c r="O878" s="187">
        <v>1365</v>
      </c>
      <c r="P878" s="188">
        <v>0.17</v>
      </c>
      <c r="Q878" s="189">
        <v>5465</v>
      </c>
      <c r="R878" s="189">
        <v>8190</v>
      </c>
      <c r="S878" s="184" t="s">
        <v>59</v>
      </c>
    </row>
    <row r="879" spans="1:19">
      <c r="A879" s="111">
        <v>878</v>
      </c>
      <c r="B879" s="192">
        <v>45216</v>
      </c>
      <c r="C879" s="113">
        <f t="shared" si="6"/>
        <v>2023</v>
      </c>
      <c r="D879" s="114">
        <f t="shared" si="7"/>
        <v>10</v>
      </c>
      <c r="E879" s="114" t="s">
        <v>9</v>
      </c>
      <c r="F879" s="114" t="s">
        <v>217</v>
      </c>
      <c r="G879" s="115" t="s">
        <v>218</v>
      </c>
      <c r="H879" s="114" t="s">
        <v>219</v>
      </c>
      <c r="I879" s="114" t="s">
        <v>184</v>
      </c>
      <c r="J879" s="186">
        <v>6</v>
      </c>
      <c r="K879" s="187">
        <v>73</v>
      </c>
      <c r="L879" s="187">
        <v>29</v>
      </c>
      <c r="M879" s="187">
        <v>2.6</v>
      </c>
      <c r="N879" s="187">
        <v>2170</v>
      </c>
      <c r="O879" s="187">
        <v>3582</v>
      </c>
      <c r="P879" s="188">
        <v>0.83</v>
      </c>
      <c r="Q879" s="189">
        <v>13019</v>
      </c>
      <c r="R879" s="189">
        <v>21494</v>
      </c>
      <c r="S879" s="184" t="s">
        <v>59</v>
      </c>
    </row>
    <row r="880" spans="1:19">
      <c r="A880" s="111">
        <v>879</v>
      </c>
      <c r="B880" s="192">
        <v>45217</v>
      </c>
      <c r="C880" s="113">
        <f t="shared" si="6"/>
        <v>2023</v>
      </c>
      <c r="D880" s="114">
        <f t="shared" si="7"/>
        <v>10</v>
      </c>
      <c r="E880" s="114" t="s">
        <v>11</v>
      </c>
      <c r="F880" s="114" t="s">
        <v>220</v>
      </c>
      <c r="G880" s="115" t="s">
        <v>221</v>
      </c>
      <c r="H880" s="114" t="s">
        <v>222</v>
      </c>
      <c r="I880" s="114" t="s">
        <v>184</v>
      </c>
      <c r="J880" s="186">
        <v>0</v>
      </c>
      <c r="K880" s="187">
        <v>0</v>
      </c>
      <c r="L880" s="187">
        <v>0</v>
      </c>
      <c r="M880" s="187">
        <v>0</v>
      </c>
      <c r="N880" s="187">
        <v>0</v>
      </c>
      <c r="O880" s="187">
        <v>0</v>
      </c>
      <c r="P880" s="188">
        <v>0</v>
      </c>
      <c r="Q880" s="186">
        <v>0</v>
      </c>
      <c r="R880" s="186">
        <v>0</v>
      </c>
      <c r="S880" s="184" t="s">
        <v>59</v>
      </c>
    </row>
    <row r="881" spans="1:19">
      <c r="A881" s="111">
        <v>880</v>
      </c>
      <c r="B881" s="192">
        <v>45218</v>
      </c>
      <c r="C881" s="113">
        <f t="shared" si="6"/>
        <v>2023</v>
      </c>
      <c r="D881" s="114">
        <f t="shared" si="7"/>
        <v>10</v>
      </c>
      <c r="E881" s="114" t="s">
        <v>11</v>
      </c>
      <c r="F881" s="114" t="s">
        <v>249</v>
      </c>
      <c r="G881" s="115" t="s">
        <v>250</v>
      </c>
      <c r="H881" s="114" t="s">
        <v>251</v>
      </c>
      <c r="I881" s="114" t="s">
        <v>184</v>
      </c>
      <c r="J881" s="186">
        <v>0</v>
      </c>
      <c r="K881" s="187">
        <v>0</v>
      </c>
      <c r="L881" s="187">
        <v>0</v>
      </c>
      <c r="M881" s="187">
        <v>0</v>
      </c>
      <c r="N881" s="187">
        <v>0</v>
      </c>
      <c r="O881" s="187">
        <v>0</v>
      </c>
      <c r="P881" s="188">
        <v>0</v>
      </c>
      <c r="Q881" s="186">
        <v>0</v>
      </c>
      <c r="R881" s="186">
        <v>0</v>
      </c>
      <c r="S881" s="184" t="s">
        <v>59</v>
      </c>
    </row>
    <row r="882" spans="1:19">
      <c r="A882" s="111">
        <v>881</v>
      </c>
      <c r="B882" s="192">
        <v>45219</v>
      </c>
      <c r="C882" s="113">
        <f t="shared" si="6"/>
        <v>2023</v>
      </c>
      <c r="D882" s="114">
        <f t="shared" si="7"/>
        <v>10</v>
      </c>
      <c r="E882" s="114" t="s">
        <v>91</v>
      </c>
      <c r="F882" s="114" t="s">
        <v>178</v>
      </c>
      <c r="G882" s="115" t="s">
        <v>179</v>
      </c>
      <c r="H882" s="114" t="s">
        <v>180</v>
      </c>
      <c r="I882" s="114" t="s">
        <v>173</v>
      </c>
      <c r="J882" s="186">
        <v>2</v>
      </c>
      <c r="K882" s="187">
        <v>53</v>
      </c>
      <c r="L882" s="187">
        <v>23</v>
      </c>
      <c r="M882" s="187">
        <v>2.6</v>
      </c>
      <c r="N882" s="187">
        <v>872</v>
      </c>
      <c r="O882" s="187">
        <v>1278</v>
      </c>
      <c r="P882" s="188">
        <v>1</v>
      </c>
      <c r="Q882" s="189">
        <v>1744</v>
      </c>
      <c r="R882" s="189">
        <v>2556</v>
      </c>
      <c r="S882" s="184" t="s">
        <v>59</v>
      </c>
    </row>
    <row r="883" spans="1:19">
      <c r="A883" s="111">
        <v>882</v>
      </c>
      <c r="B883" s="192">
        <v>45220</v>
      </c>
      <c r="C883" s="113">
        <f t="shared" si="6"/>
        <v>2023</v>
      </c>
      <c r="D883" s="114">
        <f t="shared" si="7"/>
        <v>10</v>
      </c>
      <c r="E883" s="114" t="s">
        <v>23</v>
      </c>
      <c r="F883" s="114" t="s">
        <v>223</v>
      </c>
      <c r="G883" s="115" t="s">
        <v>175</v>
      </c>
      <c r="H883" s="114" t="s">
        <v>176</v>
      </c>
      <c r="I883" s="114" t="s">
        <v>173</v>
      </c>
      <c r="J883" s="186">
        <v>0</v>
      </c>
      <c r="K883" s="187">
        <v>0</v>
      </c>
      <c r="L883" s="187">
        <v>0</v>
      </c>
      <c r="M883" s="187">
        <v>0</v>
      </c>
      <c r="N883" s="187">
        <v>0</v>
      </c>
      <c r="O883" s="187">
        <v>0</v>
      </c>
      <c r="P883" s="188">
        <v>0</v>
      </c>
      <c r="Q883" s="186">
        <v>0</v>
      </c>
      <c r="R883" s="186">
        <v>0</v>
      </c>
      <c r="S883" s="184" t="s">
        <v>59</v>
      </c>
    </row>
    <row r="884" spans="1:19">
      <c r="A884" s="111">
        <v>883</v>
      </c>
      <c r="B884" s="192">
        <v>45221</v>
      </c>
      <c r="C884" s="113">
        <f t="shared" si="6"/>
        <v>2023</v>
      </c>
      <c r="D884" s="114">
        <f t="shared" si="7"/>
        <v>10</v>
      </c>
      <c r="E884" s="114" t="s">
        <v>23</v>
      </c>
      <c r="F884" s="114" t="s">
        <v>224</v>
      </c>
      <c r="G884" s="115" t="s">
        <v>107</v>
      </c>
      <c r="H884" s="114" t="s">
        <v>107</v>
      </c>
      <c r="I884" s="114" t="s">
        <v>107</v>
      </c>
      <c r="J884" s="186">
        <v>0</v>
      </c>
      <c r="K884" s="187">
        <v>0</v>
      </c>
      <c r="L884" s="187">
        <v>0</v>
      </c>
      <c r="M884" s="187">
        <v>0</v>
      </c>
      <c r="N884" s="187">
        <v>0</v>
      </c>
      <c r="O884" s="187">
        <v>0</v>
      </c>
      <c r="P884" s="188">
        <v>0</v>
      </c>
      <c r="Q884" s="186">
        <v>0</v>
      </c>
      <c r="R884" s="186">
        <v>0</v>
      </c>
      <c r="S884" s="184" t="s">
        <v>59</v>
      </c>
    </row>
    <row r="885" spans="1:19">
      <c r="A885" s="111">
        <v>884</v>
      </c>
      <c r="B885" s="192">
        <v>45222</v>
      </c>
      <c r="C885" s="113">
        <f t="shared" si="6"/>
        <v>2023</v>
      </c>
      <c r="D885" s="114">
        <f t="shared" si="7"/>
        <v>10</v>
      </c>
      <c r="E885" s="114" t="s">
        <v>15</v>
      </c>
      <c r="F885" s="114" t="s">
        <v>225</v>
      </c>
      <c r="G885" s="115" t="s">
        <v>226</v>
      </c>
      <c r="H885" s="114" t="s">
        <v>227</v>
      </c>
      <c r="I885" s="114" t="s">
        <v>173</v>
      </c>
      <c r="J885" s="186">
        <v>0</v>
      </c>
      <c r="K885" s="187">
        <v>0</v>
      </c>
      <c r="L885" s="187">
        <v>0</v>
      </c>
      <c r="M885" s="187">
        <v>0</v>
      </c>
      <c r="N885" s="187">
        <v>0</v>
      </c>
      <c r="O885" s="187">
        <v>0</v>
      </c>
      <c r="P885" s="188">
        <v>0</v>
      </c>
      <c r="Q885" s="186">
        <v>0</v>
      </c>
      <c r="R885" s="186">
        <v>0</v>
      </c>
      <c r="S885" s="184" t="s">
        <v>59</v>
      </c>
    </row>
    <row r="886" spans="1:19">
      <c r="A886" s="111">
        <v>885</v>
      </c>
      <c r="B886" s="192">
        <v>45223</v>
      </c>
      <c r="C886" s="113">
        <f t="shared" si="6"/>
        <v>2023</v>
      </c>
      <c r="D886" s="114">
        <f t="shared" si="7"/>
        <v>10</v>
      </c>
      <c r="E886" s="114" t="s">
        <v>84</v>
      </c>
      <c r="F886" s="114" t="s">
        <v>228</v>
      </c>
      <c r="G886" s="115" t="s">
        <v>229</v>
      </c>
      <c r="H886" s="114" t="s">
        <v>230</v>
      </c>
      <c r="I886" s="114" t="s">
        <v>184</v>
      </c>
      <c r="J886" s="186">
        <v>4</v>
      </c>
      <c r="K886" s="187">
        <v>37</v>
      </c>
      <c r="L886" s="187">
        <v>24</v>
      </c>
      <c r="M886" s="187">
        <v>1.8</v>
      </c>
      <c r="N886" s="187">
        <v>416</v>
      </c>
      <c r="O886" s="187">
        <v>642</v>
      </c>
      <c r="P886" s="188">
        <v>0.5</v>
      </c>
      <c r="Q886" s="189">
        <v>1664</v>
      </c>
      <c r="R886" s="189">
        <v>2569</v>
      </c>
      <c r="S886" s="184" t="s">
        <v>59</v>
      </c>
    </row>
    <row r="887" spans="1:19">
      <c r="A887" s="111">
        <v>886</v>
      </c>
      <c r="B887" s="192">
        <v>45224</v>
      </c>
      <c r="C887" s="113">
        <f t="shared" si="6"/>
        <v>2023</v>
      </c>
      <c r="D887" s="114">
        <f t="shared" si="7"/>
        <v>10</v>
      </c>
      <c r="E887" s="114" t="s">
        <v>84</v>
      </c>
      <c r="F887" s="114" t="s">
        <v>231</v>
      </c>
      <c r="G887" s="115" t="s">
        <v>232</v>
      </c>
      <c r="H887" s="114" t="s">
        <v>233</v>
      </c>
      <c r="I887" s="114" t="s">
        <v>184</v>
      </c>
      <c r="J887" s="186">
        <v>0</v>
      </c>
      <c r="K887" s="187">
        <v>0</v>
      </c>
      <c r="L887" s="187">
        <v>0</v>
      </c>
      <c r="M887" s="187">
        <v>0</v>
      </c>
      <c r="N887" s="187">
        <v>0</v>
      </c>
      <c r="O887" s="187">
        <v>0</v>
      </c>
      <c r="P887" s="188">
        <v>0</v>
      </c>
      <c r="Q887" s="186">
        <v>0</v>
      </c>
      <c r="R887" s="186">
        <v>0</v>
      </c>
      <c r="S887" s="184" t="s">
        <v>59</v>
      </c>
    </row>
    <row r="888" spans="1:19">
      <c r="A888" s="111">
        <v>887</v>
      </c>
      <c r="B888" s="192">
        <v>45225</v>
      </c>
      <c r="C888" s="113">
        <f t="shared" si="6"/>
        <v>2023</v>
      </c>
      <c r="D888" s="114">
        <f t="shared" si="7"/>
        <v>10</v>
      </c>
      <c r="E888" s="114" t="s">
        <v>84</v>
      </c>
      <c r="F888" s="114" t="s">
        <v>249</v>
      </c>
      <c r="G888" s="125" t="s">
        <v>250</v>
      </c>
      <c r="H888" s="185" t="s">
        <v>251</v>
      </c>
      <c r="I888" s="185"/>
      <c r="J888" s="186">
        <v>0</v>
      </c>
      <c r="K888" s="187">
        <v>0</v>
      </c>
      <c r="L888" s="187">
        <v>0</v>
      </c>
      <c r="M888" s="187">
        <v>0</v>
      </c>
      <c r="N888" s="187">
        <v>0</v>
      </c>
      <c r="O888" s="187">
        <v>0</v>
      </c>
      <c r="P888" s="188">
        <v>0</v>
      </c>
      <c r="Q888" s="186">
        <v>0</v>
      </c>
      <c r="R888" s="186">
        <v>0</v>
      </c>
      <c r="S888" s="184" t="s">
        <v>59</v>
      </c>
    </row>
    <row r="889" spans="1:19">
      <c r="A889" s="111">
        <v>888</v>
      </c>
      <c r="B889" s="192">
        <v>45226</v>
      </c>
      <c r="C889" s="113">
        <f t="shared" si="6"/>
        <v>2023</v>
      </c>
      <c r="D889" s="114">
        <f t="shared" si="7"/>
        <v>10</v>
      </c>
      <c r="E889" s="114" t="s">
        <v>22</v>
      </c>
      <c r="F889" s="114" t="s">
        <v>174</v>
      </c>
      <c r="G889" s="115" t="s">
        <v>175</v>
      </c>
      <c r="H889" s="114" t="s">
        <v>176</v>
      </c>
      <c r="I889" s="114" t="s">
        <v>173</v>
      </c>
      <c r="J889" s="186">
        <v>5</v>
      </c>
      <c r="K889" s="187">
        <v>68</v>
      </c>
      <c r="L889" s="187">
        <v>28</v>
      </c>
      <c r="M889" s="187">
        <v>2.6</v>
      </c>
      <c r="N889" s="187">
        <v>1799</v>
      </c>
      <c r="O889" s="187">
        <v>2582</v>
      </c>
      <c r="P889" s="188">
        <v>0.8</v>
      </c>
      <c r="Q889" s="189">
        <v>8996</v>
      </c>
      <c r="R889" s="189">
        <v>12909</v>
      </c>
      <c r="S889" s="184" t="s">
        <v>59</v>
      </c>
    </row>
    <row r="890" spans="1:19">
      <c r="A890" s="111">
        <v>889</v>
      </c>
      <c r="B890" s="192">
        <v>45227</v>
      </c>
      <c r="C890" s="113">
        <f t="shared" si="6"/>
        <v>2023</v>
      </c>
      <c r="D890" s="114">
        <f t="shared" si="7"/>
        <v>10</v>
      </c>
      <c r="E890" s="114" t="s">
        <v>22</v>
      </c>
      <c r="F890" s="114" t="s">
        <v>177</v>
      </c>
      <c r="G890" s="115" t="s">
        <v>175</v>
      </c>
      <c r="H890" s="114" t="s">
        <v>176</v>
      </c>
      <c r="I890" s="114" t="s">
        <v>173</v>
      </c>
      <c r="J890" s="186">
        <v>4</v>
      </c>
      <c r="K890" s="187">
        <v>0</v>
      </c>
      <c r="L890" s="187">
        <v>0</v>
      </c>
      <c r="M890" s="187">
        <v>0</v>
      </c>
      <c r="N890" s="187">
        <v>0</v>
      </c>
      <c r="O890" s="187">
        <v>0</v>
      </c>
      <c r="P890" s="188">
        <v>0</v>
      </c>
      <c r="Q890" s="189">
        <v>7125</v>
      </c>
      <c r="R890" s="189">
        <v>9969</v>
      </c>
      <c r="S890" s="184" t="s">
        <v>59</v>
      </c>
    </row>
    <row r="891" spans="1:19">
      <c r="A891" s="111">
        <v>890</v>
      </c>
      <c r="B891" s="192">
        <v>45228</v>
      </c>
      <c r="C891" s="113">
        <f t="shared" si="6"/>
        <v>2023</v>
      </c>
      <c r="D891" s="114">
        <f t="shared" si="7"/>
        <v>10</v>
      </c>
      <c r="E891" s="114" t="s">
        <v>22</v>
      </c>
      <c r="F891" s="114" t="s">
        <v>223</v>
      </c>
      <c r="G891" s="115" t="s">
        <v>175</v>
      </c>
      <c r="H891" s="114" t="s">
        <v>176</v>
      </c>
      <c r="I891" s="114" t="s">
        <v>173</v>
      </c>
      <c r="J891" s="186">
        <v>0</v>
      </c>
      <c r="K891" s="187">
        <v>0</v>
      </c>
      <c r="L891" s="187">
        <v>0</v>
      </c>
      <c r="M891" s="187">
        <v>0</v>
      </c>
      <c r="N891" s="187">
        <v>0</v>
      </c>
      <c r="O891" s="187">
        <v>0</v>
      </c>
      <c r="P891" s="188">
        <v>0</v>
      </c>
      <c r="Q891" s="186">
        <v>0</v>
      </c>
      <c r="R891" s="186">
        <v>0</v>
      </c>
      <c r="S891" s="184" t="s">
        <v>59</v>
      </c>
    </row>
    <row r="892" spans="1:19">
      <c r="A892" s="111">
        <v>891</v>
      </c>
      <c r="B892" s="192">
        <v>45229</v>
      </c>
      <c r="C892" s="113">
        <f t="shared" si="6"/>
        <v>2023</v>
      </c>
      <c r="D892" s="114">
        <f t="shared" si="7"/>
        <v>10</v>
      </c>
      <c r="E892" s="114" t="s">
        <v>12</v>
      </c>
      <c r="F892" s="114" t="s">
        <v>220</v>
      </c>
      <c r="G892" s="115" t="s">
        <v>221</v>
      </c>
      <c r="H892" s="114" t="s">
        <v>222</v>
      </c>
      <c r="I892" s="114" t="s">
        <v>184</v>
      </c>
      <c r="J892" s="186">
        <v>0</v>
      </c>
      <c r="K892" s="187">
        <v>0</v>
      </c>
      <c r="L892" s="187">
        <v>0</v>
      </c>
      <c r="M892" s="187">
        <v>0</v>
      </c>
      <c r="N892" s="187">
        <v>0</v>
      </c>
      <c r="O892" s="187">
        <v>0</v>
      </c>
      <c r="P892" s="188">
        <v>0</v>
      </c>
      <c r="Q892" s="186">
        <v>0</v>
      </c>
      <c r="R892" s="186">
        <v>0</v>
      </c>
      <c r="S892" s="184" t="s">
        <v>59</v>
      </c>
    </row>
    <row r="893" spans="1:19">
      <c r="A893" s="111">
        <v>892</v>
      </c>
      <c r="B893" s="192">
        <v>45230</v>
      </c>
      <c r="C893" s="113">
        <f t="shared" si="6"/>
        <v>2023</v>
      </c>
      <c r="D893" s="114">
        <f t="shared" si="7"/>
        <v>10</v>
      </c>
      <c r="E893" s="114" t="s">
        <v>12</v>
      </c>
      <c r="F893" s="114" t="s">
        <v>234</v>
      </c>
      <c r="G893" s="115" t="s">
        <v>235</v>
      </c>
      <c r="H893" s="114" t="s">
        <v>236</v>
      </c>
      <c r="I893" s="114" t="s">
        <v>184</v>
      </c>
      <c r="J893" s="186">
        <v>5</v>
      </c>
      <c r="K893" s="187">
        <v>39</v>
      </c>
      <c r="L893" s="187">
        <v>19</v>
      </c>
      <c r="M893" s="187">
        <v>2.2000000000000002</v>
      </c>
      <c r="N893" s="187">
        <v>956</v>
      </c>
      <c r="O893" s="187">
        <v>1369</v>
      </c>
      <c r="P893" s="188">
        <v>0.4</v>
      </c>
      <c r="Q893" s="189">
        <v>4778</v>
      </c>
      <c r="R893" s="189">
        <v>6843</v>
      </c>
      <c r="S893" s="184" t="s">
        <v>59</v>
      </c>
    </row>
    <row r="894" spans="1:19">
      <c r="A894" s="111">
        <v>893</v>
      </c>
      <c r="B894" s="192">
        <v>45200</v>
      </c>
      <c r="C894" s="113">
        <f t="shared" si="6"/>
        <v>2023</v>
      </c>
      <c r="D894" s="114">
        <f t="shared" si="7"/>
        <v>10</v>
      </c>
      <c r="E894" s="114" t="s">
        <v>12</v>
      </c>
      <c r="F894" s="114" t="s">
        <v>237</v>
      </c>
      <c r="G894" s="115" t="s">
        <v>199</v>
      </c>
      <c r="H894" s="114" t="s">
        <v>199</v>
      </c>
      <c r="I894" s="114" t="s">
        <v>200</v>
      </c>
      <c r="J894" s="186">
        <v>0</v>
      </c>
      <c r="K894" s="187">
        <v>0</v>
      </c>
      <c r="L894" s="187">
        <v>0</v>
      </c>
      <c r="M894" s="187">
        <v>0</v>
      </c>
      <c r="N894" s="187">
        <v>0</v>
      </c>
      <c r="O894" s="187">
        <v>0</v>
      </c>
      <c r="P894" s="188">
        <v>0</v>
      </c>
      <c r="Q894" s="186">
        <v>0</v>
      </c>
      <c r="R894" s="186">
        <v>0</v>
      </c>
      <c r="S894" s="184" t="s">
        <v>59</v>
      </c>
    </row>
    <row r="895" spans="1:19">
      <c r="A895" s="111">
        <v>894</v>
      </c>
      <c r="B895" s="192">
        <v>45201</v>
      </c>
      <c r="C895" s="113">
        <f t="shared" si="6"/>
        <v>2023</v>
      </c>
      <c r="D895" s="114">
        <f t="shared" si="7"/>
        <v>10</v>
      </c>
      <c r="E895" s="114" t="s">
        <v>12</v>
      </c>
      <c r="F895" s="114" t="s">
        <v>252</v>
      </c>
      <c r="G895" s="115" t="s">
        <v>253</v>
      </c>
      <c r="H895" s="114" t="s">
        <v>254</v>
      </c>
      <c r="I895" s="114" t="s">
        <v>184</v>
      </c>
      <c r="J895" s="186">
        <v>0</v>
      </c>
      <c r="K895" s="187">
        <v>0</v>
      </c>
      <c r="L895" s="187">
        <v>0</v>
      </c>
      <c r="M895" s="187">
        <v>0</v>
      </c>
      <c r="N895" s="187">
        <v>0</v>
      </c>
      <c r="O895" s="187">
        <v>0</v>
      </c>
      <c r="P895" s="188">
        <v>0</v>
      </c>
      <c r="Q895" s="186">
        <v>0</v>
      </c>
      <c r="R895" s="186">
        <v>0</v>
      </c>
      <c r="S895" s="184" t="s">
        <v>59</v>
      </c>
    </row>
    <row r="896" spans="1:19">
      <c r="A896" s="111">
        <v>895</v>
      </c>
      <c r="B896" s="192">
        <v>45202</v>
      </c>
      <c r="C896" s="113">
        <f t="shared" si="6"/>
        <v>2023</v>
      </c>
      <c r="D896" s="114">
        <f t="shared" si="7"/>
        <v>10</v>
      </c>
      <c r="E896" s="114" t="s">
        <v>26</v>
      </c>
      <c r="F896" s="114" t="s">
        <v>238</v>
      </c>
      <c r="G896" s="115" t="s">
        <v>175</v>
      </c>
      <c r="H896" s="114" t="s">
        <v>176</v>
      </c>
      <c r="I896" s="114" t="s">
        <v>173</v>
      </c>
      <c r="J896" s="186">
        <v>0</v>
      </c>
      <c r="K896" s="187">
        <v>0</v>
      </c>
      <c r="L896" s="187">
        <v>0</v>
      </c>
      <c r="M896" s="187">
        <v>0</v>
      </c>
      <c r="N896" s="187">
        <v>0</v>
      </c>
      <c r="O896" s="187">
        <v>0</v>
      </c>
      <c r="P896" s="188">
        <v>0</v>
      </c>
      <c r="Q896" s="186">
        <v>0</v>
      </c>
      <c r="R896" s="186">
        <v>0</v>
      </c>
      <c r="S896" s="184" t="s">
        <v>59</v>
      </c>
    </row>
    <row r="897" spans="1:19">
      <c r="A897" s="111">
        <v>896</v>
      </c>
      <c r="B897" s="192">
        <v>45203</v>
      </c>
      <c r="C897" s="113">
        <f t="shared" si="6"/>
        <v>2023</v>
      </c>
      <c r="D897" s="114">
        <f t="shared" si="7"/>
        <v>10</v>
      </c>
      <c r="E897" s="114" t="s">
        <v>19</v>
      </c>
      <c r="F897" s="114" t="s">
        <v>178</v>
      </c>
      <c r="G897" s="115" t="s">
        <v>179</v>
      </c>
      <c r="H897" s="114" t="s">
        <v>180</v>
      </c>
      <c r="I897" s="114" t="s">
        <v>173</v>
      </c>
      <c r="J897" s="186">
        <v>2</v>
      </c>
      <c r="K897" s="187">
        <v>47</v>
      </c>
      <c r="L897" s="187">
        <v>23</v>
      </c>
      <c r="M897" s="187">
        <v>2.2000000000000002</v>
      </c>
      <c r="N897" s="187">
        <v>822</v>
      </c>
      <c r="O897" s="187">
        <v>1186</v>
      </c>
      <c r="P897" s="188">
        <v>1</v>
      </c>
      <c r="Q897" s="189">
        <v>1644</v>
      </c>
      <c r="R897" s="189">
        <v>2371</v>
      </c>
      <c r="S897" s="184" t="s">
        <v>59</v>
      </c>
    </row>
    <row r="898" spans="1:19">
      <c r="A898" s="111">
        <v>897</v>
      </c>
      <c r="B898" s="192">
        <v>45204</v>
      </c>
      <c r="C898" s="113">
        <f t="shared" si="6"/>
        <v>2023</v>
      </c>
      <c r="D898" s="114">
        <f t="shared" si="7"/>
        <v>10</v>
      </c>
      <c r="E898" s="114" t="s">
        <v>7</v>
      </c>
      <c r="F898" s="114" t="s">
        <v>239</v>
      </c>
      <c r="G898" s="115" t="s">
        <v>240</v>
      </c>
      <c r="H898" s="114" t="s">
        <v>241</v>
      </c>
      <c r="I898" s="114" t="s">
        <v>184</v>
      </c>
      <c r="J898" s="186">
        <v>3</v>
      </c>
      <c r="K898" s="187">
        <v>59</v>
      </c>
      <c r="L898" s="187">
        <v>30</v>
      </c>
      <c r="M898" s="187">
        <v>2.2000000000000002</v>
      </c>
      <c r="N898" s="187">
        <v>816</v>
      </c>
      <c r="O898" s="187">
        <v>1258</v>
      </c>
      <c r="P898" s="188">
        <v>0</v>
      </c>
      <c r="Q898" s="189">
        <v>2447</v>
      </c>
      <c r="R898" s="189">
        <v>3775</v>
      </c>
      <c r="S898" s="184" t="s">
        <v>59</v>
      </c>
    </row>
    <row r="899" spans="1:19">
      <c r="A899" s="111">
        <v>898</v>
      </c>
      <c r="B899" s="192">
        <v>45205</v>
      </c>
      <c r="C899" s="113">
        <f t="shared" si="6"/>
        <v>2023</v>
      </c>
      <c r="D899" s="114">
        <f t="shared" si="7"/>
        <v>10</v>
      </c>
      <c r="E899" s="114" t="s">
        <v>7</v>
      </c>
      <c r="F899" s="114" t="s">
        <v>220</v>
      </c>
      <c r="G899" s="115" t="s">
        <v>221</v>
      </c>
      <c r="H899" s="114" t="s">
        <v>222</v>
      </c>
      <c r="I899" s="114" t="s">
        <v>184</v>
      </c>
      <c r="J899" s="186">
        <v>2</v>
      </c>
      <c r="K899" s="187">
        <v>66</v>
      </c>
      <c r="L899" s="187">
        <v>24</v>
      </c>
      <c r="M899" s="187">
        <v>2.9</v>
      </c>
      <c r="N899" s="187">
        <v>849</v>
      </c>
      <c r="O899" s="187">
        <v>1291</v>
      </c>
      <c r="P899" s="188">
        <v>0.5</v>
      </c>
      <c r="Q899" s="189">
        <v>1697</v>
      </c>
      <c r="R899" s="189">
        <v>2581</v>
      </c>
      <c r="S899" s="184" t="s">
        <v>59</v>
      </c>
    </row>
    <row r="900" spans="1:19">
      <c r="A900" s="111">
        <v>899</v>
      </c>
      <c r="B900" s="192">
        <v>45206</v>
      </c>
      <c r="C900" s="113">
        <f t="shared" si="6"/>
        <v>2023</v>
      </c>
      <c r="D900" s="114">
        <f t="shared" si="7"/>
        <v>10</v>
      </c>
      <c r="E900" s="114" t="s">
        <v>7</v>
      </c>
      <c r="F900" s="114" t="s">
        <v>242</v>
      </c>
      <c r="G900" s="115" t="s">
        <v>243</v>
      </c>
      <c r="H900" s="114" t="s">
        <v>244</v>
      </c>
      <c r="I900" s="114" t="s">
        <v>184</v>
      </c>
      <c r="J900" s="186">
        <v>3</v>
      </c>
      <c r="K900" s="187">
        <v>62</v>
      </c>
      <c r="L900" s="187">
        <v>23</v>
      </c>
      <c r="M900" s="187">
        <v>2.9</v>
      </c>
      <c r="N900" s="187">
        <v>1279</v>
      </c>
      <c r="O900" s="187">
        <v>2150</v>
      </c>
      <c r="P900" s="188">
        <v>0</v>
      </c>
      <c r="Q900" s="189">
        <v>3836</v>
      </c>
      <c r="R900" s="189">
        <v>6451</v>
      </c>
      <c r="S900" s="184" t="s">
        <v>59</v>
      </c>
    </row>
    <row r="901" spans="1:19">
      <c r="A901" s="111">
        <v>900</v>
      </c>
      <c r="B901" s="192">
        <v>45207</v>
      </c>
      <c r="C901" s="113">
        <f t="shared" si="6"/>
        <v>2023</v>
      </c>
      <c r="D901" s="114">
        <f t="shared" si="7"/>
        <v>10</v>
      </c>
      <c r="E901" s="114" t="s">
        <v>7</v>
      </c>
      <c r="F901" s="114" t="s">
        <v>255</v>
      </c>
      <c r="G901" s="115" t="s">
        <v>256</v>
      </c>
      <c r="H901" s="114" t="s">
        <v>257</v>
      </c>
      <c r="I901" s="114" t="s">
        <v>173</v>
      </c>
      <c r="J901" s="186">
        <v>2</v>
      </c>
      <c r="K901" s="187">
        <v>76</v>
      </c>
      <c r="L901" s="187">
        <v>26</v>
      </c>
      <c r="M901" s="187">
        <v>3.1</v>
      </c>
      <c r="N901" s="187">
        <v>2356</v>
      </c>
      <c r="O901" s="187">
        <v>3577</v>
      </c>
      <c r="P901" s="188">
        <v>1</v>
      </c>
      <c r="Q901" s="189">
        <v>4712</v>
      </c>
      <c r="R901" s="189">
        <v>7154</v>
      </c>
      <c r="S901" s="184" t="s">
        <v>59</v>
      </c>
    </row>
    <row r="902" spans="1:19">
      <c r="A902" s="111">
        <v>901</v>
      </c>
      <c r="B902" s="192">
        <v>45208</v>
      </c>
      <c r="C902" s="113">
        <f t="shared" si="6"/>
        <v>2023</v>
      </c>
      <c r="D902" s="114">
        <f t="shared" si="7"/>
        <v>10</v>
      </c>
      <c r="E902" s="114" t="s">
        <v>7</v>
      </c>
      <c r="F902" s="114" t="s">
        <v>258</v>
      </c>
      <c r="G902" s="115" t="s">
        <v>256</v>
      </c>
      <c r="H902" s="114" t="s">
        <v>257</v>
      </c>
      <c r="I902" s="114" t="s">
        <v>200</v>
      </c>
      <c r="J902" s="186">
        <v>0</v>
      </c>
      <c r="K902" s="187">
        <v>0</v>
      </c>
      <c r="L902" s="187">
        <v>0</v>
      </c>
      <c r="M902" s="187">
        <v>0</v>
      </c>
      <c r="N902" s="187">
        <v>0</v>
      </c>
      <c r="O902" s="187">
        <v>0</v>
      </c>
      <c r="P902" s="188">
        <v>0</v>
      </c>
      <c r="Q902" s="186">
        <v>0</v>
      </c>
      <c r="R902" s="186">
        <v>0</v>
      </c>
      <c r="S902" s="184" t="s">
        <v>59</v>
      </c>
    </row>
    <row r="903" spans="1:19">
      <c r="A903" s="111">
        <v>902</v>
      </c>
      <c r="B903" s="192">
        <v>45209</v>
      </c>
      <c r="C903" s="113">
        <f t="shared" si="6"/>
        <v>2023</v>
      </c>
      <c r="D903" s="114">
        <f t="shared" si="7"/>
        <v>10</v>
      </c>
      <c r="E903" s="114" t="s">
        <v>24</v>
      </c>
      <c r="F903" s="114" t="s">
        <v>259</v>
      </c>
      <c r="G903" s="115" t="s">
        <v>260</v>
      </c>
      <c r="H903" s="114" t="s">
        <v>261</v>
      </c>
      <c r="I903" s="114" t="s">
        <v>184</v>
      </c>
      <c r="J903" s="186">
        <v>2</v>
      </c>
      <c r="K903" s="187">
        <v>9</v>
      </c>
      <c r="L903" s="187">
        <v>22</v>
      </c>
      <c r="M903" s="187">
        <v>0.9</v>
      </c>
      <c r="N903" s="187">
        <v>40</v>
      </c>
      <c r="O903" s="187">
        <v>50</v>
      </c>
      <c r="P903" s="188">
        <v>0</v>
      </c>
      <c r="Q903" s="186">
        <v>79</v>
      </c>
      <c r="R903" s="186">
        <v>100</v>
      </c>
      <c r="S903" s="184" t="s">
        <v>59</v>
      </c>
    </row>
    <row r="904" spans="1:19">
      <c r="A904" s="111">
        <v>903</v>
      </c>
      <c r="B904" s="192">
        <v>45210</v>
      </c>
      <c r="C904" s="113">
        <f t="shared" si="6"/>
        <v>2023</v>
      </c>
      <c r="D904" s="114">
        <f t="shared" si="7"/>
        <v>10</v>
      </c>
      <c r="E904" s="114" t="s">
        <v>24</v>
      </c>
      <c r="F904" s="114" t="s">
        <v>262</v>
      </c>
      <c r="G904" s="115" t="s">
        <v>263</v>
      </c>
      <c r="H904" s="114" t="s">
        <v>264</v>
      </c>
      <c r="I904" s="114" t="s">
        <v>184</v>
      </c>
      <c r="J904" s="186">
        <v>4</v>
      </c>
      <c r="K904" s="187">
        <v>13</v>
      </c>
      <c r="L904" s="187">
        <v>23</v>
      </c>
      <c r="M904" s="187">
        <v>0.9</v>
      </c>
      <c r="N904" s="187">
        <v>72</v>
      </c>
      <c r="O904" s="187">
        <v>121</v>
      </c>
      <c r="P904" s="188">
        <v>0</v>
      </c>
      <c r="Q904" s="186">
        <v>289</v>
      </c>
      <c r="R904" s="186">
        <v>485</v>
      </c>
      <c r="S904" s="184" t="s">
        <v>59</v>
      </c>
    </row>
    <row r="905" spans="1:19">
      <c r="A905" s="111">
        <v>904</v>
      </c>
      <c r="B905" s="192">
        <v>45211</v>
      </c>
      <c r="C905" s="113">
        <f t="shared" si="6"/>
        <v>2023</v>
      </c>
      <c r="D905" s="114">
        <f t="shared" si="7"/>
        <v>10</v>
      </c>
      <c r="E905" s="114" t="s">
        <v>28</v>
      </c>
      <c r="F905" s="114" t="s">
        <v>265</v>
      </c>
      <c r="G905" s="115" t="s">
        <v>266</v>
      </c>
      <c r="H905" s="114" t="s">
        <v>267</v>
      </c>
      <c r="I905" s="114" t="s">
        <v>184</v>
      </c>
      <c r="J905" s="186">
        <v>1</v>
      </c>
      <c r="K905" s="187">
        <v>28</v>
      </c>
      <c r="L905" s="187">
        <v>27</v>
      </c>
      <c r="M905" s="187">
        <v>1.5</v>
      </c>
      <c r="N905" s="187">
        <v>113</v>
      </c>
      <c r="O905" s="187">
        <v>216</v>
      </c>
      <c r="P905" s="188">
        <v>0</v>
      </c>
      <c r="Q905" s="186">
        <v>113</v>
      </c>
      <c r="R905" s="186">
        <v>216</v>
      </c>
      <c r="S905" s="184" t="s">
        <v>59</v>
      </c>
    </row>
    <row r="906" spans="1:19">
      <c r="A906" s="111">
        <v>905</v>
      </c>
      <c r="B906" s="192">
        <v>45212</v>
      </c>
      <c r="C906" s="113">
        <f t="shared" si="6"/>
        <v>2023</v>
      </c>
      <c r="D906" s="114">
        <f t="shared" si="7"/>
        <v>10</v>
      </c>
      <c r="E906" s="114" t="s">
        <v>93</v>
      </c>
      <c r="F906" s="114" t="s">
        <v>265</v>
      </c>
      <c r="G906" s="115" t="s">
        <v>266</v>
      </c>
      <c r="H906" s="114" t="s">
        <v>267</v>
      </c>
      <c r="I906" s="114" t="s">
        <v>184</v>
      </c>
      <c r="J906" s="186">
        <v>2</v>
      </c>
      <c r="K906" s="187">
        <v>10</v>
      </c>
      <c r="L906" s="187">
        <v>20</v>
      </c>
      <c r="M906" s="187">
        <v>0.9</v>
      </c>
      <c r="N906" s="187">
        <v>49</v>
      </c>
      <c r="O906" s="187">
        <v>71</v>
      </c>
      <c r="P906" s="188">
        <v>0.5</v>
      </c>
      <c r="Q906" s="186">
        <v>98</v>
      </c>
      <c r="R906" s="186">
        <v>142</v>
      </c>
      <c r="S906" s="184" t="s">
        <v>59</v>
      </c>
    </row>
    <row r="907" spans="1:19">
      <c r="A907" s="111">
        <v>906</v>
      </c>
      <c r="B907" s="192">
        <v>45213</v>
      </c>
      <c r="C907" s="113">
        <f t="shared" si="6"/>
        <v>2023</v>
      </c>
      <c r="D907" s="114">
        <f t="shared" si="7"/>
        <v>10</v>
      </c>
      <c r="E907" s="114" t="s">
        <v>10</v>
      </c>
      <c r="F907" s="114" t="s">
        <v>268</v>
      </c>
      <c r="G907" s="115" t="s">
        <v>269</v>
      </c>
      <c r="H907" s="114" t="s">
        <v>270</v>
      </c>
      <c r="I907" s="114" t="s">
        <v>184</v>
      </c>
      <c r="J907" s="186">
        <v>4</v>
      </c>
      <c r="K907" s="187">
        <v>52</v>
      </c>
      <c r="L907" s="187">
        <v>30</v>
      </c>
      <c r="M907" s="187">
        <v>2.2000000000000002</v>
      </c>
      <c r="N907" s="187">
        <v>691</v>
      </c>
      <c r="O907" s="187">
        <v>1130</v>
      </c>
      <c r="P907" s="188">
        <v>0</v>
      </c>
      <c r="Q907" s="186">
        <v>2762</v>
      </c>
      <c r="R907" s="186">
        <v>4521</v>
      </c>
      <c r="S907" s="184" t="s">
        <v>59</v>
      </c>
    </row>
    <row r="908" spans="1:19">
      <c r="A908" s="111">
        <v>907</v>
      </c>
      <c r="B908" s="192">
        <v>45214</v>
      </c>
      <c r="C908" s="113">
        <f t="shared" si="6"/>
        <v>2023</v>
      </c>
      <c r="D908" s="114">
        <f t="shared" si="7"/>
        <v>10</v>
      </c>
      <c r="E908" s="114" t="s">
        <v>32</v>
      </c>
      <c r="F908" s="114" t="s">
        <v>249</v>
      </c>
      <c r="G908" s="115" t="s">
        <v>250</v>
      </c>
      <c r="H908" s="114" t="s">
        <v>251</v>
      </c>
      <c r="I908" s="114" t="s">
        <v>184</v>
      </c>
      <c r="J908" s="186">
        <v>1</v>
      </c>
      <c r="K908" s="187">
        <v>44</v>
      </c>
      <c r="L908" s="187">
        <v>26</v>
      </c>
      <c r="M908" s="187">
        <v>1.8</v>
      </c>
      <c r="N908" s="187">
        <v>851</v>
      </c>
      <c r="O908" s="187">
        <v>1363</v>
      </c>
      <c r="P908" s="188">
        <v>0</v>
      </c>
      <c r="Q908" s="186">
        <v>851</v>
      </c>
      <c r="R908" s="186">
        <v>1363</v>
      </c>
      <c r="S908" s="184" t="s">
        <v>59</v>
      </c>
    </row>
    <row r="909" spans="1:19">
      <c r="A909" s="111">
        <v>908</v>
      </c>
      <c r="B909" s="192">
        <v>45215</v>
      </c>
      <c r="C909" s="113">
        <f t="shared" si="6"/>
        <v>2023</v>
      </c>
      <c r="D909" s="114">
        <f t="shared" si="7"/>
        <v>10</v>
      </c>
      <c r="E909" s="114" t="s">
        <v>79</v>
      </c>
      <c r="F909" s="114" t="s">
        <v>255</v>
      </c>
      <c r="G909" s="115" t="s">
        <v>256</v>
      </c>
      <c r="H909" s="114" t="s">
        <v>257</v>
      </c>
      <c r="I909" s="114" t="s">
        <v>173</v>
      </c>
      <c r="J909" s="186">
        <v>2</v>
      </c>
      <c r="K909" s="187">
        <v>73</v>
      </c>
      <c r="L909" s="187">
        <v>30</v>
      </c>
      <c r="M909" s="187">
        <v>2.7</v>
      </c>
      <c r="N909" s="187">
        <v>2318</v>
      </c>
      <c r="O909" s="187">
        <v>3536</v>
      </c>
      <c r="P909" s="188">
        <v>1</v>
      </c>
      <c r="Q909" s="186">
        <v>4635</v>
      </c>
      <c r="R909" s="186">
        <v>7072</v>
      </c>
      <c r="S909" s="184" t="s">
        <v>59</v>
      </c>
    </row>
    <row r="910" spans="1:19">
      <c r="A910" s="111">
        <v>909</v>
      </c>
      <c r="B910" s="192">
        <v>45216</v>
      </c>
      <c r="C910" s="113">
        <f t="shared" si="6"/>
        <v>2023</v>
      </c>
      <c r="D910" s="114">
        <f t="shared" si="7"/>
        <v>10</v>
      </c>
      <c r="E910" s="114" t="s">
        <v>101</v>
      </c>
      <c r="F910" s="114" t="s">
        <v>249</v>
      </c>
      <c r="G910" s="115" t="s">
        <v>250</v>
      </c>
      <c r="H910" s="114" t="s">
        <v>251</v>
      </c>
      <c r="I910" s="114" t="s">
        <v>184</v>
      </c>
      <c r="J910" s="186">
        <v>0</v>
      </c>
      <c r="K910" s="187">
        <v>0</v>
      </c>
      <c r="L910" s="187">
        <v>0</v>
      </c>
      <c r="M910" s="187">
        <v>0</v>
      </c>
      <c r="N910" s="187">
        <v>0</v>
      </c>
      <c r="O910" s="187">
        <v>0</v>
      </c>
      <c r="P910" s="188">
        <v>0</v>
      </c>
      <c r="Q910" s="186">
        <v>0</v>
      </c>
      <c r="R910" s="186">
        <v>0</v>
      </c>
      <c r="S910" s="184" t="s">
        <v>59</v>
      </c>
    </row>
    <row r="911" spans="1:19">
      <c r="A911" s="111">
        <v>910</v>
      </c>
      <c r="B911" s="192">
        <v>45217</v>
      </c>
      <c r="C911" s="113">
        <f t="shared" si="6"/>
        <v>2023</v>
      </c>
      <c r="D911" s="114">
        <f t="shared" si="7"/>
        <v>10</v>
      </c>
      <c r="E911" s="114" t="s">
        <v>116</v>
      </c>
      <c r="F911" s="114" t="s">
        <v>271</v>
      </c>
      <c r="G911" s="185"/>
      <c r="H911" s="185"/>
      <c r="I911" s="185"/>
      <c r="J911" s="186">
        <v>0</v>
      </c>
      <c r="K911" s="187">
        <v>0</v>
      </c>
      <c r="L911" s="187">
        <v>0</v>
      </c>
      <c r="M911" s="187">
        <v>0</v>
      </c>
      <c r="N911" s="187">
        <v>0</v>
      </c>
      <c r="O911" s="187">
        <v>0</v>
      </c>
      <c r="P911" s="188">
        <v>0</v>
      </c>
      <c r="Q911" s="186">
        <v>0</v>
      </c>
      <c r="R911" s="186">
        <v>0</v>
      </c>
      <c r="S911" s="184" t="s">
        <v>59</v>
      </c>
    </row>
    <row r="912" spans="1:19">
      <c r="A912" s="111">
        <v>911</v>
      </c>
      <c r="B912" s="192">
        <v>45231</v>
      </c>
      <c r="C912" s="113">
        <f t="shared" si="6"/>
        <v>2023</v>
      </c>
      <c r="D912" s="114">
        <f t="shared" si="7"/>
        <v>11</v>
      </c>
      <c r="E912" s="114" t="s">
        <v>79</v>
      </c>
      <c r="F912" s="114" t="s">
        <v>170</v>
      </c>
      <c r="G912" s="115" t="s">
        <v>171</v>
      </c>
      <c r="H912" s="114" t="s">
        <v>172</v>
      </c>
      <c r="I912" s="114" t="s">
        <v>173</v>
      </c>
      <c r="J912" s="186">
        <v>0</v>
      </c>
      <c r="K912" s="187">
        <v>0</v>
      </c>
      <c r="L912" s="187">
        <v>1</v>
      </c>
      <c r="M912" s="187">
        <v>2</v>
      </c>
      <c r="N912" s="187">
        <v>3</v>
      </c>
      <c r="O912" s="187">
        <v>4</v>
      </c>
      <c r="P912" s="188">
        <v>5</v>
      </c>
      <c r="Q912" s="186">
        <v>0</v>
      </c>
      <c r="R912" s="186">
        <v>0</v>
      </c>
      <c r="S912" s="184" t="s">
        <v>59</v>
      </c>
    </row>
    <row r="913" spans="1:19">
      <c r="A913" s="111">
        <v>912</v>
      </c>
      <c r="B913" s="192">
        <v>45232</v>
      </c>
      <c r="C913" s="113">
        <f t="shared" si="6"/>
        <v>2023</v>
      </c>
      <c r="D913" s="114">
        <f t="shared" si="7"/>
        <v>11</v>
      </c>
      <c r="E913" s="114" t="s">
        <v>79</v>
      </c>
      <c r="F913" s="114" t="s">
        <v>174</v>
      </c>
      <c r="G913" s="115" t="s">
        <v>175</v>
      </c>
      <c r="H913" s="114" t="s">
        <v>176</v>
      </c>
      <c r="I913" s="114" t="s">
        <v>173</v>
      </c>
      <c r="J913" s="186">
        <v>0</v>
      </c>
      <c r="K913" s="187">
        <v>0</v>
      </c>
      <c r="L913" s="187">
        <v>0</v>
      </c>
      <c r="M913" s="187">
        <v>0</v>
      </c>
      <c r="N913" s="187">
        <v>0</v>
      </c>
      <c r="O913" s="187">
        <v>0</v>
      </c>
      <c r="P913" s="188">
        <v>0</v>
      </c>
      <c r="Q913" s="186">
        <v>0</v>
      </c>
      <c r="R913" s="186">
        <v>0</v>
      </c>
      <c r="S913" s="184" t="s">
        <v>59</v>
      </c>
    </row>
    <row r="914" spans="1:19">
      <c r="A914" s="111">
        <v>913</v>
      </c>
      <c r="B914" s="192">
        <v>45233</v>
      </c>
      <c r="C914" s="113">
        <f t="shared" si="6"/>
        <v>2023</v>
      </c>
      <c r="D914" s="114">
        <f t="shared" si="7"/>
        <v>11</v>
      </c>
      <c r="E914" s="114" t="s">
        <v>79</v>
      </c>
      <c r="F914" s="114" t="s">
        <v>177</v>
      </c>
      <c r="G914" s="115" t="s">
        <v>175</v>
      </c>
      <c r="H914" s="114" t="s">
        <v>176</v>
      </c>
      <c r="I914" s="114" t="s">
        <v>173</v>
      </c>
      <c r="J914" s="186">
        <v>0</v>
      </c>
      <c r="K914" s="187">
        <v>0</v>
      </c>
      <c r="L914" s="187">
        <v>0</v>
      </c>
      <c r="M914" s="187">
        <v>0</v>
      </c>
      <c r="N914" s="187">
        <v>0</v>
      </c>
      <c r="O914" s="187">
        <v>0</v>
      </c>
      <c r="P914" s="188">
        <v>0</v>
      </c>
      <c r="Q914" s="186">
        <v>0</v>
      </c>
      <c r="R914" s="186">
        <v>0</v>
      </c>
      <c r="S914" s="184" t="s">
        <v>59</v>
      </c>
    </row>
    <row r="915" spans="1:19">
      <c r="A915" s="111">
        <v>914</v>
      </c>
      <c r="B915" s="192">
        <v>45234</v>
      </c>
      <c r="C915" s="113">
        <f t="shared" si="6"/>
        <v>2023</v>
      </c>
      <c r="D915" s="114">
        <f t="shared" si="7"/>
        <v>11</v>
      </c>
      <c r="E915" s="114" t="s">
        <v>20</v>
      </c>
      <c r="F915" s="114" t="s">
        <v>178</v>
      </c>
      <c r="G915" s="115" t="s">
        <v>179</v>
      </c>
      <c r="H915" s="114" t="s">
        <v>180</v>
      </c>
      <c r="I915" s="114" t="s">
        <v>173</v>
      </c>
      <c r="J915" s="186">
        <v>2</v>
      </c>
      <c r="K915" s="187">
        <v>51</v>
      </c>
      <c r="L915" s="187">
        <v>23</v>
      </c>
      <c r="M915" s="187">
        <v>2.5</v>
      </c>
      <c r="N915" s="187">
        <v>958</v>
      </c>
      <c r="O915" s="187">
        <v>1381</v>
      </c>
      <c r="P915" s="188">
        <v>0</v>
      </c>
      <c r="Q915" s="189">
        <v>1915</v>
      </c>
      <c r="R915" s="189">
        <v>2762</v>
      </c>
      <c r="S915" s="184" t="s">
        <v>59</v>
      </c>
    </row>
    <row r="916" spans="1:19">
      <c r="A916" s="111">
        <v>915</v>
      </c>
      <c r="B916" s="192">
        <v>45235</v>
      </c>
      <c r="C916" s="113">
        <f t="shared" si="6"/>
        <v>2023</v>
      </c>
      <c r="D916" s="114">
        <f t="shared" si="7"/>
        <v>11</v>
      </c>
      <c r="E916" s="114" t="s">
        <v>8</v>
      </c>
      <c r="F916" s="114" t="s">
        <v>181</v>
      </c>
      <c r="G916" s="115" t="s">
        <v>182</v>
      </c>
      <c r="H916" s="114" t="s">
        <v>183</v>
      </c>
      <c r="I916" s="114" t="s">
        <v>184</v>
      </c>
      <c r="J916" s="186">
        <v>6</v>
      </c>
      <c r="K916" s="187">
        <v>51</v>
      </c>
      <c r="L916" s="187">
        <v>32</v>
      </c>
      <c r="M916" s="187">
        <v>2.4</v>
      </c>
      <c r="N916" s="187">
        <v>641</v>
      </c>
      <c r="O916" s="187">
        <v>977</v>
      </c>
      <c r="P916" s="188">
        <v>0.33</v>
      </c>
      <c r="Q916" s="189">
        <v>3846</v>
      </c>
      <c r="R916" s="189">
        <v>5859</v>
      </c>
      <c r="S916" s="184" t="s">
        <v>59</v>
      </c>
    </row>
    <row r="917" spans="1:19">
      <c r="A917" s="111">
        <v>916</v>
      </c>
      <c r="B917" s="192">
        <v>45236</v>
      </c>
      <c r="C917" s="113">
        <f t="shared" si="6"/>
        <v>2023</v>
      </c>
      <c r="D917" s="114">
        <f t="shared" si="7"/>
        <v>11</v>
      </c>
      <c r="E917" s="114" t="s">
        <v>8</v>
      </c>
      <c r="F917" s="114" t="s">
        <v>185</v>
      </c>
      <c r="G917" s="115" t="s">
        <v>186</v>
      </c>
      <c r="H917" s="114" t="s">
        <v>187</v>
      </c>
      <c r="I917" s="114" t="s">
        <v>184</v>
      </c>
      <c r="J917" s="186">
        <v>7</v>
      </c>
      <c r="K917" s="187">
        <v>64</v>
      </c>
      <c r="L917" s="187">
        <v>29</v>
      </c>
      <c r="M917" s="187">
        <v>2.4</v>
      </c>
      <c r="N917" s="187">
        <v>884</v>
      </c>
      <c r="O917" s="187">
        <v>1344</v>
      </c>
      <c r="P917" s="188">
        <v>0.28999999999999998</v>
      </c>
      <c r="Q917" s="189">
        <v>6188</v>
      </c>
      <c r="R917" s="189">
        <v>9411</v>
      </c>
      <c r="S917" s="184" t="s">
        <v>59</v>
      </c>
    </row>
    <row r="918" spans="1:19">
      <c r="A918" s="111">
        <v>917</v>
      </c>
      <c r="B918" s="192">
        <v>45237</v>
      </c>
      <c r="C918" s="113">
        <f t="shared" si="6"/>
        <v>2023</v>
      </c>
      <c r="D918" s="114">
        <f t="shared" si="7"/>
        <v>11</v>
      </c>
      <c r="E918" s="114" t="s">
        <v>8</v>
      </c>
      <c r="F918" s="114" t="s">
        <v>188</v>
      </c>
      <c r="G918" s="115" t="s">
        <v>189</v>
      </c>
      <c r="H918" s="114" t="s">
        <v>190</v>
      </c>
      <c r="I918" s="114" t="s">
        <v>184</v>
      </c>
      <c r="J918" s="186">
        <v>5</v>
      </c>
      <c r="K918" s="187">
        <v>65</v>
      </c>
      <c r="L918" s="187">
        <v>28</v>
      </c>
      <c r="M918" s="187">
        <v>2.6</v>
      </c>
      <c r="N918" s="187">
        <v>790</v>
      </c>
      <c r="O918" s="187">
        <v>1238</v>
      </c>
      <c r="P918" s="188">
        <v>0.2</v>
      </c>
      <c r="Q918" s="189">
        <v>3951</v>
      </c>
      <c r="R918" s="189">
        <v>6188</v>
      </c>
      <c r="S918" s="184" t="s">
        <v>59</v>
      </c>
    </row>
    <row r="919" spans="1:19">
      <c r="A919" s="111">
        <v>918</v>
      </c>
      <c r="B919" s="192">
        <v>45238</v>
      </c>
      <c r="C919" s="113">
        <f t="shared" si="6"/>
        <v>2023</v>
      </c>
      <c r="D919" s="114">
        <f t="shared" si="7"/>
        <v>11</v>
      </c>
      <c r="E919" s="114" t="s">
        <v>8</v>
      </c>
      <c r="F919" s="114" t="s">
        <v>191</v>
      </c>
      <c r="G919" s="115" t="s">
        <v>192</v>
      </c>
      <c r="H919" s="114" t="s">
        <v>193</v>
      </c>
      <c r="I919" s="114" t="s">
        <v>173</v>
      </c>
      <c r="J919" s="186">
        <v>0</v>
      </c>
      <c r="K919" s="187">
        <v>0</v>
      </c>
      <c r="L919" s="187">
        <v>0</v>
      </c>
      <c r="M919" s="187">
        <v>0</v>
      </c>
      <c r="N919" s="187">
        <v>0</v>
      </c>
      <c r="O919" s="187">
        <v>0</v>
      </c>
      <c r="P919" s="188">
        <v>0</v>
      </c>
      <c r="Q919" s="186">
        <v>0</v>
      </c>
      <c r="R919" s="186">
        <v>0</v>
      </c>
      <c r="S919" s="184" t="s">
        <v>59</v>
      </c>
    </row>
    <row r="920" spans="1:19">
      <c r="A920" s="111">
        <v>919</v>
      </c>
      <c r="B920" s="192">
        <v>45239</v>
      </c>
      <c r="C920" s="113">
        <f t="shared" si="6"/>
        <v>2023</v>
      </c>
      <c r="D920" s="114">
        <f t="shared" si="7"/>
        <v>11</v>
      </c>
      <c r="E920" s="114" t="s">
        <v>8</v>
      </c>
      <c r="F920" s="114" t="s">
        <v>245</v>
      </c>
      <c r="G920" s="115" t="s">
        <v>246</v>
      </c>
      <c r="H920" s="114" t="s">
        <v>247</v>
      </c>
      <c r="I920" s="114" t="s">
        <v>184</v>
      </c>
      <c r="J920" s="186">
        <v>4</v>
      </c>
      <c r="K920" s="187">
        <v>70</v>
      </c>
      <c r="L920" s="187">
        <v>39</v>
      </c>
      <c r="M920" s="187">
        <v>2</v>
      </c>
      <c r="N920" s="187">
        <v>2583</v>
      </c>
      <c r="O920" s="187">
        <v>3618</v>
      </c>
      <c r="P920" s="188">
        <v>0.25</v>
      </c>
      <c r="Q920" s="189">
        <v>2583</v>
      </c>
      <c r="R920" s="189">
        <v>3618</v>
      </c>
      <c r="S920" s="184" t="s">
        <v>59</v>
      </c>
    </row>
    <row r="921" spans="1:19">
      <c r="A921" s="111">
        <v>920</v>
      </c>
      <c r="B921" s="192">
        <v>45240</v>
      </c>
      <c r="C921" s="113">
        <f t="shared" si="6"/>
        <v>2023</v>
      </c>
      <c r="D921" s="114">
        <f t="shared" si="7"/>
        <v>11</v>
      </c>
      <c r="E921" s="114" t="s">
        <v>88</v>
      </c>
      <c r="F921" s="114" t="s">
        <v>195</v>
      </c>
      <c r="G921" s="115" t="s">
        <v>196</v>
      </c>
      <c r="H921" s="114" t="s">
        <v>197</v>
      </c>
      <c r="I921" s="114" t="s">
        <v>184</v>
      </c>
      <c r="J921" s="186">
        <v>4</v>
      </c>
      <c r="K921" s="187">
        <v>34</v>
      </c>
      <c r="L921" s="187">
        <v>19</v>
      </c>
      <c r="M921" s="187">
        <v>1.9</v>
      </c>
      <c r="N921" s="187">
        <v>454</v>
      </c>
      <c r="O921" s="187">
        <v>666</v>
      </c>
      <c r="P921" s="188">
        <v>0</v>
      </c>
      <c r="Q921" s="189">
        <v>1817</v>
      </c>
      <c r="R921" s="189">
        <v>2664</v>
      </c>
      <c r="S921" s="184" t="s">
        <v>59</v>
      </c>
    </row>
    <row r="922" spans="1:19">
      <c r="A922" s="111">
        <v>921</v>
      </c>
      <c r="B922" s="192">
        <v>45241</v>
      </c>
      <c r="C922" s="113">
        <f t="shared" si="6"/>
        <v>2023</v>
      </c>
      <c r="D922" s="114">
        <f t="shared" si="7"/>
        <v>11</v>
      </c>
      <c r="E922" s="114" t="s">
        <v>104</v>
      </c>
      <c r="F922" s="114" t="s">
        <v>198</v>
      </c>
      <c r="G922" s="115" t="s">
        <v>199</v>
      </c>
      <c r="H922" s="114" t="s">
        <v>199</v>
      </c>
      <c r="I922" s="114" t="s">
        <v>200</v>
      </c>
      <c r="J922" s="186">
        <v>0</v>
      </c>
      <c r="K922" s="187">
        <v>0</v>
      </c>
      <c r="L922" s="187">
        <v>0</v>
      </c>
      <c r="M922" s="187">
        <v>0</v>
      </c>
      <c r="N922" s="187">
        <v>0</v>
      </c>
      <c r="O922" s="187">
        <v>0</v>
      </c>
      <c r="P922" s="188">
        <v>0</v>
      </c>
      <c r="Q922" s="186">
        <v>0</v>
      </c>
      <c r="R922" s="186">
        <v>0</v>
      </c>
      <c r="S922" s="184" t="s">
        <v>59</v>
      </c>
    </row>
    <row r="923" spans="1:19">
      <c r="A923" s="111">
        <v>922</v>
      </c>
      <c r="B923" s="192">
        <v>45242</v>
      </c>
      <c r="C923" s="113">
        <f t="shared" si="6"/>
        <v>2023</v>
      </c>
      <c r="D923" s="114">
        <f t="shared" si="7"/>
        <v>11</v>
      </c>
      <c r="E923" s="114" t="s">
        <v>93</v>
      </c>
      <c r="F923" s="114" t="s">
        <v>248</v>
      </c>
      <c r="G923" s="115" t="s">
        <v>199</v>
      </c>
      <c r="H923" s="114" t="s">
        <v>199</v>
      </c>
      <c r="I923" s="114" t="s">
        <v>200</v>
      </c>
      <c r="J923" s="186">
        <v>1</v>
      </c>
      <c r="K923" s="187">
        <v>32</v>
      </c>
      <c r="L923" s="187">
        <v>26</v>
      </c>
      <c r="M923" s="187">
        <v>2</v>
      </c>
      <c r="N923" s="187">
        <v>269</v>
      </c>
      <c r="O923" s="187">
        <v>326</v>
      </c>
      <c r="P923" s="188">
        <v>0</v>
      </c>
      <c r="Q923" s="186">
        <v>0</v>
      </c>
      <c r="R923" s="186">
        <v>0</v>
      </c>
      <c r="S923" s="184" t="s">
        <v>59</v>
      </c>
    </row>
    <row r="924" spans="1:19">
      <c r="A924" s="111">
        <v>923</v>
      </c>
      <c r="B924" s="192">
        <v>45243</v>
      </c>
      <c r="C924" s="113">
        <f t="shared" si="6"/>
        <v>2023</v>
      </c>
      <c r="D924" s="114">
        <f t="shared" si="7"/>
        <v>11</v>
      </c>
      <c r="E924" s="114" t="s">
        <v>30</v>
      </c>
      <c r="F924" s="114" t="s">
        <v>205</v>
      </c>
      <c r="G924" s="115" t="s">
        <v>206</v>
      </c>
      <c r="H924" s="114" t="s">
        <v>207</v>
      </c>
      <c r="I924" s="114" t="s">
        <v>184</v>
      </c>
      <c r="J924" s="186">
        <v>0</v>
      </c>
      <c r="K924" s="187">
        <v>0</v>
      </c>
      <c r="L924" s="187">
        <v>0</v>
      </c>
      <c r="M924" s="187">
        <v>0</v>
      </c>
      <c r="N924" s="187">
        <v>0</v>
      </c>
      <c r="O924" s="187">
        <v>0</v>
      </c>
      <c r="P924" s="188">
        <v>0</v>
      </c>
      <c r="Q924" s="186">
        <v>0</v>
      </c>
      <c r="R924" s="186">
        <v>0</v>
      </c>
      <c r="S924" s="184" t="s">
        <v>59</v>
      </c>
    </row>
    <row r="925" spans="1:19">
      <c r="A925" s="111">
        <v>924</v>
      </c>
      <c r="B925" s="192">
        <v>45244</v>
      </c>
      <c r="C925" s="113">
        <f t="shared" si="6"/>
        <v>2023</v>
      </c>
      <c r="D925" s="114">
        <f t="shared" si="7"/>
        <v>11</v>
      </c>
      <c r="E925" s="114" t="s">
        <v>10</v>
      </c>
      <c r="F925" s="114" t="s">
        <v>208</v>
      </c>
      <c r="G925" s="115" t="s">
        <v>209</v>
      </c>
      <c r="H925" s="114" t="s">
        <v>210</v>
      </c>
      <c r="I925" s="114" t="s">
        <v>173</v>
      </c>
      <c r="J925" s="186">
        <v>0</v>
      </c>
      <c r="K925" s="187">
        <v>0</v>
      </c>
      <c r="L925" s="187">
        <v>0</v>
      </c>
      <c r="M925" s="187">
        <v>0</v>
      </c>
      <c r="N925" s="187">
        <v>0</v>
      </c>
      <c r="O925" s="187">
        <v>0</v>
      </c>
      <c r="P925" s="188">
        <v>0</v>
      </c>
      <c r="Q925" s="186">
        <v>0</v>
      </c>
      <c r="R925" s="186">
        <v>0</v>
      </c>
      <c r="S925" s="184" t="s">
        <v>59</v>
      </c>
    </row>
    <row r="926" spans="1:19">
      <c r="A926" s="111">
        <v>925</v>
      </c>
      <c r="B926" s="192">
        <v>45245</v>
      </c>
      <c r="C926" s="113">
        <f t="shared" si="6"/>
        <v>2023</v>
      </c>
      <c r="D926" s="114">
        <f t="shared" si="7"/>
        <v>11</v>
      </c>
      <c r="E926" s="114" t="s">
        <v>10</v>
      </c>
      <c r="F926" s="114" t="s">
        <v>211</v>
      </c>
      <c r="G926" s="115" t="s">
        <v>212</v>
      </c>
      <c r="H926" s="114" t="s">
        <v>213</v>
      </c>
      <c r="I926" s="114" t="s">
        <v>173</v>
      </c>
      <c r="J926" s="186">
        <v>0</v>
      </c>
      <c r="K926" s="187">
        <v>0</v>
      </c>
      <c r="L926" s="187">
        <v>0</v>
      </c>
      <c r="M926" s="187">
        <v>0</v>
      </c>
      <c r="N926" s="187">
        <v>0</v>
      </c>
      <c r="O926" s="187">
        <v>0</v>
      </c>
      <c r="P926" s="188">
        <v>0</v>
      </c>
      <c r="Q926" s="186">
        <v>0</v>
      </c>
      <c r="R926" s="186">
        <v>0</v>
      </c>
      <c r="S926" s="184" t="s">
        <v>59</v>
      </c>
    </row>
    <row r="927" spans="1:19">
      <c r="A927" s="111">
        <v>926</v>
      </c>
      <c r="B927" s="192">
        <v>45246</v>
      </c>
      <c r="C927" s="113">
        <f t="shared" si="6"/>
        <v>2023</v>
      </c>
      <c r="D927" s="114">
        <f t="shared" si="7"/>
        <v>11</v>
      </c>
      <c r="E927" s="114" t="s">
        <v>10</v>
      </c>
      <c r="F927" s="114" t="s">
        <v>214</v>
      </c>
      <c r="G927" s="115" t="s">
        <v>215</v>
      </c>
      <c r="H927" s="114" t="s">
        <v>216</v>
      </c>
      <c r="I927" s="114" t="s">
        <v>184</v>
      </c>
      <c r="J927" s="186">
        <v>5</v>
      </c>
      <c r="K927" s="187">
        <v>58</v>
      </c>
      <c r="L927" s="187">
        <v>25</v>
      </c>
      <c r="M927" s="187">
        <v>2.6</v>
      </c>
      <c r="N927" s="187">
        <v>888</v>
      </c>
      <c r="O927" s="187">
        <v>1366</v>
      </c>
      <c r="P927" s="188">
        <v>0.8</v>
      </c>
      <c r="Q927" s="189">
        <v>4438</v>
      </c>
      <c r="R927" s="189">
        <v>6829</v>
      </c>
      <c r="S927" s="184" t="s">
        <v>59</v>
      </c>
    </row>
    <row r="928" spans="1:19">
      <c r="A928" s="111">
        <v>927</v>
      </c>
      <c r="B928" s="192">
        <v>45247</v>
      </c>
      <c r="C928" s="113">
        <f t="shared" si="6"/>
        <v>2023</v>
      </c>
      <c r="D928" s="114">
        <f t="shared" si="7"/>
        <v>11</v>
      </c>
      <c r="E928" s="114" t="s">
        <v>9</v>
      </c>
      <c r="F928" s="114" t="s">
        <v>217</v>
      </c>
      <c r="G928" s="115" t="s">
        <v>218</v>
      </c>
      <c r="H928" s="114" t="s">
        <v>219</v>
      </c>
      <c r="I928" s="114" t="s">
        <v>184</v>
      </c>
      <c r="J928" s="186">
        <v>4</v>
      </c>
      <c r="K928" s="187">
        <v>95</v>
      </c>
      <c r="L928" s="187">
        <v>30</v>
      </c>
      <c r="M928" s="187">
        <v>3.3</v>
      </c>
      <c r="N928" s="187">
        <v>2262</v>
      </c>
      <c r="O928" s="187">
        <v>3578</v>
      </c>
      <c r="P928" s="188">
        <v>0.25</v>
      </c>
      <c r="Q928" s="189">
        <v>9046</v>
      </c>
      <c r="R928" s="189">
        <v>14313</v>
      </c>
      <c r="S928" s="184" t="s">
        <v>59</v>
      </c>
    </row>
    <row r="929" spans="1:19">
      <c r="A929" s="111">
        <v>928</v>
      </c>
      <c r="B929" s="192">
        <v>45248</v>
      </c>
      <c r="C929" s="113">
        <f t="shared" si="6"/>
        <v>2023</v>
      </c>
      <c r="D929" s="114">
        <f t="shared" si="7"/>
        <v>11</v>
      </c>
      <c r="E929" s="114" t="s">
        <v>11</v>
      </c>
      <c r="F929" s="114" t="s">
        <v>220</v>
      </c>
      <c r="G929" s="115" t="s">
        <v>221</v>
      </c>
      <c r="H929" s="114" t="s">
        <v>222</v>
      </c>
      <c r="I929" s="114" t="s">
        <v>184</v>
      </c>
      <c r="J929" s="186">
        <v>1</v>
      </c>
      <c r="K929" s="187">
        <v>58</v>
      </c>
      <c r="L929" s="187">
        <v>26</v>
      </c>
      <c r="M929" s="187">
        <v>2.5</v>
      </c>
      <c r="N929" s="187">
        <v>792</v>
      </c>
      <c r="O929" s="187">
        <v>1192</v>
      </c>
      <c r="P929" s="188">
        <v>1</v>
      </c>
      <c r="Q929" s="186">
        <v>792</v>
      </c>
      <c r="R929" s="189">
        <v>1192</v>
      </c>
      <c r="S929" s="184" t="s">
        <v>59</v>
      </c>
    </row>
    <row r="930" spans="1:19">
      <c r="A930" s="111">
        <v>929</v>
      </c>
      <c r="B930" s="192">
        <v>45249</v>
      </c>
      <c r="C930" s="113">
        <f t="shared" si="6"/>
        <v>2023</v>
      </c>
      <c r="D930" s="114">
        <f t="shared" si="7"/>
        <v>11</v>
      </c>
      <c r="E930" s="114" t="s">
        <v>11</v>
      </c>
      <c r="F930" s="114" t="s">
        <v>249</v>
      </c>
      <c r="G930" s="115" t="s">
        <v>250</v>
      </c>
      <c r="H930" s="114" t="s">
        <v>251</v>
      </c>
      <c r="I930" s="114" t="s">
        <v>184</v>
      </c>
      <c r="J930" s="186">
        <v>1</v>
      </c>
      <c r="K930" s="187">
        <v>57</v>
      </c>
      <c r="L930" s="187">
        <v>30</v>
      </c>
      <c r="M930" s="187">
        <v>2</v>
      </c>
      <c r="N930" s="187">
        <v>709</v>
      </c>
      <c r="O930" s="187">
        <v>1126</v>
      </c>
      <c r="P930" s="188">
        <v>0</v>
      </c>
      <c r="Q930" s="186">
        <v>709</v>
      </c>
      <c r="R930" s="186">
        <v>1126</v>
      </c>
      <c r="S930" s="184" t="s">
        <v>59</v>
      </c>
    </row>
    <row r="931" spans="1:19">
      <c r="A931" s="111">
        <v>930</v>
      </c>
      <c r="B931" s="192">
        <v>45250</v>
      </c>
      <c r="C931" s="113">
        <f t="shared" si="6"/>
        <v>2023</v>
      </c>
      <c r="D931" s="114">
        <f t="shared" si="7"/>
        <v>11</v>
      </c>
      <c r="E931" s="114" t="s">
        <v>91</v>
      </c>
      <c r="F931" s="114" t="s">
        <v>178</v>
      </c>
      <c r="G931" s="115" t="s">
        <v>179</v>
      </c>
      <c r="H931" s="114" t="s">
        <v>180</v>
      </c>
      <c r="I931" s="114" t="s">
        <v>173</v>
      </c>
      <c r="J931" s="186">
        <v>1</v>
      </c>
      <c r="K931" s="187">
        <v>55</v>
      </c>
      <c r="L931" s="187">
        <v>23</v>
      </c>
      <c r="M931" s="187">
        <v>2.8</v>
      </c>
      <c r="N931" s="187">
        <v>826</v>
      </c>
      <c r="O931" s="187">
        <v>1251</v>
      </c>
      <c r="P931" s="188">
        <v>1</v>
      </c>
      <c r="Q931" s="186">
        <v>826</v>
      </c>
      <c r="R931" s="189">
        <v>1251</v>
      </c>
      <c r="S931" s="184" t="s">
        <v>59</v>
      </c>
    </row>
    <row r="932" spans="1:19">
      <c r="A932" s="111">
        <v>931</v>
      </c>
      <c r="B932" s="192">
        <v>45251</v>
      </c>
      <c r="C932" s="113">
        <f t="shared" si="6"/>
        <v>2023</v>
      </c>
      <c r="D932" s="114">
        <f t="shared" si="7"/>
        <v>11</v>
      </c>
      <c r="E932" s="114" t="s">
        <v>23</v>
      </c>
      <c r="F932" s="114" t="s">
        <v>223</v>
      </c>
      <c r="G932" s="115" t="s">
        <v>175</v>
      </c>
      <c r="H932" s="114" t="s">
        <v>176</v>
      </c>
      <c r="I932" s="114" t="s">
        <v>173</v>
      </c>
      <c r="J932" s="186">
        <v>0</v>
      </c>
      <c r="K932" s="187">
        <v>0</v>
      </c>
      <c r="L932" s="187">
        <v>0</v>
      </c>
      <c r="M932" s="187">
        <v>0</v>
      </c>
      <c r="N932" s="187">
        <v>0</v>
      </c>
      <c r="O932" s="187">
        <v>0</v>
      </c>
      <c r="P932" s="188">
        <v>0</v>
      </c>
      <c r="Q932" s="186">
        <v>0</v>
      </c>
      <c r="R932" s="186">
        <v>0</v>
      </c>
      <c r="S932" s="184" t="s">
        <v>59</v>
      </c>
    </row>
    <row r="933" spans="1:19">
      <c r="A933" s="111">
        <v>932</v>
      </c>
      <c r="B933" s="192">
        <v>45252</v>
      </c>
      <c r="C933" s="113">
        <f t="shared" si="6"/>
        <v>2023</v>
      </c>
      <c r="D933" s="114">
        <f t="shared" si="7"/>
        <v>11</v>
      </c>
      <c r="E933" s="114" t="s">
        <v>23</v>
      </c>
      <c r="F933" s="114" t="s">
        <v>224</v>
      </c>
      <c r="G933" s="115" t="s">
        <v>107</v>
      </c>
      <c r="H933" s="114" t="s">
        <v>107</v>
      </c>
      <c r="I933" s="114" t="s">
        <v>107</v>
      </c>
      <c r="J933" s="186">
        <v>0</v>
      </c>
      <c r="K933" s="187">
        <v>0</v>
      </c>
      <c r="L933" s="187">
        <v>0</v>
      </c>
      <c r="M933" s="187">
        <v>0</v>
      </c>
      <c r="N933" s="187">
        <v>0</v>
      </c>
      <c r="O933" s="187">
        <v>0</v>
      </c>
      <c r="P933" s="188">
        <v>0</v>
      </c>
      <c r="Q933" s="186">
        <v>0</v>
      </c>
      <c r="R933" s="186">
        <v>0</v>
      </c>
      <c r="S933" s="184" t="s">
        <v>59</v>
      </c>
    </row>
    <row r="934" spans="1:19">
      <c r="A934" s="111">
        <v>933</v>
      </c>
      <c r="B934" s="192">
        <v>45253</v>
      </c>
      <c r="C934" s="113">
        <f t="shared" si="6"/>
        <v>2023</v>
      </c>
      <c r="D934" s="114">
        <f t="shared" si="7"/>
        <v>11</v>
      </c>
      <c r="E934" s="114" t="s">
        <v>15</v>
      </c>
      <c r="F934" s="114" t="s">
        <v>225</v>
      </c>
      <c r="G934" s="115" t="s">
        <v>226</v>
      </c>
      <c r="H934" s="114" t="s">
        <v>227</v>
      </c>
      <c r="I934" s="114" t="s">
        <v>173</v>
      </c>
      <c r="J934" s="186">
        <v>0</v>
      </c>
      <c r="K934" s="187">
        <v>0</v>
      </c>
      <c r="L934" s="187">
        <v>0</v>
      </c>
      <c r="M934" s="187">
        <v>0</v>
      </c>
      <c r="N934" s="187">
        <v>0</v>
      </c>
      <c r="O934" s="187">
        <v>0</v>
      </c>
      <c r="P934" s="188">
        <v>0</v>
      </c>
      <c r="Q934" s="186">
        <v>0</v>
      </c>
      <c r="R934" s="186">
        <v>0</v>
      </c>
      <c r="S934" s="184" t="s">
        <v>59</v>
      </c>
    </row>
    <row r="935" spans="1:19">
      <c r="A935" s="111">
        <v>934</v>
      </c>
      <c r="B935" s="192">
        <v>45254</v>
      </c>
      <c r="C935" s="113">
        <f t="shared" si="6"/>
        <v>2023</v>
      </c>
      <c r="D935" s="114">
        <f t="shared" si="7"/>
        <v>11</v>
      </c>
      <c r="E935" s="114" t="s">
        <v>84</v>
      </c>
      <c r="F935" s="114" t="s">
        <v>228</v>
      </c>
      <c r="G935" s="115" t="s">
        <v>229</v>
      </c>
      <c r="H935" s="114" t="s">
        <v>230</v>
      </c>
      <c r="I935" s="114" t="s">
        <v>184</v>
      </c>
      <c r="J935" s="186">
        <v>4</v>
      </c>
      <c r="K935" s="187">
        <v>32</v>
      </c>
      <c r="L935" s="187">
        <v>21</v>
      </c>
      <c r="M935" s="187">
        <v>1.8</v>
      </c>
      <c r="N935" s="187">
        <v>330</v>
      </c>
      <c r="O935" s="187">
        <v>524</v>
      </c>
      <c r="P935" s="188">
        <v>0.75</v>
      </c>
      <c r="Q935" s="189">
        <v>1319</v>
      </c>
      <c r="R935" s="189">
        <v>2096</v>
      </c>
      <c r="S935" s="184" t="s">
        <v>59</v>
      </c>
    </row>
    <row r="936" spans="1:19">
      <c r="A936" s="111">
        <v>935</v>
      </c>
      <c r="B936" s="192">
        <v>45255</v>
      </c>
      <c r="C936" s="113">
        <f t="shared" si="6"/>
        <v>2023</v>
      </c>
      <c r="D936" s="114">
        <f t="shared" si="7"/>
        <v>11</v>
      </c>
      <c r="E936" s="114" t="s">
        <v>84</v>
      </c>
      <c r="F936" s="114" t="s">
        <v>231</v>
      </c>
      <c r="G936" s="115" t="s">
        <v>232</v>
      </c>
      <c r="H936" s="114" t="s">
        <v>233</v>
      </c>
      <c r="I936" s="114" t="s">
        <v>184</v>
      </c>
      <c r="J936" s="186">
        <v>0</v>
      </c>
      <c r="K936" s="187">
        <v>0</v>
      </c>
      <c r="L936" s="187">
        <v>0</v>
      </c>
      <c r="M936" s="187">
        <v>0</v>
      </c>
      <c r="N936" s="187">
        <v>0</v>
      </c>
      <c r="O936" s="187">
        <v>0</v>
      </c>
      <c r="P936" s="188">
        <v>0</v>
      </c>
      <c r="Q936" s="186">
        <v>0</v>
      </c>
      <c r="R936" s="186">
        <v>0</v>
      </c>
      <c r="S936" s="184" t="s">
        <v>59</v>
      </c>
    </row>
    <row r="937" spans="1:19">
      <c r="A937" s="111">
        <v>936</v>
      </c>
      <c r="B937" s="192">
        <v>45256</v>
      </c>
      <c r="C937" s="113">
        <f t="shared" si="6"/>
        <v>2023</v>
      </c>
      <c r="D937" s="114">
        <f t="shared" si="7"/>
        <v>11</v>
      </c>
      <c r="E937" s="114" t="s">
        <v>84</v>
      </c>
      <c r="F937" s="114" t="s">
        <v>249</v>
      </c>
      <c r="G937" s="125" t="s">
        <v>250</v>
      </c>
      <c r="H937" s="185" t="s">
        <v>251</v>
      </c>
      <c r="I937" s="185"/>
      <c r="J937" s="186">
        <v>1</v>
      </c>
      <c r="K937" s="187">
        <v>44</v>
      </c>
      <c r="L937" s="187">
        <v>23</v>
      </c>
      <c r="M937" s="187">
        <v>2.1</v>
      </c>
      <c r="N937" s="187">
        <v>766</v>
      </c>
      <c r="O937" s="187">
        <v>1212</v>
      </c>
      <c r="P937" s="188">
        <v>0</v>
      </c>
      <c r="Q937" s="186">
        <v>766</v>
      </c>
      <c r="R937" s="189">
        <v>1212</v>
      </c>
      <c r="S937" s="184" t="s">
        <v>59</v>
      </c>
    </row>
    <row r="938" spans="1:19">
      <c r="A938" s="111">
        <v>937</v>
      </c>
      <c r="B938" s="192">
        <v>45257</v>
      </c>
      <c r="C938" s="113">
        <f t="shared" si="6"/>
        <v>2023</v>
      </c>
      <c r="D938" s="114">
        <f t="shared" si="7"/>
        <v>11</v>
      </c>
      <c r="E938" s="114" t="s">
        <v>22</v>
      </c>
      <c r="F938" s="114" t="s">
        <v>174</v>
      </c>
      <c r="G938" s="115" t="s">
        <v>175</v>
      </c>
      <c r="H938" s="114" t="s">
        <v>176</v>
      </c>
      <c r="I938" s="114" t="s">
        <v>173</v>
      </c>
      <c r="J938" s="186">
        <v>4</v>
      </c>
      <c r="K938" s="187">
        <v>77</v>
      </c>
      <c r="L938" s="187">
        <v>28</v>
      </c>
      <c r="M938" s="187">
        <v>2.8</v>
      </c>
      <c r="N938" s="187">
        <v>1778</v>
      </c>
      <c r="O938" s="187">
        <v>2509</v>
      </c>
      <c r="P938" s="188">
        <v>0</v>
      </c>
      <c r="Q938" s="189">
        <v>7112</v>
      </c>
      <c r="R938" s="189">
        <v>10037</v>
      </c>
      <c r="S938" s="184" t="s">
        <v>59</v>
      </c>
    </row>
    <row r="939" spans="1:19">
      <c r="A939" s="111">
        <v>938</v>
      </c>
      <c r="B939" s="192">
        <v>45258</v>
      </c>
      <c r="C939" s="113">
        <f t="shared" si="6"/>
        <v>2023</v>
      </c>
      <c r="D939" s="114">
        <f t="shared" si="7"/>
        <v>11</v>
      </c>
      <c r="E939" s="114" t="s">
        <v>22</v>
      </c>
      <c r="F939" s="114" t="s">
        <v>177</v>
      </c>
      <c r="G939" s="115" t="s">
        <v>175</v>
      </c>
      <c r="H939" s="114" t="s">
        <v>176</v>
      </c>
      <c r="I939" s="114" t="s">
        <v>173</v>
      </c>
      <c r="J939" s="186">
        <v>5</v>
      </c>
      <c r="K939" s="187">
        <v>0</v>
      </c>
      <c r="L939" s="187">
        <v>0</v>
      </c>
      <c r="M939" s="187">
        <v>0</v>
      </c>
      <c r="N939" s="187">
        <v>0</v>
      </c>
      <c r="O939" s="187">
        <v>0</v>
      </c>
      <c r="P939" s="188">
        <v>0</v>
      </c>
      <c r="Q939" s="189">
        <v>7790</v>
      </c>
      <c r="R939" s="189">
        <v>10945</v>
      </c>
      <c r="S939" s="184" t="s">
        <v>59</v>
      </c>
    </row>
    <row r="940" spans="1:19">
      <c r="A940" s="111">
        <v>939</v>
      </c>
      <c r="B940" s="192">
        <v>45259</v>
      </c>
      <c r="C940" s="113">
        <f t="shared" si="6"/>
        <v>2023</v>
      </c>
      <c r="D940" s="114">
        <f t="shared" si="7"/>
        <v>11</v>
      </c>
      <c r="E940" s="114" t="s">
        <v>22</v>
      </c>
      <c r="F940" s="114" t="s">
        <v>223</v>
      </c>
      <c r="G940" s="115" t="s">
        <v>175</v>
      </c>
      <c r="H940" s="114" t="s">
        <v>176</v>
      </c>
      <c r="I940" s="114" t="s">
        <v>173</v>
      </c>
      <c r="J940" s="186">
        <v>0</v>
      </c>
      <c r="K940" s="187">
        <v>0</v>
      </c>
      <c r="L940" s="187">
        <v>0</v>
      </c>
      <c r="M940" s="187">
        <v>0</v>
      </c>
      <c r="N940" s="187">
        <v>0</v>
      </c>
      <c r="O940" s="187">
        <v>0</v>
      </c>
      <c r="P940" s="188">
        <v>0</v>
      </c>
      <c r="Q940" s="186">
        <v>0</v>
      </c>
      <c r="R940" s="186">
        <v>0</v>
      </c>
      <c r="S940" s="184" t="s">
        <v>59</v>
      </c>
    </row>
    <row r="941" spans="1:19">
      <c r="A941" s="111">
        <v>940</v>
      </c>
      <c r="B941" s="192">
        <v>45260</v>
      </c>
      <c r="C941" s="113">
        <f t="shared" si="6"/>
        <v>2023</v>
      </c>
      <c r="D941" s="114">
        <f t="shared" si="7"/>
        <v>11</v>
      </c>
      <c r="E941" s="114" t="s">
        <v>12</v>
      </c>
      <c r="F941" s="114" t="s">
        <v>220</v>
      </c>
      <c r="G941" s="115" t="s">
        <v>221</v>
      </c>
      <c r="H941" s="114" t="s">
        <v>222</v>
      </c>
      <c r="I941" s="114" t="s">
        <v>184</v>
      </c>
      <c r="J941" s="186">
        <v>0</v>
      </c>
      <c r="K941" s="187">
        <v>0</v>
      </c>
      <c r="L941" s="187">
        <v>0</v>
      </c>
      <c r="M941" s="187">
        <v>0</v>
      </c>
      <c r="N941" s="187">
        <v>0</v>
      </c>
      <c r="O941" s="187">
        <v>0</v>
      </c>
      <c r="P941" s="188">
        <v>0</v>
      </c>
      <c r="Q941" s="186">
        <v>0</v>
      </c>
      <c r="R941" s="186">
        <v>0</v>
      </c>
      <c r="S941" s="184" t="s">
        <v>59</v>
      </c>
    </row>
    <row r="942" spans="1:19">
      <c r="A942" s="111">
        <v>941</v>
      </c>
      <c r="B942" s="192">
        <v>45231</v>
      </c>
      <c r="C942" s="113">
        <f t="shared" si="6"/>
        <v>2023</v>
      </c>
      <c r="D942" s="114">
        <f t="shared" si="7"/>
        <v>11</v>
      </c>
      <c r="E942" s="114" t="s">
        <v>12</v>
      </c>
      <c r="F942" s="114" t="s">
        <v>234</v>
      </c>
      <c r="G942" s="115" t="s">
        <v>235</v>
      </c>
      <c r="H942" s="114" t="s">
        <v>236</v>
      </c>
      <c r="I942" s="114" t="s">
        <v>184</v>
      </c>
      <c r="J942" s="186">
        <v>4</v>
      </c>
      <c r="K942" s="187">
        <v>58</v>
      </c>
      <c r="L942" s="187">
        <v>28</v>
      </c>
      <c r="M942" s="187">
        <v>2.2999999999999998</v>
      </c>
      <c r="N942" s="187">
        <v>928</v>
      </c>
      <c r="O942" s="187">
        <v>1408</v>
      </c>
      <c r="P942" s="188">
        <v>0.75</v>
      </c>
      <c r="Q942" s="189">
        <v>3711</v>
      </c>
      <c r="R942" s="189">
        <v>5633</v>
      </c>
      <c r="S942" s="184" t="s">
        <v>59</v>
      </c>
    </row>
    <row r="943" spans="1:19">
      <c r="A943" s="111">
        <v>942</v>
      </c>
      <c r="B943" s="192">
        <v>45232</v>
      </c>
      <c r="C943" s="113">
        <f t="shared" si="6"/>
        <v>2023</v>
      </c>
      <c r="D943" s="114">
        <f t="shared" si="7"/>
        <v>11</v>
      </c>
      <c r="E943" s="114" t="s">
        <v>12</v>
      </c>
      <c r="F943" s="114" t="s">
        <v>237</v>
      </c>
      <c r="G943" s="115" t="s">
        <v>199</v>
      </c>
      <c r="H943" s="114" t="s">
        <v>199</v>
      </c>
      <c r="I943" s="114" t="s">
        <v>200</v>
      </c>
      <c r="J943" s="186">
        <v>0</v>
      </c>
      <c r="K943" s="187">
        <v>0</v>
      </c>
      <c r="L943" s="187">
        <v>0</v>
      </c>
      <c r="M943" s="187">
        <v>0</v>
      </c>
      <c r="N943" s="187">
        <v>0</v>
      </c>
      <c r="O943" s="187">
        <v>0</v>
      </c>
      <c r="P943" s="188">
        <v>0</v>
      </c>
      <c r="Q943" s="186">
        <v>0</v>
      </c>
      <c r="R943" s="186">
        <v>0</v>
      </c>
      <c r="S943" s="184" t="s">
        <v>59</v>
      </c>
    </row>
    <row r="944" spans="1:19">
      <c r="A944" s="111">
        <v>943</v>
      </c>
      <c r="B944" s="192">
        <v>45233</v>
      </c>
      <c r="C944" s="113">
        <f t="shared" si="6"/>
        <v>2023</v>
      </c>
      <c r="D944" s="114">
        <f t="shared" si="7"/>
        <v>11</v>
      </c>
      <c r="E944" s="114" t="s">
        <v>12</v>
      </c>
      <c r="F944" s="114" t="s">
        <v>252</v>
      </c>
      <c r="G944" s="115" t="s">
        <v>253</v>
      </c>
      <c r="H944" s="114" t="s">
        <v>254</v>
      </c>
      <c r="I944" s="114" t="s">
        <v>184</v>
      </c>
      <c r="J944" s="186">
        <v>0</v>
      </c>
      <c r="K944" s="187">
        <v>0</v>
      </c>
      <c r="L944" s="187">
        <v>0</v>
      </c>
      <c r="M944" s="187">
        <v>0</v>
      </c>
      <c r="N944" s="187">
        <v>0</v>
      </c>
      <c r="O944" s="187">
        <v>0</v>
      </c>
      <c r="P944" s="188">
        <v>0</v>
      </c>
      <c r="Q944" s="186">
        <v>0</v>
      </c>
      <c r="R944" s="186">
        <v>0</v>
      </c>
      <c r="S944" s="184" t="s">
        <v>59</v>
      </c>
    </row>
    <row r="945" spans="1:19">
      <c r="A945" s="111">
        <v>944</v>
      </c>
      <c r="B945" s="192">
        <v>45234</v>
      </c>
      <c r="C945" s="113">
        <f t="shared" si="6"/>
        <v>2023</v>
      </c>
      <c r="D945" s="114">
        <f t="shared" si="7"/>
        <v>11</v>
      </c>
      <c r="E945" s="114" t="s">
        <v>26</v>
      </c>
      <c r="F945" s="114" t="s">
        <v>238</v>
      </c>
      <c r="G945" s="115" t="s">
        <v>175</v>
      </c>
      <c r="H945" s="114" t="s">
        <v>176</v>
      </c>
      <c r="I945" s="114" t="s">
        <v>173</v>
      </c>
      <c r="J945" s="186">
        <v>0</v>
      </c>
      <c r="K945" s="187">
        <v>0</v>
      </c>
      <c r="L945" s="187">
        <v>0</v>
      </c>
      <c r="M945" s="187">
        <v>0</v>
      </c>
      <c r="N945" s="187">
        <v>0</v>
      </c>
      <c r="O945" s="187">
        <v>0</v>
      </c>
      <c r="P945" s="188">
        <v>0</v>
      </c>
      <c r="Q945" s="186">
        <v>0</v>
      </c>
      <c r="R945" s="186">
        <v>0</v>
      </c>
      <c r="S945" s="184" t="s">
        <v>59</v>
      </c>
    </row>
    <row r="946" spans="1:19">
      <c r="A946" s="111">
        <v>945</v>
      </c>
      <c r="B946" s="192">
        <v>45235</v>
      </c>
      <c r="C946" s="113">
        <f t="shared" si="6"/>
        <v>2023</v>
      </c>
      <c r="D946" s="114">
        <f t="shared" si="7"/>
        <v>11</v>
      </c>
      <c r="E946" s="114" t="s">
        <v>19</v>
      </c>
      <c r="F946" s="114" t="s">
        <v>178</v>
      </c>
      <c r="G946" s="115" t="s">
        <v>179</v>
      </c>
      <c r="H946" s="114" t="s">
        <v>180</v>
      </c>
      <c r="I946" s="114" t="s">
        <v>173</v>
      </c>
      <c r="J946" s="186">
        <v>1</v>
      </c>
      <c r="K946" s="187">
        <v>53</v>
      </c>
      <c r="L946" s="187">
        <v>25</v>
      </c>
      <c r="M946" s="187">
        <v>2.4</v>
      </c>
      <c r="N946" s="187">
        <v>699</v>
      </c>
      <c r="O946" s="187">
        <v>988</v>
      </c>
      <c r="P946" s="188">
        <v>1</v>
      </c>
      <c r="Q946" s="186">
        <v>699</v>
      </c>
      <c r="R946" s="186">
        <v>988</v>
      </c>
      <c r="S946" s="184" t="s">
        <v>59</v>
      </c>
    </row>
    <row r="947" spans="1:19">
      <c r="A947" s="111">
        <v>946</v>
      </c>
      <c r="B947" s="192">
        <v>45236</v>
      </c>
      <c r="C947" s="113">
        <f t="shared" si="6"/>
        <v>2023</v>
      </c>
      <c r="D947" s="114">
        <f t="shared" si="7"/>
        <v>11</v>
      </c>
      <c r="E947" s="114" t="s">
        <v>7</v>
      </c>
      <c r="F947" s="114" t="s">
        <v>239</v>
      </c>
      <c r="G947" s="115" t="s">
        <v>240</v>
      </c>
      <c r="H947" s="114" t="s">
        <v>241</v>
      </c>
      <c r="I947" s="114" t="s">
        <v>184</v>
      </c>
      <c r="J947" s="186">
        <v>3</v>
      </c>
      <c r="K947" s="187">
        <v>51</v>
      </c>
      <c r="L947" s="187">
        <v>31</v>
      </c>
      <c r="M947" s="187">
        <v>2.5</v>
      </c>
      <c r="N947" s="187">
        <v>690</v>
      </c>
      <c r="O947" s="187">
        <v>1042</v>
      </c>
      <c r="P947" s="188">
        <v>0.33</v>
      </c>
      <c r="Q947" s="189">
        <v>2069</v>
      </c>
      <c r="R947" s="189">
        <v>3127</v>
      </c>
      <c r="S947" s="184" t="s">
        <v>59</v>
      </c>
    </row>
    <row r="948" spans="1:19">
      <c r="A948" s="111">
        <v>947</v>
      </c>
      <c r="B948" s="192">
        <v>45237</v>
      </c>
      <c r="C948" s="113">
        <f t="shared" si="6"/>
        <v>2023</v>
      </c>
      <c r="D948" s="114">
        <f t="shared" si="7"/>
        <v>11</v>
      </c>
      <c r="E948" s="114" t="s">
        <v>7</v>
      </c>
      <c r="F948" s="114" t="s">
        <v>220</v>
      </c>
      <c r="G948" s="115" t="s">
        <v>221</v>
      </c>
      <c r="H948" s="114" t="s">
        <v>222</v>
      </c>
      <c r="I948" s="114" t="s">
        <v>184</v>
      </c>
      <c r="J948" s="186">
        <v>2</v>
      </c>
      <c r="K948" s="187">
        <v>50</v>
      </c>
      <c r="L948" s="187">
        <v>24</v>
      </c>
      <c r="M948" s="187">
        <v>2.4</v>
      </c>
      <c r="N948" s="187">
        <v>748</v>
      </c>
      <c r="O948" s="187">
        <v>1099</v>
      </c>
      <c r="P948" s="188">
        <v>1</v>
      </c>
      <c r="Q948" s="189">
        <v>1496</v>
      </c>
      <c r="R948" s="189">
        <v>2197</v>
      </c>
      <c r="S948" s="184" t="s">
        <v>59</v>
      </c>
    </row>
    <row r="949" spans="1:19">
      <c r="A949" s="111">
        <v>948</v>
      </c>
      <c r="B949" s="192">
        <v>45238</v>
      </c>
      <c r="C949" s="113">
        <f t="shared" si="6"/>
        <v>2023</v>
      </c>
      <c r="D949" s="114">
        <f t="shared" si="7"/>
        <v>11</v>
      </c>
      <c r="E949" s="114" t="s">
        <v>7</v>
      </c>
      <c r="F949" s="114" t="s">
        <v>242</v>
      </c>
      <c r="G949" s="115" t="s">
        <v>243</v>
      </c>
      <c r="H949" s="114" t="s">
        <v>244</v>
      </c>
      <c r="I949" s="114" t="s">
        <v>184</v>
      </c>
      <c r="J949" s="186">
        <v>3</v>
      </c>
      <c r="K949" s="187">
        <v>79</v>
      </c>
      <c r="L949" s="187">
        <v>30</v>
      </c>
      <c r="M949" s="187">
        <v>2.9</v>
      </c>
      <c r="N949" s="187">
        <v>1295</v>
      </c>
      <c r="O949" s="187">
        <v>2158</v>
      </c>
      <c r="P949" s="188">
        <v>0</v>
      </c>
      <c r="Q949" s="189">
        <v>3884</v>
      </c>
      <c r="R949" s="189">
        <v>6474</v>
      </c>
      <c r="S949" s="184" t="s">
        <v>59</v>
      </c>
    </row>
    <row r="950" spans="1:19">
      <c r="A950" s="111">
        <v>949</v>
      </c>
      <c r="B950" s="192">
        <v>45239</v>
      </c>
      <c r="C950" s="113">
        <f t="shared" si="6"/>
        <v>2023</v>
      </c>
      <c r="D950" s="114">
        <f t="shared" si="7"/>
        <v>11</v>
      </c>
      <c r="E950" s="114" t="s">
        <v>7</v>
      </c>
      <c r="F950" s="114" t="s">
        <v>255</v>
      </c>
      <c r="G950" s="115" t="s">
        <v>256</v>
      </c>
      <c r="H950" s="114" t="s">
        <v>257</v>
      </c>
      <c r="I950" s="114" t="s">
        <v>173</v>
      </c>
      <c r="J950" s="186">
        <v>2</v>
      </c>
      <c r="K950" s="187">
        <v>91</v>
      </c>
      <c r="L950" s="187">
        <v>32</v>
      </c>
      <c r="M950" s="187">
        <v>2.9</v>
      </c>
      <c r="N950" s="187">
        <v>2430</v>
      </c>
      <c r="O950" s="187">
        <v>3587</v>
      </c>
      <c r="P950" s="188">
        <v>0.5</v>
      </c>
      <c r="Q950" s="189">
        <v>4859</v>
      </c>
      <c r="R950" s="189">
        <v>7174</v>
      </c>
      <c r="S950" s="184" t="s">
        <v>59</v>
      </c>
    </row>
    <row r="951" spans="1:19">
      <c r="A951" s="111">
        <v>950</v>
      </c>
      <c r="B951" s="192">
        <v>45240</v>
      </c>
      <c r="C951" s="113">
        <f t="shared" si="6"/>
        <v>2023</v>
      </c>
      <c r="D951" s="114">
        <f t="shared" si="7"/>
        <v>11</v>
      </c>
      <c r="E951" s="114" t="s">
        <v>7</v>
      </c>
      <c r="F951" s="114" t="s">
        <v>258</v>
      </c>
      <c r="G951" s="115" t="s">
        <v>256</v>
      </c>
      <c r="H951" s="114" t="s">
        <v>257</v>
      </c>
      <c r="I951" s="114" t="s">
        <v>200</v>
      </c>
      <c r="J951" s="186">
        <v>0</v>
      </c>
      <c r="K951" s="187">
        <v>0</v>
      </c>
      <c r="L951" s="187">
        <v>0</v>
      </c>
      <c r="M951" s="187">
        <v>0</v>
      </c>
      <c r="N951" s="187">
        <v>0</v>
      </c>
      <c r="O951" s="187">
        <v>0</v>
      </c>
      <c r="P951" s="188">
        <v>0</v>
      </c>
      <c r="Q951" s="186">
        <v>0</v>
      </c>
      <c r="R951" s="186">
        <v>0</v>
      </c>
      <c r="S951" s="184" t="s">
        <v>59</v>
      </c>
    </row>
    <row r="952" spans="1:19">
      <c r="A952" s="111">
        <v>951</v>
      </c>
      <c r="B952" s="192">
        <v>45241</v>
      </c>
      <c r="C952" s="113">
        <f t="shared" si="6"/>
        <v>2023</v>
      </c>
      <c r="D952" s="114">
        <f t="shared" si="7"/>
        <v>11</v>
      </c>
      <c r="E952" s="114" t="s">
        <v>24</v>
      </c>
      <c r="F952" s="114" t="s">
        <v>259</v>
      </c>
      <c r="G952" s="115" t="s">
        <v>260</v>
      </c>
      <c r="H952" s="114" t="s">
        <v>261</v>
      </c>
      <c r="I952" s="114" t="s">
        <v>184</v>
      </c>
      <c r="J952" s="186">
        <v>2</v>
      </c>
      <c r="K952" s="187">
        <v>15</v>
      </c>
      <c r="L952" s="187">
        <v>23</v>
      </c>
      <c r="M952" s="187">
        <v>1.3</v>
      </c>
      <c r="N952" s="187">
        <v>65</v>
      </c>
      <c r="O952" s="187">
        <v>92</v>
      </c>
      <c r="P952" s="188">
        <v>0</v>
      </c>
      <c r="Q952" s="186">
        <v>130</v>
      </c>
      <c r="R952" s="186">
        <v>184</v>
      </c>
      <c r="S952" s="184" t="s">
        <v>59</v>
      </c>
    </row>
    <row r="953" spans="1:19">
      <c r="A953" s="111">
        <v>952</v>
      </c>
      <c r="B953" s="192">
        <v>45242</v>
      </c>
      <c r="C953" s="113">
        <f t="shared" si="6"/>
        <v>2023</v>
      </c>
      <c r="D953" s="114">
        <f t="shared" si="7"/>
        <v>11</v>
      </c>
      <c r="E953" s="114" t="s">
        <v>24</v>
      </c>
      <c r="F953" s="114" t="s">
        <v>262</v>
      </c>
      <c r="G953" s="115" t="s">
        <v>263</v>
      </c>
      <c r="H953" s="114" t="s">
        <v>264</v>
      </c>
      <c r="I953" s="114" t="s">
        <v>184</v>
      </c>
      <c r="J953" s="186">
        <v>5</v>
      </c>
      <c r="K953" s="187">
        <v>18</v>
      </c>
      <c r="L953" s="187">
        <v>22</v>
      </c>
      <c r="M953" s="187">
        <v>1.4</v>
      </c>
      <c r="N953" s="187">
        <v>80</v>
      </c>
      <c r="O953" s="187">
        <v>133</v>
      </c>
      <c r="P953" s="188">
        <v>0.2</v>
      </c>
      <c r="Q953" s="186">
        <v>398</v>
      </c>
      <c r="R953" s="186">
        <v>665</v>
      </c>
      <c r="S953" s="184" t="s">
        <v>59</v>
      </c>
    </row>
    <row r="954" spans="1:19">
      <c r="A954" s="111">
        <v>953</v>
      </c>
      <c r="B954" s="192">
        <v>45243</v>
      </c>
      <c r="C954" s="113">
        <f t="shared" si="6"/>
        <v>2023</v>
      </c>
      <c r="D954" s="114">
        <f t="shared" si="7"/>
        <v>11</v>
      </c>
      <c r="E954" s="114" t="s">
        <v>28</v>
      </c>
      <c r="F954" s="114" t="s">
        <v>265</v>
      </c>
      <c r="G954" s="115" t="s">
        <v>266</v>
      </c>
      <c r="H954" s="114" t="s">
        <v>267</v>
      </c>
      <c r="I954" s="114" t="s">
        <v>184</v>
      </c>
      <c r="J954" s="186">
        <v>2</v>
      </c>
      <c r="K954" s="187">
        <v>30</v>
      </c>
      <c r="L954" s="187">
        <v>24</v>
      </c>
      <c r="M954" s="187">
        <v>1.7</v>
      </c>
      <c r="N954" s="187">
        <v>170</v>
      </c>
      <c r="O954" s="187">
        <v>249</v>
      </c>
      <c r="P954" s="188">
        <v>1</v>
      </c>
      <c r="Q954" s="186">
        <v>339</v>
      </c>
      <c r="R954" s="186">
        <v>497</v>
      </c>
      <c r="S954" s="184" t="s">
        <v>59</v>
      </c>
    </row>
    <row r="955" spans="1:19">
      <c r="A955" s="111">
        <v>954</v>
      </c>
      <c r="B955" s="192">
        <v>45244</v>
      </c>
      <c r="C955" s="113">
        <f t="shared" si="6"/>
        <v>2023</v>
      </c>
      <c r="D955" s="114">
        <f t="shared" si="7"/>
        <v>11</v>
      </c>
      <c r="E955" s="114" t="s">
        <v>93</v>
      </c>
      <c r="F955" s="114" t="s">
        <v>265</v>
      </c>
      <c r="G955" s="115" t="s">
        <v>266</v>
      </c>
      <c r="H955" s="114" t="s">
        <v>267</v>
      </c>
      <c r="I955" s="114" t="s">
        <v>184</v>
      </c>
      <c r="J955" s="186">
        <v>1</v>
      </c>
      <c r="K955" s="187">
        <v>22</v>
      </c>
      <c r="L955" s="187">
        <v>21</v>
      </c>
      <c r="M955" s="187">
        <v>1.4</v>
      </c>
      <c r="N955" s="187">
        <v>98</v>
      </c>
      <c r="O955" s="187">
        <v>171</v>
      </c>
      <c r="P955" s="188">
        <v>1</v>
      </c>
      <c r="Q955" s="186">
        <v>98</v>
      </c>
      <c r="R955" s="186">
        <v>171</v>
      </c>
      <c r="S955" s="184" t="s">
        <v>59</v>
      </c>
    </row>
    <row r="956" spans="1:19">
      <c r="A956" s="111">
        <v>955</v>
      </c>
      <c r="B956" s="192">
        <v>45245</v>
      </c>
      <c r="C956" s="113">
        <f t="shared" si="6"/>
        <v>2023</v>
      </c>
      <c r="D956" s="114">
        <f t="shared" si="7"/>
        <v>11</v>
      </c>
      <c r="E956" s="114" t="s">
        <v>10</v>
      </c>
      <c r="F956" s="114" t="s">
        <v>268</v>
      </c>
      <c r="G956" s="115" t="s">
        <v>269</v>
      </c>
      <c r="H956" s="114" t="s">
        <v>270</v>
      </c>
      <c r="I956" s="114" t="s">
        <v>184</v>
      </c>
      <c r="J956" s="186">
        <v>4</v>
      </c>
      <c r="K956" s="187">
        <v>64</v>
      </c>
      <c r="L956" s="187">
        <v>29</v>
      </c>
      <c r="M956" s="187">
        <v>2.5</v>
      </c>
      <c r="N956" s="187">
        <v>726</v>
      </c>
      <c r="O956" s="187">
        <v>1118</v>
      </c>
      <c r="P956" s="188">
        <v>0</v>
      </c>
      <c r="Q956" s="186">
        <v>2903</v>
      </c>
      <c r="R956" s="186">
        <v>4470</v>
      </c>
      <c r="S956" s="184" t="s">
        <v>59</v>
      </c>
    </row>
    <row r="957" spans="1:19">
      <c r="A957" s="111">
        <v>956</v>
      </c>
      <c r="B957" s="192">
        <v>45246</v>
      </c>
      <c r="C957" s="113">
        <f t="shared" si="6"/>
        <v>2023</v>
      </c>
      <c r="D957" s="114">
        <f t="shared" si="7"/>
        <v>11</v>
      </c>
      <c r="E957" s="114" t="s">
        <v>32</v>
      </c>
      <c r="F957" s="114" t="s">
        <v>249</v>
      </c>
      <c r="G957" s="115" t="s">
        <v>250</v>
      </c>
      <c r="H957" s="114" t="s">
        <v>251</v>
      </c>
      <c r="I957" s="114" t="s">
        <v>184</v>
      </c>
      <c r="J957" s="186">
        <v>1</v>
      </c>
      <c r="K957" s="187">
        <v>61</v>
      </c>
      <c r="L957" s="187">
        <v>28</v>
      </c>
      <c r="M957" s="187">
        <v>2.1</v>
      </c>
      <c r="N957" s="187">
        <v>857</v>
      </c>
      <c r="O957" s="187">
        <v>1303</v>
      </c>
      <c r="P957" s="188">
        <v>0</v>
      </c>
      <c r="Q957" s="186">
        <v>857</v>
      </c>
      <c r="R957" s="186">
        <v>1303</v>
      </c>
      <c r="S957" s="184" t="s">
        <v>59</v>
      </c>
    </row>
    <row r="958" spans="1:19">
      <c r="A958" s="111">
        <v>957</v>
      </c>
      <c r="B958" s="192">
        <v>45247</v>
      </c>
      <c r="C958" s="113">
        <f t="shared" si="6"/>
        <v>2023</v>
      </c>
      <c r="D958" s="114">
        <f t="shared" si="7"/>
        <v>11</v>
      </c>
      <c r="E958" s="114" t="s">
        <v>79</v>
      </c>
      <c r="F958" s="114" t="s">
        <v>255</v>
      </c>
      <c r="G958" s="115" t="s">
        <v>256</v>
      </c>
      <c r="H958" s="114" t="s">
        <v>257</v>
      </c>
      <c r="I958" s="114" t="s">
        <v>173</v>
      </c>
      <c r="J958" s="186">
        <v>2</v>
      </c>
      <c r="K958" s="187">
        <v>80</v>
      </c>
      <c r="L958" s="187">
        <v>30</v>
      </c>
      <c r="M958" s="187">
        <v>2.9</v>
      </c>
      <c r="N958" s="187">
        <v>2471</v>
      </c>
      <c r="O958" s="187">
        <v>3506</v>
      </c>
      <c r="P958" s="188">
        <v>0.5</v>
      </c>
      <c r="Q958" s="186">
        <v>4941</v>
      </c>
      <c r="R958" s="186">
        <v>7011</v>
      </c>
      <c r="S958" s="184" t="s">
        <v>59</v>
      </c>
    </row>
    <row r="959" spans="1:19">
      <c r="A959" s="111">
        <v>958</v>
      </c>
      <c r="B959" s="192">
        <v>45248</v>
      </c>
      <c r="C959" s="113">
        <f t="shared" si="6"/>
        <v>2023</v>
      </c>
      <c r="D959" s="114">
        <f t="shared" si="7"/>
        <v>11</v>
      </c>
      <c r="E959" s="114" t="s">
        <v>101</v>
      </c>
      <c r="F959" s="114" t="s">
        <v>249</v>
      </c>
      <c r="G959" s="115" t="s">
        <v>250</v>
      </c>
      <c r="H959" s="114" t="s">
        <v>251</v>
      </c>
      <c r="I959" s="114" t="s">
        <v>184</v>
      </c>
      <c r="J959" s="186">
        <v>1</v>
      </c>
      <c r="K959" s="187">
        <v>46</v>
      </c>
      <c r="L959" s="187">
        <v>25</v>
      </c>
      <c r="M959" s="187">
        <v>2</v>
      </c>
      <c r="N959" s="187">
        <v>815</v>
      </c>
      <c r="O959" s="187">
        <v>1214</v>
      </c>
      <c r="P959" s="188">
        <v>0</v>
      </c>
      <c r="Q959" s="186">
        <v>815</v>
      </c>
      <c r="R959" s="186">
        <v>1214</v>
      </c>
      <c r="S959" s="184" t="s">
        <v>59</v>
      </c>
    </row>
    <row r="960" spans="1:19">
      <c r="A960" s="111">
        <v>959</v>
      </c>
      <c r="B960" s="192">
        <v>45249</v>
      </c>
      <c r="C960" s="113">
        <f t="shared" si="6"/>
        <v>2023</v>
      </c>
      <c r="D960" s="114">
        <f t="shared" si="7"/>
        <v>11</v>
      </c>
      <c r="E960" s="114" t="s">
        <v>116</v>
      </c>
      <c r="F960" s="114" t="s">
        <v>271</v>
      </c>
      <c r="G960" s="185"/>
      <c r="H960" s="185"/>
      <c r="I960" s="185"/>
      <c r="J960" s="186">
        <v>1</v>
      </c>
      <c r="K960" s="187">
        <v>25</v>
      </c>
      <c r="L960" s="187">
        <v>27</v>
      </c>
      <c r="M960" s="187">
        <v>1.4</v>
      </c>
      <c r="N960" s="187">
        <v>257</v>
      </c>
      <c r="O960" s="187">
        <v>424</v>
      </c>
      <c r="P960" s="188">
        <v>0</v>
      </c>
      <c r="Q960" s="186">
        <v>257</v>
      </c>
      <c r="R960" s="186">
        <v>424</v>
      </c>
      <c r="S960" s="184" t="s">
        <v>59</v>
      </c>
    </row>
    <row r="961" spans="1:19">
      <c r="A961" s="111">
        <v>960</v>
      </c>
      <c r="B961" s="192">
        <v>45261</v>
      </c>
      <c r="C961" s="113">
        <f t="shared" si="6"/>
        <v>2023</v>
      </c>
      <c r="D961" s="114">
        <f t="shared" si="7"/>
        <v>12</v>
      </c>
      <c r="E961" s="114" t="s">
        <v>79</v>
      </c>
      <c r="F961" s="114" t="s">
        <v>170</v>
      </c>
      <c r="G961" s="115" t="s">
        <v>171</v>
      </c>
      <c r="H961" s="114" t="s">
        <v>172</v>
      </c>
      <c r="I961" s="114" t="s">
        <v>173</v>
      </c>
      <c r="J961" s="186">
        <v>0</v>
      </c>
      <c r="K961" s="187">
        <v>0</v>
      </c>
      <c r="L961" s="187">
        <v>0</v>
      </c>
      <c r="M961" s="187">
        <v>0</v>
      </c>
      <c r="N961" s="187">
        <v>0</v>
      </c>
      <c r="O961" s="187">
        <v>0</v>
      </c>
      <c r="P961" s="188">
        <v>0</v>
      </c>
      <c r="Q961" s="186">
        <v>0</v>
      </c>
      <c r="R961" s="186">
        <v>0</v>
      </c>
      <c r="S961" s="184" t="s">
        <v>59</v>
      </c>
    </row>
    <row r="962" spans="1:19">
      <c r="A962" s="111">
        <v>961</v>
      </c>
      <c r="B962" s="192">
        <v>45262</v>
      </c>
      <c r="C962" s="113">
        <f t="shared" si="6"/>
        <v>2023</v>
      </c>
      <c r="D962" s="114">
        <f t="shared" si="7"/>
        <v>12</v>
      </c>
      <c r="E962" s="114" t="s">
        <v>79</v>
      </c>
      <c r="F962" s="114" t="s">
        <v>174</v>
      </c>
      <c r="G962" s="115" t="s">
        <v>175</v>
      </c>
      <c r="H962" s="114" t="s">
        <v>176</v>
      </c>
      <c r="I962" s="114" t="s">
        <v>173</v>
      </c>
      <c r="J962" s="186">
        <v>0</v>
      </c>
      <c r="K962" s="187">
        <v>0</v>
      </c>
      <c r="L962" s="187">
        <v>0</v>
      </c>
      <c r="M962" s="187">
        <v>0</v>
      </c>
      <c r="N962" s="187">
        <v>0</v>
      </c>
      <c r="O962" s="187">
        <v>0</v>
      </c>
      <c r="P962" s="188">
        <v>0</v>
      </c>
      <c r="Q962" s="186">
        <v>0</v>
      </c>
      <c r="R962" s="186">
        <v>0</v>
      </c>
      <c r="S962" s="184" t="s">
        <v>59</v>
      </c>
    </row>
    <row r="963" spans="1:19">
      <c r="A963" s="111">
        <v>962</v>
      </c>
      <c r="B963" s="192">
        <v>45263</v>
      </c>
      <c r="C963" s="113">
        <f t="shared" si="6"/>
        <v>2023</v>
      </c>
      <c r="D963" s="114">
        <f t="shared" si="7"/>
        <v>12</v>
      </c>
      <c r="E963" s="114" t="s">
        <v>79</v>
      </c>
      <c r="F963" s="114" t="s">
        <v>177</v>
      </c>
      <c r="G963" s="115" t="s">
        <v>175</v>
      </c>
      <c r="H963" s="114" t="s">
        <v>176</v>
      </c>
      <c r="I963" s="114" t="s">
        <v>173</v>
      </c>
      <c r="J963" s="186">
        <v>0</v>
      </c>
      <c r="K963" s="187">
        <v>0</v>
      </c>
      <c r="L963" s="187">
        <v>0</v>
      </c>
      <c r="M963" s="187">
        <v>0</v>
      </c>
      <c r="N963" s="187">
        <v>0</v>
      </c>
      <c r="O963" s="187">
        <v>0</v>
      </c>
      <c r="P963" s="188">
        <v>0</v>
      </c>
      <c r="Q963" s="186">
        <v>0</v>
      </c>
      <c r="R963" s="186">
        <v>0</v>
      </c>
      <c r="S963" s="184" t="s">
        <v>59</v>
      </c>
    </row>
    <row r="964" spans="1:19">
      <c r="A964" s="111">
        <v>963</v>
      </c>
      <c r="B964" s="192">
        <v>45264</v>
      </c>
      <c r="C964" s="113">
        <f t="shared" si="6"/>
        <v>2023</v>
      </c>
      <c r="D964" s="114">
        <f t="shared" si="7"/>
        <v>12</v>
      </c>
      <c r="E964" s="114" t="s">
        <v>20</v>
      </c>
      <c r="F964" s="114" t="s">
        <v>178</v>
      </c>
      <c r="G964" s="115" t="s">
        <v>179</v>
      </c>
      <c r="H964" s="114" t="s">
        <v>180</v>
      </c>
      <c r="I964" s="114" t="s">
        <v>173</v>
      </c>
      <c r="J964" s="186">
        <v>1</v>
      </c>
      <c r="K964" s="187">
        <v>53</v>
      </c>
      <c r="L964" s="187">
        <v>33</v>
      </c>
      <c r="M964" s="187">
        <v>1.7</v>
      </c>
      <c r="N964" s="187">
        <v>931</v>
      </c>
      <c r="O964" s="187">
        <v>1293</v>
      </c>
      <c r="P964" s="188">
        <v>0</v>
      </c>
      <c r="Q964" s="186">
        <v>931</v>
      </c>
      <c r="R964" s="189">
        <v>1293</v>
      </c>
      <c r="S964" s="184" t="s">
        <v>59</v>
      </c>
    </row>
    <row r="965" spans="1:19">
      <c r="A965" s="111">
        <v>964</v>
      </c>
      <c r="B965" s="192">
        <v>45265</v>
      </c>
      <c r="C965" s="113">
        <f t="shared" si="6"/>
        <v>2023</v>
      </c>
      <c r="D965" s="114">
        <f t="shared" si="7"/>
        <v>12</v>
      </c>
      <c r="E965" s="114" t="s">
        <v>8</v>
      </c>
      <c r="F965" s="114" t="s">
        <v>181</v>
      </c>
      <c r="G965" s="115" t="s">
        <v>182</v>
      </c>
      <c r="H965" s="114" t="s">
        <v>183</v>
      </c>
      <c r="I965" s="114" t="s">
        <v>184</v>
      </c>
      <c r="J965" s="186">
        <v>4</v>
      </c>
      <c r="K965" s="187">
        <v>44</v>
      </c>
      <c r="L965" s="187">
        <v>20</v>
      </c>
      <c r="M965" s="187">
        <v>2.2999999999999998</v>
      </c>
      <c r="N965" s="187">
        <v>761</v>
      </c>
      <c r="O965" s="187">
        <v>1140</v>
      </c>
      <c r="P965" s="188">
        <v>1</v>
      </c>
      <c r="Q965" s="189">
        <v>3045</v>
      </c>
      <c r="R965" s="189">
        <v>4559</v>
      </c>
      <c r="S965" s="184" t="s">
        <v>59</v>
      </c>
    </row>
    <row r="966" spans="1:19">
      <c r="A966" s="111">
        <v>965</v>
      </c>
      <c r="B966" s="192">
        <v>45266</v>
      </c>
      <c r="C966" s="113">
        <f t="shared" si="6"/>
        <v>2023</v>
      </c>
      <c r="D966" s="114">
        <f t="shared" si="7"/>
        <v>12</v>
      </c>
      <c r="E966" s="114" t="s">
        <v>8</v>
      </c>
      <c r="F966" s="114" t="s">
        <v>185</v>
      </c>
      <c r="G966" s="115" t="s">
        <v>186</v>
      </c>
      <c r="H966" s="114" t="s">
        <v>187</v>
      </c>
      <c r="I966" s="114" t="s">
        <v>184</v>
      </c>
      <c r="J966" s="186">
        <v>4</v>
      </c>
      <c r="K966" s="187">
        <v>62</v>
      </c>
      <c r="L966" s="187">
        <v>28</v>
      </c>
      <c r="M966" s="187">
        <v>2.4</v>
      </c>
      <c r="N966" s="187">
        <v>835</v>
      </c>
      <c r="O966" s="187">
        <v>1231</v>
      </c>
      <c r="P966" s="188">
        <v>0.25</v>
      </c>
      <c r="Q966" s="189">
        <v>3338</v>
      </c>
      <c r="R966" s="189">
        <v>4925</v>
      </c>
      <c r="S966" s="184" t="s">
        <v>59</v>
      </c>
    </row>
    <row r="967" spans="1:19">
      <c r="A967" s="111">
        <v>966</v>
      </c>
      <c r="B967" s="192">
        <v>45267</v>
      </c>
      <c r="C967" s="113">
        <f t="shared" si="6"/>
        <v>2023</v>
      </c>
      <c r="D967" s="114">
        <f t="shared" si="7"/>
        <v>12</v>
      </c>
      <c r="E967" s="114" t="s">
        <v>8</v>
      </c>
      <c r="F967" s="114" t="s">
        <v>188</v>
      </c>
      <c r="G967" s="115" t="s">
        <v>189</v>
      </c>
      <c r="H967" s="114" t="s">
        <v>190</v>
      </c>
      <c r="I967" s="114" t="s">
        <v>184</v>
      </c>
      <c r="J967" s="186">
        <v>4</v>
      </c>
      <c r="K967" s="187">
        <v>48</v>
      </c>
      <c r="L967" s="187">
        <v>28</v>
      </c>
      <c r="M967" s="187">
        <v>1.9</v>
      </c>
      <c r="N967" s="187">
        <v>624</v>
      </c>
      <c r="O967" s="187">
        <v>907</v>
      </c>
      <c r="P967" s="188">
        <v>0.25</v>
      </c>
      <c r="Q967" s="189">
        <v>2494</v>
      </c>
      <c r="R967" s="189">
        <v>3627</v>
      </c>
      <c r="S967" s="184" t="s">
        <v>59</v>
      </c>
    </row>
    <row r="968" spans="1:19">
      <c r="A968" s="111">
        <v>967</v>
      </c>
      <c r="B968" s="192">
        <v>45268</v>
      </c>
      <c r="C968" s="113">
        <f t="shared" si="6"/>
        <v>2023</v>
      </c>
      <c r="D968" s="114">
        <f t="shared" si="7"/>
        <v>12</v>
      </c>
      <c r="E968" s="114" t="s">
        <v>8</v>
      </c>
      <c r="F968" s="114" t="s">
        <v>191</v>
      </c>
      <c r="G968" s="115" t="s">
        <v>192</v>
      </c>
      <c r="H968" s="114" t="s">
        <v>193</v>
      </c>
      <c r="I968" s="114" t="s">
        <v>173</v>
      </c>
      <c r="J968" s="186">
        <v>0</v>
      </c>
      <c r="K968" s="187">
        <v>0</v>
      </c>
      <c r="L968" s="187">
        <v>0</v>
      </c>
      <c r="M968" s="187">
        <v>0</v>
      </c>
      <c r="N968" s="187">
        <v>0</v>
      </c>
      <c r="O968" s="187">
        <v>0</v>
      </c>
      <c r="P968" s="188">
        <v>0</v>
      </c>
      <c r="Q968" s="186">
        <v>0</v>
      </c>
      <c r="R968" s="186">
        <v>0</v>
      </c>
      <c r="S968" s="184" t="s">
        <v>59</v>
      </c>
    </row>
    <row r="969" spans="1:19">
      <c r="A969" s="111">
        <v>968</v>
      </c>
      <c r="B969" s="192">
        <v>45269</v>
      </c>
      <c r="C969" s="113">
        <f t="shared" si="6"/>
        <v>2023</v>
      </c>
      <c r="D969" s="114">
        <f t="shared" si="7"/>
        <v>12</v>
      </c>
      <c r="E969" s="114" t="s">
        <v>8</v>
      </c>
      <c r="F969" s="114" t="s">
        <v>245</v>
      </c>
      <c r="G969" s="115" t="s">
        <v>246</v>
      </c>
      <c r="H969" s="114" t="s">
        <v>247</v>
      </c>
      <c r="I969" s="114" t="s">
        <v>184</v>
      </c>
      <c r="J969" s="186">
        <v>3</v>
      </c>
      <c r="K969" s="187">
        <v>54</v>
      </c>
      <c r="L969" s="187">
        <v>31</v>
      </c>
      <c r="M969" s="187">
        <v>2</v>
      </c>
      <c r="N969" s="187">
        <v>2061</v>
      </c>
      <c r="O969" s="187">
        <v>2906</v>
      </c>
      <c r="P969" s="188">
        <v>1</v>
      </c>
      <c r="Q969" s="189">
        <v>2061</v>
      </c>
      <c r="R969" s="189">
        <v>2906</v>
      </c>
      <c r="S969" s="184" t="s">
        <v>59</v>
      </c>
    </row>
    <row r="970" spans="1:19">
      <c r="A970" s="111">
        <v>969</v>
      </c>
      <c r="B970" s="192">
        <v>45270</v>
      </c>
      <c r="C970" s="113">
        <f t="shared" si="6"/>
        <v>2023</v>
      </c>
      <c r="D970" s="114">
        <f t="shared" si="7"/>
        <v>12</v>
      </c>
      <c r="E970" s="114" t="s">
        <v>88</v>
      </c>
      <c r="F970" s="114" t="s">
        <v>195</v>
      </c>
      <c r="G970" s="115" t="s">
        <v>196</v>
      </c>
      <c r="H970" s="114" t="s">
        <v>197</v>
      </c>
      <c r="I970" s="114" t="s">
        <v>184</v>
      </c>
      <c r="J970" s="186">
        <v>4</v>
      </c>
      <c r="K970" s="187">
        <v>42</v>
      </c>
      <c r="L970" s="187">
        <v>21</v>
      </c>
      <c r="M970" s="187">
        <v>2.1</v>
      </c>
      <c r="N970" s="187">
        <v>501</v>
      </c>
      <c r="O970" s="187">
        <v>731</v>
      </c>
      <c r="P970" s="188">
        <v>0</v>
      </c>
      <c r="Q970" s="189">
        <v>2005</v>
      </c>
      <c r="R970" s="189">
        <v>2923</v>
      </c>
      <c r="S970" s="184" t="s">
        <v>59</v>
      </c>
    </row>
    <row r="971" spans="1:19">
      <c r="A971" s="111">
        <v>970</v>
      </c>
      <c r="B971" s="192">
        <v>45271</v>
      </c>
      <c r="C971" s="113">
        <f t="shared" si="6"/>
        <v>2023</v>
      </c>
      <c r="D971" s="114">
        <f t="shared" si="7"/>
        <v>12</v>
      </c>
      <c r="E971" s="114" t="s">
        <v>104</v>
      </c>
      <c r="F971" s="114" t="s">
        <v>198</v>
      </c>
      <c r="G971" s="115" t="s">
        <v>199</v>
      </c>
      <c r="H971" s="114" t="s">
        <v>199</v>
      </c>
      <c r="I971" s="114" t="s">
        <v>200</v>
      </c>
      <c r="J971" s="186">
        <v>0</v>
      </c>
      <c r="K971" s="187">
        <v>0</v>
      </c>
      <c r="L971" s="187">
        <v>0</v>
      </c>
      <c r="M971" s="187">
        <v>0</v>
      </c>
      <c r="N971" s="187">
        <v>0</v>
      </c>
      <c r="O971" s="187">
        <v>0</v>
      </c>
      <c r="P971" s="188">
        <v>0</v>
      </c>
      <c r="Q971" s="186">
        <v>0</v>
      </c>
      <c r="R971" s="186">
        <v>0</v>
      </c>
      <c r="S971" s="184" t="s">
        <v>59</v>
      </c>
    </row>
    <row r="972" spans="1:19">
      <c r="A972" s="111">
        <v>971</v>
      </c>
      <c r="B972" s="192">
        <v>45272</v>
      </c>
      <c r="C972" s="113">
        <f t="shared" si="6"/>
        <v>2023</v>
      </c>
      <c r="D972" s="114">
        <f t="shared" si="7"/>
        <v>12</v>
      </c>
      <c r="E972" s="114" t="s">
        <v>93</v>
      </c>
      <c r="F972" s="114" t="s">
        <v>248</v>
      </c>
      <c r="G972" s="115" t="s">
        <v>199</v>
      </c>
      <c r="H972" s="114" t="s">
        <v>199</v>
      </c>
      <c r="I972" s="114" t="s">
        <v>200</v>
      </c>
      <c r="J972" s="186">
        <v>1</v>
      </c>
      <c r="K972" s="187">
        <v>32</v>
      </c>
      <c r="L972" s="187">
        <v>26</v>
      </c>
      <c r="M972" s="187">
        <v>2</v>
      </c>
      <c r="N972" s="187">
        <v>269</v>
      </c>
      <c r="O972" s="187">
        <v>326</v>
      </c>
      <c r="P972" s="188">
        <v>0</v>
      </c>
      <c r="Q972" s="186">
        <v>0</v>
      </c>
      <c r="R972" s="186">
        <v>0</v>
      </c>
      <c r="S972" s="184" t="s">
        <v>59</v>
      </c>
    </row>
    <row r="973" spans="1:19">
      <c r="A973" s="111">
        <v>972</v>
      </c>
      <c r="B973" s="192">
        <v>45273</v>
      </c>
      <c r="C973" s="113">
        <f t="shared" si="6"/>
        <v>2023</v>
      </c>
      <c r="D973" s="114">
        <f t="shared" si="7"/>
        <v>12</v>
      </c>
      <c r="E973" s="114" t="s">
        <v>30</v>
      </c>
      <c r="F973" s="114" t="s">
        <v>205</v>
      </c>
      <c r="G973" s="115" t="s">
        <v>206</v>
      </c>
      <c r="H973" s="114" t="s">
        <v>207</v>
      </c>
      <c r="I973" s="114" t="s">
        <v>184</v>
      </c>
      <c r="J973" s="186">
        <v>0</v>
      </c>
      <c r="K973" s="187">
        <v>0</v>
      </c>
      <c r="L973" s="187">
        <v>0</v>
      </c>
      <c r="M973" s="187">
        <v>0</v>
      </c>
      <c r="N973" s="187">
        <v>0</v>
      </c>
      <c r="O973" s="187">
        <v>0</v>
      </c>
      <c r="P973" s="188">
        <v>0</v>
      </c>
      <c r="Q973" s="186">
        <v>0</v>
      </c>
      <c r="R973" s="186">
        <v>0</v>
      </c>
      <c r="S973" s="184" t="s">
        <v>59</v>
      </c>
    </row>
    <row r="974" spans="1:19">
      <c r="A974" s="111">
        <v>973</v>
      </c>
      <c r="B974" s="192">
        <v>45274</v>
      </c>
      <c r="C974" s="113">
        <f t="shared" si="6"/>
        <v>2023</v>
      </c>
      <c r="D974" s="114">
        <f t="shared" si="7"/>
        <v>12</v>
      </c>
      <c r="E974" s="114" t="s">
        <v>10</v>
      </c>
      <c r="F974" s="114" t="s">
        <v>208</v>
      </c>
      <c r="G974" s="115" t="s">
        <v>209</v>
      </c>
      <c r="H974" s="114" t="s">
        <v>210</v>
      </c>
      <c r="I974" s="114" t="s">
        <v>173</v>
      </c>
      <c r="J974" s="186">
        <v>0</v>
      </c>
      <c r="K974" s="187">
        <v>0</v>
      </c>
      <c r="L974" s="187">
        <v>0</v>
      </c>
      <c r="M974" s="187">
        <v>0</v>
      </c>
      <c r="N974" s="187">
        <v>0</v>
      </c>
      <c r="O974" s="187">
        <v>0</v>
      </c>
      <c r="P974" s="188">
        <v>0</v>
      </c>
      <c r="Q974" s="186">
        <v>0</v>
      </c>
      <c r="R974" s="186">
        <v>0</v>
      </c>
      <c r="S974" s="184" t="s">
        <v>59</v>
      </c>
    </row>
    <row r="975" spans="1:19">
      <c r="A975" s="111">
        <v>974</v>
      </c>
      <c r="B975" s="192">
        <v>45275</v>
      </c>
      <c r="C975" s="113">
        <f t="shared" si="6"/>
        <v>2023</v>
      </c>
      <c r="D975" s="114">
        <f t="shared" si="7"/>
        <v>12</v>
      </c>
      <c r="E975" s="114" t="s">
        <v>10</v>
      </c>
      <c r="F975" s="114" t="s">
        <v>211</v>
      </c>
      <c r="G975" s="115" t="s">
        <v>212</v>
      </c>
      <c r="H975" s="114" t="s">
        <v>213</v>
      </c>
      <c r="I975" s="114" t="s">
        <v>173</v>
      </c>
      <c r="J975" s="186">
        <v>0</v>
      </c>
      <c r="K975" s="187">
        <v>0</v>
      </c>
      <c r="L975" s="187">
        <v>0</v>
      </c>
      <c r="M975" s="187">
        <v>0</v>
      </c>
      <c r="N975" s="187">
        <v>0</v>
      </c>
      <c r="O975" s="187">
        <v>0</v>
      </c>
      <c r="P975" s="188">
        <v>0</v>
      </c>
      <c r="Q975" s="186">
        <v>0</v>
      </c>
      <c r="R975" s="186">
        <v>0</v>
      </c>
      <c r="S975" s="184" t="s">
        <v>59</v>
      </c>
    </row>
    <row r="976" spans="1:19">
      <c r="A976" s="111">
        <v>975</v>
      </c>
      <c r="B976" s="192">
        <v>45276</v>
      </c>
      <c r="C976" s="113">
        <f t="shared" si="6"/>
        <v>2023</v>
      </c>
      <c r="D976" s="114">
        <f t="shared" si="7"/>
        <v>12</v>
      </c>
      <c r="E976" s="114" t="s">
        <v>10</v>
      </c>
      <c r="F976" s="114" t="s">
        <v>214</v>
      </c>
      <c r="G976" s="115" t="s">
        <v>215</v>
      </c>
      <c r="H976" s="114" t="s">
        <v>216</v>
      </c>
      <c r="I976" s="114" t="s">
        <v>184</v>
      </c>
      <c r="J976" s="186">
        <v>4</v>
      </c>
      <c r="K976" s="187">
        <v>48</v>
      </c>
      <c r="L976" s="187">
        <v>24</v>
      </c>
      <c r="M976" s="187">
        <v>2.2999999999999998</v>
      </c>
      <c r="N976" s="187">
        <v>645</v>
      </c>
      <c r="O976" s="187">
        <v>1009</v>
      </c>
      <c r="P976" s="188">
        <v>0.5</v>
      </c>
      <c r="Q976" s="189">
        <v>2579</v>
      </c>
      <c r="R976" s="189">
        <v>4035</v>
      </c>
      <c r="S976" s="184" t="s">
        <v>59</v>
      </c>
    </row>
    <row r="977" spans="1:19">
      <c r="A977" s="111">
        <v>976</v>
      </c>
      <c r="B977" s="192">
        <v>45277</v>
      </c>
      <c r="C977" s="113">
        <f t="shared" si="6"/>
        <v>2023</v>
      </c>
      <c r="D977" s="114">
        <f t="shared" si="7"/>
        <v>12</v>
      </c>
      <c r="E977" s="114" t="s">
        <v>9</v>
      </c>
      <c r="F977" s="114" t="s">
        <v>217</v>
      </c>
      <c r="G977" s="115" t="s">
        <v>218</v>
      </c>
      <c r="H977" s="114" t="s">
        <v>219</v>
      </c>
      <c r="I977" s="114" t="s">
        <v>184</v>
      </c>
      <c r="J977" s="186">
        <v>4</v>
      </c>
      <c r="K977" s="187">
        <v>87</v>
      </c>
      <c r="L977" s="187">
        <v>31</v>
      </c>
      <c r="M977" s="187">
        <v>2.9</v>
      </c>
      <c r="N977" s="187">
        <v>2594</v>
      </c>
      <c r="O977" s="187">
        <v>4019</v>
      </c>
      <c r="P977" s="188">
        <v>0</v>
      </c>
      <c r="Q977" s="189">
        <v>10377</v>
      </c>
      <c r="R977" s="189">
        <v>16074</v>
      </c>
      <c r="S977" s="184" t="s">
        <v>59</v>
      </c>
    </row>
    <row r="978" spans="1:19">
      <c r="A978" s="111">
        <v>977</v>
      </c>
      <c r="B978" s="192">
        <v>45278</v>
      </c>
      <c r="C978" s="113">
        <f t="shared" si="6"/>
        <v>2023</v>
      </c>
      <c r="D978" s="114">
        <f t="shared" si="7"/>
        <v>12</v>
      </c>
      <c r="E978" s="114" t="s">
        <v>11</v>
      </c>
      <c r="F978" s="114" t="s">
        <v>220</v>
      </c>
      <c r="G978" s="115" t="s">
        <v>221</v>
      </c>
      <c r="H978" s="114" t="s">
        <v>222</v>
      </c>
      <c r="I978" s="114" t="s">
        <v>184</v>
      </c>
      <c r="J978" s="186">
        <v>1</v>
      </c>
      <c r="K978" s="187">
        <v>38</v>
      </c>
      <c r="L978" s="187">
        <v>17</v>
      </c>
      <c r="M978" s="187">
        <v>2.4</v>
      </c>
      <c r="N978" s="187">
        <v>642</v>
      </c>
      <c r="O978" s="187">
        <v>981</v>
      </c>
      <c r="P978" s="188">
        <v>1</v>
      </c>
      <c r="Q978" s="186">
        <v>642</v>
      </c>
      <c r="R978" s="186">
        <v>981</v>
      </c>
      <c r="S978" s="184" t="s">
        <v>59</v>
      </c>
    </row>
    <row r="979" spans="1:19">
      <c r="A979" s="111">
        <v>978</v>
      </c>
      <c r="B979" s="192">
        <v>45279</v>
      </c>
      <c r="C979" s="113">
        <f t="shared" si="6"/>
        <v>2023</v>
      </c>
      <c r="D979" s="114">
        <f t="shared" si="7"/>
        <v>12</v>
      </c>
      <c r="E979" s="114" t="s">
        <v>11</v>
      </c>
      <c r="F979" s="114" t="s">
        <v>249</v>
      </c>
      <c r="G979" s="115" t="s">
        <v>250</v>
      </c>
      <c r="H979" s="114" t="s">
        <v>251</v>
      </c>
      <c r="I979" s="114" t="s">
        <v>184</v>
      </c>
      <c r="J979" s="186">
        <v>1</v>
      </c>
      <c r="K979" s="187">
        <v>0</v>
      </c>
      <c r="L979" s="187">
        <v>0</v>
      </c>
      <c r="M979" s="187">
        <v>0</v>
      </c>
      <c r="N979" s="187">
        <v>844</v>
      </c>
      <c r="O979" s="187">
        <v>1291</v>
      </c>
      <c r="P979" s="188">
        <v>0</v>
      </c>
      <c r="Q979" s="186">
        <v>844</v>
      </c>
      <c r="R979" s="186">
        <v>1291</v>
      </c>
      <c r="S979" s="184" t="s">
        <v>59</v>
      </c>
    </row>
    <row r="980" spans="1:19">
      <c r="A980" s="111">
        <v>979</v>
      </c>
      <c r="B980" s="192">
        <v>45280</v>
      </c>
      <c r="C980" s="113">
        <f t="shared" si="6"/>
        <v>2023</v>
      </c>
      <c r="D980" s="114">
        <f t="shared" si="7"/>
        <v>12</v>
      </c>
      <c r="E980" s="114" t="s">
        <v>91</v>
      </c>
      <c r="F980" s="114" t="s">
        <v>178</v>
      </c>
      <c r="G980" s="115" t="s">
        <v>179</v>
      </c>
      <c r="H980" s="114" t="s">
        <v>180</v>
      </c>
      <c r="I980" s="114" t="s">
        <v>173</v>
      </c>
      <c r="J980" s="186">
        <v>1</v>
      </c>
      <c r="K980" s="187">
        <v>51</v>
      </c>
      <c r="L980" s="187">
        <v>23</v>
      </c>
      <c r="M980" s="187">
        <v>2.4</v>
      </c>
      <c r="N980" s="187">
        <v>863</v>
      </c>
      <c r="O980" s="187">
        <v>1214</v>
      </c>
      <c r="P980" s="188">
        <v>1</v>
      </c>
      <c r="Q980" s="186">
        <v>863</v>
      </c>
      <c r="R980" s="189">
        <v>1214</v>
      </c>
      <c r="S980" s="184" t="s">
        <v>59</v>
      </c>
    </row>
    <row r="981" spans="1:19">
      <c r="A981" s="111">
        <v>980</v>
      </c>
      <c r="B981" s="192">
        <v>45281</v>
      </c>
      <c r="C981" s="113">
        <f t="shared" si="6"/>
        <v>2023</v>
      </c>
      <c r="D981" s="114">
        <f t="shared" si="7"/>
        <v>12</v>
      </c>
      <c r="E981" s="114" t="s">
        <v>23</v>
      </c>
      <c r="F981" s="114" t="s">
        <v>223</v>
      </c>
      <c r="G981" s="115" t="s">
        <v>175</v>
      </c>
      <c r="H981" s="114" t="s">
        <v>176</v>
      </c>
      <c r="I981" s="114" t="s">
        <v>173</v>
      </c>
      <c r="J981" s="186">
        <v>0</v>
      </c>
      <c r="K981" s="187">
        <v>0</v>
      </c>
      <c r="L981" s="187">
        <v>0</v>
      </c>
      <c r="M981" s="187">
        <v>0</v>
      </c>
      <c r="N981" s="187">
        <v>0</v>
      </c>
      <c r="O981" s="187">
        <v>0</v>
      </c>
      <c r="P981" s="188">
        <v>0</v>
      </c>
      <c r="Q981" s="186">
        <v>0</v>
      </c>
      <c r="R981" s="186">
        <v>0</v>
      </c>
      <c r="S981" s="184" t="s">
        <v>59</v>
      </c>
    </row>
    <row r="982" spans="1:19">
      <c r="A982" s="111">
        <v>981</v>
      </c>
      <c r="B982" s="192">
        <v>45282</v>
      </c>
      <c r="C982" s="113">
        <f t="shared" si="6"/>
        <v>2023</v>
      </c>
      <c r="D982" s="114">
        <f t="shared" si="7"/>
        <v>12</v>
      </c>
      <c r="E982" s="114" t="s">
        <v>23</v>
      </c>
      <c r="F982" s="114" t="s">
        <v>224</v>
      </c>
      <c r="G982" s="115" t="s">
        <v>107</v>
      </c>
      <c r="H982" s="114" t="s">
        <v>107</v>
      </c>
      <c r="I982" s="114" t="s">
        <v>107</v>
      </c>
      <c r="J982" s="186">
        <v>0</v>
      </c>
      <c r="K982" s="187">
        <v>0</v>
      </c>
      <c r="L982" s="187">
        <v>0</v>
      </c>
      <c r="M982" s="187">
        <v>0</v>
      </c>
      <c r="N982" s="187">
        <v>0</v>
      </c>
      <c r="O982" s="187">
        <v>0</v>
      </c>
      <c r="P982" s="188">
        <v>0</v>
      </c>
      <c r="Q982" s="186">
        <v>0</v>
      </c>
      <c r="R982" s="186">
        <v>0</v>
      </c>
      <c r="S982" s="184" t="s">
        <v>59</v>
      </c>
    </row>
    <row r="983" spans="1:19">
      <c r="A983" s="111">
        <v>982</v>
      </c>
      <c r="B983" s="192">
        <v>45283</v>
      </c>
      <c r="C983" s="113">
        <f t="shared" si="6"/>
        <v>2023</v>
      </c>
      <c r="D983" s="114">
        <f t="shared" si="7"/>
        <v>12</v>
      </c>
      <c r="E983" s="114" t="s">
        <v>15</v>
      </c>
      <c r="F983" s="114" t="s">
        <v>225</v>
      </c>
      <c r="G983" s="115" t="s">
        <v>226</v>
      </c>
      <c r="H983" s="114" t="s">
        <v>227</v>
      </c>
      <c r="I983" s="114" t="s">
        <v>173</v>
      </c>
      <c r="J983" s="186">
        <v>0</v>
      </c>
      <c r="K983" s="187">
        <v>0</v>
      </c>
      <c r="L983" s="187">
        <v>0</v>
      </c>
      <c r="M983" s="187">
        <v>0</v>
      </c>
      <c r="N983" s="187">
        <v>0</v>
      </c>
      <c r="O983" s="187">
        <v>0</v>
      </c>
      <c r="P983" s="188">
        <v>0</v>
      </c>
      <c r="Q983" s="186">
        <v>0</v>
      </c>
      <c r="R983" s="186">
        <v>0</v>
      </c>
      <c r="S983" s="184" t="s">
        <v>59</v>
      </c>
    </row>
    <row r="984" spans="1:19">
      <c r="A984" s="111">
        <v>983</v>
      </c>
      <c r="B984" s="192">
        <v>45284</v>
      </c>
      <c r="C984" s="113">
        <f t="shared" si="6"/>
        <v>2023</v>
      </c>
      <c r="D984" s="114">
        <f t="shared" si="7"/>
        <v>12</v>
      </c>
      <c r="E984" s="114" t="s">
        <v>84</v>
      </c>
      <c r="F984" s="114" t="s">
        <v>228</v>
      </c>
      <c r="G984" s="115" t="s">
        <v>229</v>
      </c>
      <c r="H984" s="114" t="s">
        <v>230</v>
      </c>
      <c r="I984" s="114" t="s">
        <v>184</v>
      </c>
      <c r="J984" s="186">
        <v>5</v>
      </c>
      <c r="K984" s="187">
        <v>37</v>
      </c>
      <c r="L984" s="187">
        <v>23</v>
      </c>
      <c r="M984" s="187">
        <v>1.7</v>
      </c>
      <c r="N984" s="187">
        <v>450</v>
      </c>
      <c r="O984" s="187">
        <v>632</v>
      </c>
      <c r="P984" s="188">
        <v>0.6</v>
      </c>
      <c r="Q984" s="189">
        <v>2250</v>
      </c>
      <c r="R984" s="189">
        <v>3160</v>
      </c>
      <c r="S984" s="184" t="s">
        <v>59</v>
      </c>
    </row>
    <row r="985" spans="1:19">
      <c r="A985" s="111">
        <v>984</v>
      </c>
      <c r="B985" s="192">
        <v>45285</v>
      </c>
      <c r="C985" s="113">
        <f t="shared" si="6"/>
        <v>2023</v>
      </c>
      <c r="D985" s="114">
        <f t="shared" si="7"/>
        <v>12</v>
      </c>
      <c r="E985" s="114" t="s">
        <v>84</v>
      </c>
      <c r="F985" s="114" t="s">
        <v>231</v>
      </c>
      <c r="G985" s="115" t="s">
        <v>232</v>
      </c>
      <c r="H985" s="114" t="s">
        <v>233</v>
      </c>
      <c r="I985" s="114" t="s">
        <v>184</v>
      </c>
      <c r="J985" s="186">
        <v>0</v>
      </c>
      <c r="K985" s="187">
        <v>0</v>
      </c>
      <c r="L985" s="187">
        <v>0</v>
      </c>
      <c r="M985" s="187">
        <v>0</v>
      </c>
      <c r="N985" s="187">
        <v>0</v>
      </c>
      <c r="O985" s="187">
        <v>0</v>
      </c>
      <c r="P985" s="188">
        <v>0</v>
      </c>
      <c r="Q985" s="186">
        <v>0</v>
      </c>
      <c r="R985" s="186">
        <v>0</v>
      </c>
      <c r="S985" s="184" t="s">
        <v>59</v>
      </c>
    </row>
    <row r="986" spans="1:19">
      <c r="A986" s="111">
        <v>985</v>
      </c>
      <c r="B986" s="192">
        <v>45286</v>
      </c>
      <c r="C986" s="113">
        <f t="shared" si="6"/>
        <v>2023</v>
      </c>
      <c r="D986" s="114">
        <f t="shared" si="7"/>
        <v>12</v>
      </c>
      <c r="E986" s="114" t="s">
        <v>84</v>
      </c>
      <c r="F986" s="114" t="s">
        <v>249</v>
      </c>
      <c r="G986" s="125" t="s">
        <v>250</v>
      </c>
      <c r="H986" s="185" t="s">
        <v>251</v>
      </c>
      <c r="I986" s="185"/>
      <c r="J986" s="186">
        <v>1</v>
      </c>
      <c r="K986" s="187">
        <v>44</v>
      </c>
      <c r="L986" s="187">
        <v>19</v>
      </c>
      <c r="M986" s="187">
        <v>2.6</v>
      </c>
      <c r="N986" s="187">
        <v>874</v>
      </c>
      <c r="O986" s="187">
        <v>1335</v>
      </c>
      <c r="P986" s="188">
        <v>0</v>
      </c>
      <c r="Q986" s="186">
        <v>874</v>
      </c>
      <c r="R986" s="189">
        <v>1335</v>
      </c>
      <c r="S986" s="184" t="s">
        <v>59</v>
      </c>
    </row>
    <row r="987" spans="1:19">
      <c r="A987" s="111">
        <v>986</v>
      </c>
      <c r="B987" s="192">
        <v>45287</v>
      </c>
      <c r="C987" s="113">
        <f t="shared" si="6"/>
        <v>2023</v>
      </c>
      <c r="D987" s="114">
        <f t="shared" si="7"/>
        <v>12</v>
      </c>
      <c r="E987" s="114" t="s">
        <v>22</v>
      </c>
      <c r="F987" s="114" t="s">
        <v>174</v>
      </c>
      <c r="G987" s="115" t="s">
        <v>175</v>
      </c>
      <c r="H987" s="114" t="s">
        <v>176</v>
      </c>
      <c r="I987" s="114" t="s">
        <v>173</v>
      </c>
      <c r="J987" s="186">
        <v>5</v>
      </c>
      <c r="K987" s="187">
        <v>76</v>
      </c>
      <c r="L987" s="187">
        <v>28</v>
      </c>
      <c r="M987" s="187">
        <v>2.8</v>
      </c>
      <c r="N987" s="187">
        <v>1857</v>
      </c>
      <c r="O987" s="187">
        <v>2763</v>
      </c>
      <c r="P987" s="188">
        <v>0.2</v>
      </c>
      <c r="Q987" s="189">
        <v>9285</v>
      </c>
      <c r="R987" s="189">
        <v>13817</v>
      </c>
      <c r="S987" s="184" t="s">
        <v>59</v>
      </c>
    </row>
    <row r="988" spans="1:19">
      <c r="A988" s="111">
        <v>987</v>
      </c>
      <c r="B988" s="192">
        <v>45288</v>
      </c>
      <c r="C988" s="113">
        <f t="shared" si="6"/>
        <v>2023</v>
      </c>
      <c r="D988" s="114">
        <f t="shared" si="7"/>
        <v>12</v>
      </c>
      <c r="E988" s="114" t="s">
        <v>22</v>
      </c>
      <c r="F988" s="114" t="s">
        <v>177</v>
      </c>
      <c r="G988" s="115" t="s">
        <v>175</v>
      </c>
      <c r="H988" s="114" t="s">
        <v>176</v>
      </c>
      <c r="I988" s="114" t="s">
        <v>173</v>
      </c>
      <c r="J988" s="186">
        <v>4</v>
      </c>
      <c r="K988" s="187">
        <v>0</v>
      </c>
      <c r="L988" s="187">
        <v>0</v>
      </c>
      <c r="M988" s="187">
        <v>0</v>
      </c>
      <c r="N988" s="187">
        <v>0</v>
      </c>
      <c r="O988" s="187">
        <v>0</v>
      </c>
      <c r="P988" s="188">
        <v>0</v>
      </c>
      <c r="Q988" s="189">
        <v>6296</v>
      </c>
      <c r="R988" s="189">
        <v>9116</v>
      </c>
      <c r="S988" s="184" t="s">
        <v>59</v>
      </c>
    </row>
    <row r="989" spans="1:19">
      <c r="A989" s="111">
        <v>988</v>
      </c>
      <c r="B989" s="192">
        <v>45289</v>
      </c>
      <c r="C989" s="113">
        <f t="shared" si="6"/>
        <v>2023</v>
      </c>
      <c r="D989" s="114">
        <f t="shared" si="7"/>
        <v>12</v>
      </c>
      <c r="E989" s="114" t="s">
        <v>22</v>
      </c>
      <c r="F989" s="114" t="s">
        <v>223</v>
      </c>
      <c r="G989" s="115" t="s">
        <v>175</v>
      </c>
      <c r="H989" s="114" t="s">
        <v>176</v>
      </c>
      <c r="I989" s="114" t="s">
        <v>173</v>
      </c>
      <c r="J989" s="186">
        <v>0</v>
      </c>
      <c r="K989" s="187">
        <v>0</v>
      </c>
      <c r="L989" s="187">
        <v>0</v>
      </c>
      <c r="M989" s="187">
        <v>0</v>
      </c>
      <c r="N989" s="187">
        <v>0</v>
      </c>
      <c r="O989" s="187">
        <v>0</v>
      </c>
      <c r="P989" s="188">
        <v>0</v>
      </c>
      <c r="Q989" s="186">
        <v>0</v>
      </c>
      <c r="R989" s="186">
        <v>0</v>
      </c>
      <c r="S989" s="184" t="s">
        <v>59</v>
      </c>
    </row>
    <row r="990" spans="1:19">
      <c r="A990" s="111">
        <v>989</v>
      </c>
      <c r="B990" s="192">
        <v>45290</v>
      </c>
      <c r="C990" s="113">
        <f t="shared" si="6"/>
        <v>2023</v>
      </c>
      <c r="D990" s="114">
        <f t="shared" si="7"/>
        <v>12</v>
      </c>
      <c r="E990" s="114" t="s">
        <v>12</v>
      </c>
      <c r="F990" s="114" t="s">
        <v>220</v>
      </c>
      <c r="G990" s="115" t="s">
        <v>221</v>
      </c>
      <c r="H990" s="114" t="s">
        <v>222</v>
      </c>
      <c r="I990" s="114" t="s">
        <v>184</v>
      </c>
      <c r="J990" s="186">
        <v>0</v>
      </c>
      <c r="K990" s="187">
        <v>0</v>
      </c>
      <c r="L990" s="187">
        <v>0</v>
      </c>
      <c r="M990" s="187">
        <v>0</v>
      </c>
      <c r="N990" s="187">
        <v>0</v>
      </c>
      <c r="O990" s="187">
        <v>0</v>
      </c>
      <c r="P990" s="188">
        <v>0</v>
      </c>
      <c r="Q990" s="186">
        <v>0</v>
      </c>
      <c r="R990" s="186">
        <v>0</v>
      </c>
      <c r="S990" s="184" t="s">
        <v>59</v>
      </c>
    </row>
    <row r="991" spans="1:19">
      <c r="A991" s="111">
        <v>990</v>
      </c>
      <c r="B991" s="192">
        <v>45291</v>
      </c>
      <c r="C991" s="113">
        <f t="shared" si="6"/>
        <v>2023</v>
      </c>
      <c r="D991" s="114">
        <f t="shared" si="7"/>
        <v>12</v>
      </c>
      <c r="E991" s="114" t="s">
        <v>12</v>
      </c>
      <c r="F991" s="114" t="s">
        <v>234</v>
      </c>
      <c r="G991" s="115" t="s">
        <v>235</v>
      </c>
      <c r="H991" s="114" t="s">
        <v>236</v>
      </c>
      <c r="I991" s="114" t="s">
        <v>184</v>
      </c>
      <c r="J991" s="186">
        <v>5</v>
      </c>
      <c r="K991" s="187">
        <v>42</v>
      </c>
      <c r="L991" s="187">
        <v>18</v>
      </c>
      <c r="M991" s="187">
        <v>2.5</v>
      </c>
      <c r="N991" s="187">
        <v>948</v>
      </c>
      <c r="O991" s="187">
        <v>1469</v>
      </c>
      <c r="P991" s="188">
        <v>0.6</v>
      </c>
      <c r="Q991" s="189">
        <v>4738</v>
      </c>
      <c r="R991" s="189">
        <v>7344</v>
      </c>
      <c r="S991" s="184" t="s">
        <v>59</v>
      </c>
    </row>
    <row r="992" spans="1:19">
      <c r="A992" s="111">
        <v>991</v>
      </c>
      <c r="B992" s="192">
        <v>45261</v>
      </c>
      <c r="C992" s="113">
        <f t="shared" si="6"/>
        <v>2023</v>
      </c>
      <c r="D992" s="114">
        <f t="shared" si="7"/>
        <v>12</v>
      </c>
      <c r="E992" s="114" t="s">
        <v>12</v>
      </c>
      <c r="F992" s="114" t="s">
        <v>237</v>
      </c>
      <c r="G992" s="115" t="s">
        <v>199</v>
      </c>
      <c r="H992" s="114" t="s">
        <v>199</v>
      </c>
      <c r="I992" s="114" t="s">
        <v>200</v>
      </c>
      <c r="J992" s="186">
        <v>0</v>
      </c>
      <c r="K992" s="187">
        <v>0</v>
      </c>
      <c r="L992" s="187">
        <v>0</v>
      </c>
      <c r="M992" s="187">
        <v>0</v>
      </c>
      <c r="N992" s="187">
        <v>0</v>
      </c>
      <c r="O992" s="187">
        <v>0</v>
      </c>
      <c r="P992" s="188">
        <v>0</v>
      </c>
      <c r="Q992" s="186">
        <v>0</v>
      </c>
      <c r="R992" s="186">
        <v>0</v>
      </c>
      <c r="S992" s="184" t="s">
        <v>59</v>
      </c>
    </row>
    <row r="993" spans="1:19">
      <c r="A993" s="111">
        <v>992</v>
      </c>
      <c r="B993" s="192">
        <v>45262</v>
      </c>
      <c r="C993" s="113">
        <f t="shared" si="6"/>
        <v>2023</v>
      </c>
      <c r="D993" s="114">
        <f t="shared" si="7"/>
        <v>12</v>
      </c>
      <c r="E993" s="114" t="s">
        <v>12</v>
      </c>
      <c r="F993" s="114" t="s">
        <v>252</v>
      </c>
      <c r="G993" s="115" t="s">
        <v>253</v>
      </c>
      <c r="H993" s="114" t="s">
        <v>254</v>
      </c>
      <c r="I993" s="114" t="s">
        <v>184</v>
      </c>
      <c r="J993" s="186">
        <v>0</v>
      </c>
      <c r="K993" s="187">
        <v>0</v>
      </c>
      <c r="L993" s="187">
        <v>0</v>
      </c>
      <c r="M993" s="187">
        <v>0</v>
      </c>
      <c r="N993" s="187">
        <v>0</v>
      </c>
      <c r="O993" s="187">
        <v>0</v>
      </c>
      <c r="P993" s="188">
        <v>0</v>
      </c>
      <c r="Q993" s="186">
        <v>0</v>
      </c>
      <c r="R993" s="186">
        <v>0</v>
      </c>
      <c r="S993" s="184" t="s">
        <v>59</v>
      </c>
    </row>
    <row r="994" spans="1:19">
      <c r="A994" s="111">
        <v>993</v>
      </c>
      <c r="B994" s="192">
        <v>45263</v>
      </c>
      <c r="C994" s="113">
        <f t="shared" si="6"/>
        <v>2023</v>
      </c>
      <c r="D994" s="114">
        <f t="shared" si="7"/>
        <v>12</v>
      </c>
      <c r="E994" s="114" t="s">
        <v>26</v>
      </c>
      <c r="F994" s="114" t="s">
        <v>238</v>
      </c>
      <c r="G994" s="115" t="s">
        <v>175</v>
      </c>
      <c r="H994" s="114" t="s">
        <v>176</v>
      </c>
      <c r="I994" s="114" t="s">
        <v>173</v>
      </c>
      <c r="J994" s="186">
        <v>0</v>
      </c>
      <c r="K994" s="187">
        <v>0</v>
      </c>
      <c r="L994" s="187">
        <v>0</v>
      </c>
      <c r="M994" s="187">
        <v>0</v>
      </c>
      <c r="N994" s="187">
        <v>0</v>
      </c>
      <c r="O994" s="187">
        <v>0</v>
      </c>
      <c r="P994" s="188">
        <v>0</v>
      </c>
      <c r="Q994" s="186">
        <v>0</v>
      </c>
      <c r="R994" s="186">
        <v>0</v>
      </c>
      <c r="S994" s="184" t="s">
        <v>59</v>
      </c>
    </row>
    <row r="995" spans="1:19">
      <c r="A995" s="111">
        <v>994</v>
      </c>
      <c r="B995" s="192">
        <v>45264</v>
      </c>
      <c r="C995" s="113">
        <f t="shared" si="6"/>
        <v>2023</v>
      </c>
      <c r="D995" s="114">
        <f t="shared" si="7"/>
        <v>12</v>
      </c>
      <c r="E995" s="114" t="s">
        <v>19</v>
      </c>
      <c r="F995" s="114" t="s">
        <v>178</v>
      </c>
      <c r="G995" s="115" t="s">
        <v>179</v>
      </c>
      <c r="H995" s="114" t="s">
        <v>180</v>
      </c>
      <c r="I995" s="114" t="s">
        <v>173</v>
      </c>
      <c r="J995" s="186">
        <v>2</v>
      </c>
      <c r="K995" s="187">
        <v>49</v>
      </c>
      <c r="L995" s="187">
        <v>21</v>
      </c>
      <c r="M995" s="187">
        <v>2.6</v>
      </c>
      <c r="N995" s="187">
        <v>847</v>
      </c>
      <c r="O995" s="187">
        <v>1212</v>
      </c>
      <c r="P995" s="188">
        <v>0</v>
      </c>
      <c r="Q995" s="189">
        <v>1693</v>
      </c>
      <c r="R995" s="189">
        <v>2424</v>
      </c>
      <c r="S995" s="184" t="s">
        <v>59</v>
      </c>
    </row>
    <row r="996" spans="1:19">
      <c r="A996" s="111">
        <v>995</v>
      </c>
      <c r="B996" s="192">
        <v>45265</v>
      </c>
      <c r="C996" s="113">
        <f t="shared" si="6"/>
        <v>2023</v>
      </c>
      <c r="D996" s="114">
        <f t="shared" si="7"/>
        <v>12</v>
      </c>
      <c r="E996" s="114" t="s">
        <v>7</v>
      </c>
      <c r="F996" s="114" t="s">
        <v>239</v>
      </c>
      <c r="G996" s="115" t="s">
        <v>240</v>
      </c>
      <c r="H996" s="114" t="s">
        <v>241</v>
      </c>
      <c r="I996" s="114" t="s">
        <v>184</v>
      </c>
      <c r="J996" s="186">
        <v>5</v>
      </c>
      <c r="K996" s="187">
        <v>34</v>
      </c>
      <c r="L996" s="187">
        <v>19</v>
      </c>
      <c r="M996" s="187">
        <v>2</v>
      </c>
      <c r="N996" s="187">
        <v>425</v>
      </c>
      <c r="O996" s="187">
        <v>650</v>
      </c>
      <c r="P996" s="188">
        <v>0.6</v>
      </c>
      <c r="Q996" s="189">
        <v>2127</v>
      </c>
      <c r="R996" s="189">
        <v>3252</v>
      </c>
      <c r="S996" s="184" t="s">
        <v>59</v>
      </c>
    </row>
    <row r="997" spans="1:19">
      <c r="A997" s="111">
        <v>996</v>
      </c>
      <c r="B997" s="192">
        <v>45266</v>
      </c>
      <c r="C997" s="113">
        <f t="shared" si="6"/>
        <v>2023</v>
      </c>
      <c r="D997" s="114">
        <f t="shared" si="7"/>
        <v>12</v>
      </c>
      <c r="E997" s="114" t="s">
        <v>7</v>
      </c>
      <c r="F997" s="114" t="s">
        <v>220</v>
      </c>
      <c r="G997" s="115" t="s">
        <v>221</v>
      </c>
      <c r="H997" s="114" t="s">
        <v>222</v>
      </c>
      <c r="I997" s="114" t="s">
        <v>184</v>
      </c>
      <c r="J997" s="186">
        <v>3</v>
      </c>
      <c r="K997" s="187">
        <v>47</v>
      </c>
      <c r="L997" s="187">
        <v>20</v>
      </c>
      <c r="M997" s="187">
        <v>2.6</v>
      </c>
      <c r="N997" s="187">
        <v>783</v>
      </c>
      <c r="O997" s="187">
        <v>1208</v>
      </c>
      <c r="P997" s="188">
        <v>1</v>
      </c>
      <c r="Q997" s="189">
        <v>2349</v>
      </c>
      <c r="R997" s="189">
        <v>3624</v>
      </c>
      <c r="S997" s="184" t="s">
        <v>59</v>
      </c>
    </row>
    <row r="998" spans="1:19">
      <c r="A998" s="111">
        <v>997</v>
      </c>
      <c r="B998" s="192">
        <v>45267</v>
      </c>
      <c r="C998" s="113">
        <f t="shared" si="6"/>
        <v>2023</v>
      </c>
      <c r="D998" s="114">
        <f t="shared" si="7"/>
        <v>12</v>
      </c>
      <c r="E998" s="114" t="s">
        <v>7</v>
      </c>
      <c r="F998" s="114" t="s">
        <v>242</v>
      </c>
      <c r="G998" s="115" t="s">
        <v>243</v>
      </c>
      <c r="H998" s="114" t="s">
        <v>244</v>
      </c>
      <c r="I998" s="114" t="s">
        <v>184</v>
      </c>
      <c r="J998" s="186">
        <v>4</v>
      </c>
      <c r="K998" s="187">
        <v>73</v>
      </c>
      <c r="L998" s="187">
        <v>28</v>
      </c>
      <c r="M998" s="187">
        <v>3</v>
      </c>
      <c r="N998" s="187">
        <v>1337</v>
      </c>
      <c r="O998" s="187">
        <v>2307</v>
      </c>
      <c r="P998" s="188">
        <v>0</v>
      </c>
      <c r="Q998" s="189">
        <v>5347</v>
      </c>
      <c r="R998" s="189">
        <v>9228</v>
      </c>
      <c r="S998" s="184" t="s">
        <v>59</v>
      </c>
    </row>
    <row r="999" spans="1:19">
      <c r="A999" s="111">
        <v>998</v>
      </c>
      <c r="B999" s="192">
        <v>45268</v>
      </c>
      <c r="C999" s="113">
        <f t="shared" si="6"/>
        <v>2023</v>
      </c>
      <c r="D999" s="114">
        <f t="shared" si="7"/>
        <v>12</v>
      </c>
      <c r="E999" s="114" t="s">
        <v>7</v>
      </c>
      <c r="F999" s="114" t="s">
        <v>255</v>
      </c>
      <c r="G999" s="115" t="s">
        <v>256</v>
      </c>
      <c r="H999" s="114" t="s">
        <v>257</v>
      </c>
      <c r="I999" s="114" t="s">
        <v>173</v>
      </c>
      <c r="J999" s="186">
        <v>3</v>
      </c>
      <c r="K999" s="187">
        <v>75</v>
      </c>
      <c r="L999" s="187">
        <v>26</v>
      </c>
      <c r="M999" s="187">
        <v>3.1</v>
      </c>
      <c r="N999" s="187">
        <v>2434</v>
      </c>
      <c r="O999" s="187">
        <v>3692</v>
      </c>
      <c r="P999" s="188">
        <v>0.33</v>
      </c>
      <c r="Q999" s="189">
        <v>7301</v>
      </c>
      <c r="R999" s="189">
        <v>11076</v>
      </c>
      <c r="S999" s="184" t="s">
        <v>59</v>
      </c>
    </row>
    <row r="1000" spans="1:19">
      <c r="A1000" s="111">
        <v>999</v>
      </c>
      <c r="B1000" s="192">
        <v>45269</v>
      </c>
      <c r="C1000" s="113">
        <f t="shared" si="6"/>
        <v>2023</v>
      </c>
      <c r="D1000" s="114">
        <f t="shared" si="7"/>
        <v>12</v>
      </c>
      <c r="E1000" s="114" t="s">
        <v>7</v>
      </c>
      <c r="F1000" s="114" t="s">
        <v>258</v>
      </c>
      <c r="G1000" s="115" t="s">
        <v>256</v>
      </c>
      <c r="H1000" s="114" t="s">
        <v>257</v>
      </c>
      <c r="I1000" s="114" t="s">
        <v>200</v>
      </c>
      <c r="J1000" s="186">
        <v>0</v>
      </c>
      <c r="K1000" s="187">
        <v>0</v>
      </c>
      <c r="L1000" s="187">
        <v>0</v>
      </c>
      <c r="M1000" s="187">
        <v>0</v>
      </c>
      <c r="N1000" s="187">
        <v>0</v>
      </c>
      <c r="O1000" s="187">
        <v>0</v>
      </c>
      <c r="P1000" s="188">
        <v>0</v>
      </c>
      <c r="Q1000" s="186">
        <v>0</v>
      </c>
      <c r="R1000" s="186">
        <v>0</v>
      </c>
      <c r="S1000" s="184" t="s">
        <v>59</v>
      </c>
    </row>
    <row r="1001" spans="1:19">
      <c r="A1001" s="111">
        <v>1000</v>
      </c>
      <c r="B1001" s="192">
        <v>45270</v>
      </c>
      <c r="C1001" s="113">
        <f t="shared" si="6"/>
        <v>2023</v>
      </c>
      <c r="D1001" s="114">
        <f t="shared" si="7"/>
        <v>12</v>
      </c>
      <c r="E1001" s="114" t="s">
        <v>24</v>
      </c>
      <c r="F1001" s="114" t="s">
        <v>259</v>
      </c>
      <c r="G1001" s="115" t="s">
        <v>260</v>
      </c>
      <c r="H1001" s="114" t="s">
        <v>261</v>
      </c>
      <c r="I1001" s="114" t="s">
        <v>184</v>
      </c>
      <c r="J1001" s="186">
        <v>2</v>
      </c>
      <c r="K1001" s="187">
        <v>12</v>
      </c>
      <c r="L1001" s="187">
        <v>19</v>
      </c>
      <c r="M1001" s="187">
        <v>1.1000000000000001</v>
      </c>
      <c r="N1001" s="187">
        <v>43</v>
      </c>
      <c r="O1001" s="187">
        <v>57</v>
      </c>
      <c r="P1001" s="188">
        <v>0</v>
      </c>
      <c r="Q1001" s="186">
        <v>86</v>
      </c>
      <c r="R1001" s="186">
        <v>114</v>
      </c>
      <c r="S1001" s="184" t="s">
        <v>59</v>
      </c>
    </row>
    <row r="1002" spans="1:19">
      <c r="A1002" s="111">
        <v>1001</v>
      </c>
      <c r="B1002" s="192">
        <v>45271</v>
      </c>
      <c r="C1002" s="113">
        <f t="shared" si="6"/>
        <v>2023</v>
      </c>
      <c r="D1002" s="114">
        <f t="shared" si="7"/>
        <v>12</v>
      </c>
      <c r="E1002" s="114" t="s">
        <v>24</v>
      </c>
      <c r="F1002" s="114" t="s">
        <v>262</v>
      </c>
      <c r="G1002" s="115" t="s">
        <v>263</v>
      </c>
      <c r="H1002" s="114" t="s">
        <v>264</v>
      </c>
      <c r="I1002" s="114" t="s">
        <v>184</v>
      </c>
      <c r="J1002" s="186">
        <v>4</v>
      </c>
      <c r="K1002" s="187">
        <v>26</v>
      </c>
      <c r="L1002" s="187">
        <v>30</v>
      </c>
      <c r="M1002" s="187">
        <v>1.2</v>
      </c>
      <c r="N1002" s="187">
        <v>129</v>
      </c>
      <c r="O1002" s="187">
        <v>218</v>
      </c>
      <c r="P1002" s="188">
        <v>0.5</v>
      </c>
      <c r="Q1002" s="186">
        <v>514</v>
      </c>
      <c r="R1002" s="186">
        <v>871</v>
      </c>
      <c r="S1002" s="184" t="s">
        <v>59</v>
      </c>
    </row>
    <row r="1003" spans="1:19">
      <c r="A1003" s="111">
        <v>1002</v>
      </c>
      <c r="B1003" s="192">
        <v>45272</v>
      </c>
      <c r="C1003" s="113">
        <f t="shared" si="6"/>
        <v>2023</v>
      </c>
      <c r="D1003" s="114">
        <f t="shared" si="7"/>
        <v>12</v>
      </c>
      <c r="E1003" s="114" t="s">
        <v>28</v>
      </c>
      <c r="F1003" s="114" t="s">
        <v>265</v>
      </c>
      <c r="G1003" s="115" t="s">
        <v>266</v>
      </c>
      <c r="H1003" s="114" t="s">
        <v>267</v>
      </c>
      <c r="I1003" s="114" t="s">
        <v>184</v>
      </c>
      <c r="J1003" s="186">
        <v>1</v>
      </c>
      <c r="K1003" s="187">
        <v>25</v>
      </c>
      <c r="L1003" s="187">
        <v>23</v>
      </c>
      <c r="M1003" s="187">
        <v>1.7</v>
      </c>
      <c r="N1003" s="187">
        <v>142</v>
      </c>
      <c r="O1003" s="187">
        <v>240</v>
      </c>
      <c r="P1003" s="188">
        <v>1</v>
      </c>
      <c r="Q1003" s="186">
        <v>142</v>
      </c>
      <c r="R1003" s="186">
        <v>240</v>
      </c>
      <c r="S1003" s="184" t="s">
        <v>59</v>
      </c>
    </row>
    <row r="1004" spans="1:19">
      <c r="A1004" s="111">
        <v>1003</v>
      </c>
      <c r="B1004" s="192">
        <v>45273</v>
      </c>
      <c r="C1004" s="113">
        <f t="shared" si="6"/>
        <v>2023</v>
      </c>
      <c r="D1004" s="114">
        <f t="shared" si="7"/>
        <v>12</v>
      </c>
      <c r="E1004" s="114" t="s">
        <v>93</v>
      </c>
      <c r="F1004" s="114" t="s">
        <v>265</v>
      </c>
      <c r="G1004" s="115" t="s">
        <v>266</v>
      </c>
      <c r="H1004" s="114" t="s">
        <v>267</v>
      </c>
      <c r="I1004" s="114" t="s">
        <v>184</v>
      </c>
      <c r="J1004" s="186">
        <v>2</v>
      </c>
      <c r="K1004" s="187">
        <v>25</v>
      </c>
      <c r="L1004" s="187">
        <v>21</v>
      </c>
      <c r="M1004" s="187">
        <v>1.5</v>
      </c>
      <c r="N1004" s="187">
        <v>221</v>
      </c>
      <c r="O1004" s="187">
        <v>320</v>
      </c>
      <c r="P1004" s="188">
        <v>0.5</v>
      </c>
      <c r="Q1004" s="186">
        <v>441</v>
      </c>
      <c r="R1004" s="186">
        <v>639</v>
      </c>
      <c r="S1004" s="184" t="s">
        <v>59</v>
      </c>
    </row>
    <row r="1005" spans="1:19">
      <c r="A1005" s="111">
        <v>1004</v>
      </c>
      <c r="B1005" s="192">
        <v>45274</v>
      </c>
      <c r="C1005" s="113">
        <f t="shared" si="6"/>
        <v>2023</v>
      </c>
      <c r="D1005" s="114">
        <f t="shared" si="7"/>
        <v>12</v>
      </c>
      <c r="E1005" s="114" t="s">
        <v>10</v>
      </c>
      <c r="F1005" s="114" t="s">
        <v>268</v>
      </c>
      <c r="G1005" s="115" t="s">
        <v>269</v>
      </c>
      <c r="H1005" s="114" t="s">
        <v>270</v>
      </c>
      <c r="I1005" s="114" t="s">
        <v>184</v>
      </c>
      <c r="J1005" s="186">
        <v>4</v>
      </c>
      <c r="K1005" s="187">
        <v>60</v>
      </c>
      <c r="L1005" s="187">
        <v>29</v>
      </c>
      <c r="M1005" s="187">
        <v>2.2000000000000002</v>
      </c>
      <c r="N1005" s="187">
        <v>884</v>
      </c>
      <c r="O1005" s="187">
        <v>1301</v>
      </c>
      <c r="P1005" s="188">
        <v>0</v>
      </c>
      <c r="Q1005" s="186">
        <v>3535</v>
      </c>
      <c r="R1005" s="186">
        <v>5204</v>
      </c>
      <c r="S1005" s="184" t="s">
        <v>59</v>
      </c>
    </row>
    <row r="1006" spans="1:19">
      <c r="A1006" s="111">
        <v>1005</v>
      </c>
      <c r="B1006" s="192">
        <v>45275</v>
      </c>
      <c r="C1006" s="113">
        <f t="shared" si="6"/>
        <v>2023</v>
      </c>
      <c r="D1006" s="114">
        <f t="shared" si="7"/>
        <v>12</v>
      </c>
      <c r="E1006" s="114" t="s">
        <v>32</v>
      </c>
      <c r="F1006" s="114" t="s">
        <v>249</v>
      </c>
      <c r="G1006" s="115" t="s">
        <v>250</v>
      </c>
      <c r="H1006" s="114" t="s">
        <v>251</v>
      </c>
      <c r="I1006" s="114" t="s">
        <v>184</v>
      </c>
      <c r="J1006" s="186">
        <v>1</v>
      </c>
      <c r="K1006" s="187">
        <v>37</v>
      </c>
      <c r="L1006" s="187">
        <v>18</v>
      </c>
      <c r="M1006" s="187">
        <v>1.9</v>
      </c>
      <c r="N1006" s="187">
        <v>903</v>
      </c>
      <c r="O1006" s="187">
        <v>1351</v>
      </c>
      <c r="P1006" s="188">
        <v>0</v>
      </c>
      <c r="Q1006" s="186">
        <v>903</v>
      </c>
      <c r="R1006" s="186">
        <v>1351</v>
      </c>
      <c r="S1006" s="184" t="s">
        <v>59</v>
      </c>
    </row>
    <row r="1007" spans="1:19">
      <c r="A1007" s="111">
        <v>1006</v>
      </c>
      <c r="B1007" s="192">
        <v>45276</v>
      </c>
      <c r="C1007" s="113">
        <f t="shared" si="6"/>
        <v>2023</v>
      </c>
      <c r="D1007" s="114">
        <f t="shared" si="7"/>
        <v>12</v>
      </c>
      <c r="E1007" s="114" t="s">
        <v>79</v>
      </c>
      <c r="F1007" s="114" t="s">
        <v>255</v>
      </c>
      <c r="G1007" s="115" t="s">
        <v>256</v>
      </c>
      <c r="H1007" s="114" t="s">
        <v>257</v>
      </c>
      <c r="I1007" s="114" t="s">
        <v>173</v>
      </c>
      <c r="J1007" s="186">
        <v>2</v>
      </c>
      <c r="K1007" s="187">
        <v>78</v>
      </c>
      <c r="L1007" s="187">
        <v>30</v>
      </c>
      <c r="M1007" s="187">
        <v>2.7</v>
      </c>
      <c r="N1007" s="187">
        <v>2389</v>
      </c>
      <c r="O1007" s="187">
        <v>3425</v>
      </c>
      <c r="P1007" s="188">
        <v>1</v>
      </c>
      <c r="Q1007" s="186">
        <v>4778</v>
      </c>
      <c r="R1007" s="186">
        <v>6850</v>
      </c>
      <c r="S1007" s="184" t="s">
        <v>59</v>
      </c>
    </row>
    <row r="1008" spans="1:19">
      <c r="A1008" s="111">
        <v>1007</v>
      </c>
      <c r="B1008" s="192">
        <v>45277</v>
      </c>
      <c r="C1008" s="113">
        <f t="shared" si="6"/>
        <v>2023</v>
      </c>
      <c r="D1008" s="114">
        <f t="shared" si="7"/>
        <v>12</v>
      </c>
      <c r="E1008" s="114" t="s">
        <v>101</v>
      </c>
      <c r="F1008" s="114" t="s">
        <v>249</v>
      </c>
      <c r="G1008" s="115" t="s">
        <v>250</v>
      </c>
      <c r="H1008" s="114" t="s">
        <v>251</v>
      </c>
      <c r="I1008" s="114" t="s">
        <v>184</v>
      </c>
      <c r="J1008" s="186">
        <v>1</v>
      </c>
      <c r="K1008" s="187">
        <v>0</v>
      </c>
      <c r="L1008" s="187">
        <v>22</v>
      </c>
      <c r="M1008" s="187">
        <v>2.2999999999999998</v>
      </c>
      <c r="N1008" s="187">
        <v>782</v>
      </c>
      <c r="O1008" s="187">
        <v>1253</v>
      </c>
      <c r="P1008" s="188">
        <v>0</v>
      </c>
      <c r="Q1008" s="186">
        <v>782</v>
      </c>
      <c r="R1008" s="186">
        <v>1253</v>
      </c>
      <c r="S1008" s="184" t="s">
        <v>59</v>
      </c>
    </row>
    <row r="1009" spans="1:19">
      <c r="A1009" s="111">
        <v>1008</v>
      </c>
      <c r="B1009" s="192">
        <v>45278</v>
      </c>
      <c r="C1009" s="113">
        <f t="shared" si="6"/>
        <v>2023</v>
      </c>
      <c r="D1009" s="114">
        <f t="shared" si="7"/>
        <v>12</v>
      </c>
      <c r="E1009" s="114" t="s">
        <v>116</v>
      </c>
      <c r="F1009" s="114" t="s">
        <v>271</v>
      </c>
      <c r="G1009" s="185"/>
      <c r="H1009" s="185"/>
      <c r="I1009" s="185"/>
      <c r="J1009" s="186">
        <v>0</v>
      </c>
      <c r="K1009" s="187">
        <v>0</v>
      </c>
      <c r="L1009" s="187">
        <v>0</v>
      </c>
      <c r="M1009" s="187">
        <v>0</v>
      </c>
      <c r="N1009" s="187">
        <v>0</v>
      </c>
      <c r="O1009" s="187">
        <v>0</v>
      </c>
      <c r="P1009" s="193"/>
      <c r="Q1009" s="186">
        <v>0</v>
      </c>
      <c r="R1009" s="186">
        <v>0</v>
      </c>
      <c r="S1009" s="184" t="s">
        <v>59</v>
      </c>
    </row>
    <row r="1010" spans="1:19">
      <c r="A1010" s="111">
        <v>1009</v>
      </c>
      <c r="B1010" s="191">
        <v>44927</v>
      </c>
      <c r="C1010" s="113">
        <f t="shared" si="6"/>
        <v>2023</v>
      </c>
      <c r="D1010" s="114">
        <f t="shared" si="7"/>
        <v>1</v>
      </c>
      <c r="E1010" s="114" t="s">
        <v>7</v>
      </c>
      <c r="F1010" s="114" t="s">
        <v>272</v>
      </c>
      <c r="G1010" s="115" t="s">
        <v>273</v>
      </c>
      <c r="H1010" s="114" t="s">
        <v>274</v>
      </c>
      <c r="I1010" s="114" t="s">
        <v>173</v>
      </c>
      <c r="J1010" s="186">
        <v>0</v>
      </c>
      <c r="K1010" s="187">
        <v>0</v>
      </c>
      <c r="L1010" s="187">
        <v>0</v>
      </c>
      <c r="M1010" s="187">
        <v>0</v>
      </c>
      <c r="N1010" s="187">
        <v>0</v>
      </c>
      <c r="O1010" s="187">
        <v>0</v>
      </c>
      <c r="P1010" s="188">
        <v>0</v>
      </c>
      <c r="Q1010" s="186">
        <v>0</v>
      </c>
      <c r="R1010" s="186">
        <v>0</v>
      </c>
      <c r="S1010" s="184" t="s">
        <v>59</v>
      </c>
    </row>
    <row r="1011" spans="1:19">
      <c r="A1011" s="111">
        <v>1010</v>
      </c>
      <c r="B1011" s="191">
        <v>44928</v>
      </c>
      <c r="C1011" s="113">
        <f t="shared" si="6"/>
        <v>2023</v>
      </c>
      <c r="D1011" s="114">
        <f t="shared" si="7"/>
        <v>1</v>
      </c>
      <c r="E1011" s="114" t="s">
        <v>111</v>
      </c>
      <c r="F1011" s="114" t="s">
        <v>275</v>
      </c>
      <c r="G1011" s="115" t="s">
        <v>276</v>
      </c>
      <c r="H1011" s="114" t="s">
        <v>277</v>
      </c>
      <c r="I1011" s="114" t="s">
        <v>184</v>
      </c>
      <c r="J1011" s="186">
        <v>1</v>
      </c>
      <c r="K1011" s="187">
        <v>19</v>
      </c>
      <c r="L1011" s="187">
        <v>26</v>
      </c>
      <c r="M1011" s="187">
        <v>0.83</v>
      </c>
      <c r="N1011" s="187">
        <v>477</v>
      </c>
      <c r="O1011" s="187">
        <v>548</v>
      </c>
      <c r="P1011" s="188">
        <v>1</v>
      </c>
      <c r="Q1011" s="186">
        <v>477</v>
      </c>
      <c r="R1011" s="186">
        <v>548</v>
      </c>
      <c r="S1011" s="184" t="s">
        <v>278</v>
      </c>
    </row>
    <row r="1012" spans="1:19">
      <c r="A1012" s="111">
        <v>1011</v>
      </c>
      <c r="B1012" s="191">
        <v>44929</v>
      </c>
      <c r="C1012" s="113">
        <f t="shared" si="6"/>
        <v>2023</v>
      </c>
      <c r="D1012" s="114">
        <f t="shared" si="7"/>
        <v>1</v>
      </c>
      <c r="E1012" s="114" t="s">
        <v>113</v>
      </c>
      <c r="F1012" s="114" t="s">
        <v>279</v>
      </c>
      <c r="G1012" s="115" t="s">
        <v>280</v>
      </c>
      <c r="H1012" s="114" t="s">
        <v>280</v>
      </c>
      <c r="I1012" s="114" t="s">
        <v>184</v>
      </c>
      <c r="J1012" s="186">
        <v>12</v>
      </c>
      <c r="K1012" s="187">
        <v>16</v>
      </c>
      <c r="L1012" s="187">
        <v>30</v>
      </c>
      <c r="M1012" s="187">
        <v>0.78</v>
      </c>
      <c r="N1012" s="187">
        <v>268</v>
      </c>
      <c r="O1012" s="187">
        <v>297</v>
      </c>
      <c r="P1012" s="188">
        <v>0.98</v>
      </c>
      <c r="Q1012" s="189">
        <v>3210</v>
      </c>
      <c r="R1012" s="189">
        <v>3563</v>
      </c>
      <c r="S1012" s="184" t="s">
        <v>278</v>
      </c>
    </row>
    <row r="1013" spans="1:19">
      <c r="A1013" s="111">
        <v>1012</v>
      </c>
      <c r="B1013" s="191">
        <v>44930</v>
      </c>
      <c r="C1013" s="113">
        <f t="shared" si="6"/>
        <v>2023</v>
      </c>
      <c r="D1013" s="114">
        <f t="shared" si="7"/>
        <v>1</v>
      </c>
      <c r="E1013" s="114" t="s">
        <v>153</v>
      </c>
      <c r="F1013" s="114" t="s">
        <v>281</v>
      </c>
      <c r="G1013" s="115" t="s">
        <v>282</v>
      </c>
      <c r="H1013" s="114" t="s">
        <v>283</v>
      </c>
      <c r="I1013" s="114" t="s">
        <v>173</v>
      </c>
      <c r="J1013" s="186">
        <v>0</v>
      </c>
      <c r="K1013" s="187">
        <v>0</v>
      </c>
      <c r="L1013" s="187">
        <v>0</v>
      </c>
      <c r="M1013" s="187">
        <v>0</v>
      </c>
      <c r="N1013" s="187">
        <v>0</v>
      </c>
      <c r="O1013" s="187">
        <v>0</v>
      </c>
      <c r="P1013" s="188">
        <v>0</v>
      </c>
      <c r="Q1013" s="186">
        <v>0</v>
      </c>
      <c r="R1013" s="186">
        <v>0</v>
      </c>
      <c r="S1013" s="184" t="s">
        <v>278</v>
      </c>
    </row>
    <row r="1014" spans="1:19">
      <c r="A1014" s="111">
        <v>1013</v>
      </c>
      <c r="B1014" s="191">
        <v>44931</v>
      </c>
      <c r="C1014" s="113">
        <f t="shared" si="6"/>
        <v>2023</v>
      </c>
      <c r="D1014" s="114">
        <f t="shared" si="7"/>
        <v>1</v>
      </c>
      <c r="E1014" s="114" t="s">
        <v>117</v>
      </c>
      <c r="F1014" s="114" t="s">
        <v>117</v>
      </c>
      <c r="G1014" s="185"/>
      <c r="H1014" s="114"/>
      <c r="I1014" s="114" t="s">
        <v>184</v>
      </c>
      <c r="J1014" s="186">
        <v>0</v>
      </c>
      <c r="K1014" s="187">
        <v>0</v>
      </c>
      <c r="L1014" s="187">
        <v>0</v>
      </c>
      <c r="M1014" s="187">
        <v>0</v>
      </c>
      <c r="N1014" s="187">
        <v>0</v>
      </c>
      <c r="O1014" s="187">
        <v>0</v>
      </c>
      <c r="P1014" s="188">
        <v>0</v>
      </c>
      <c r="Q1014" s="186">
        <v>0</v>
      </c>
      <c r="R1014" s="186">
        <v>0</v>
      </c>
      <c r="S1014" s="184" t="s">
        <v>278</v>
      </c>
    </row>
    <row r="1015" spans="1:19">
      <c r="A1015" s="111">
        <v>1014</v>
      </c>
      <c r="B1015" s="191">
        <v>44932</v>
      </c>
      <c r="C1015" s="113">
        <f t="shared" si="6"/>
        <v>2023</v>
      </c>
      <c r="D1015" s="114">
        <f t="shared" si="7"/>
        <v>1</v>
      </c>
      <c r="E1015" s="114" t="s">
        <v>152</v>
      </c>
      <c r="F1015" s="114" t="s">
        <v>284</v>
      </c>
      <c r="G1015" s="115" t="s">
        <v>285</v>
      </c>
      <c r="H1015" s="114" t="s">
        <v>286</v>
      </c>
      <c r="I1015" s="114" t="s">
        <v>184</v>
      </c>
      <c r="J1015" s="186">
        <v>0</v>
      </c>
      <c r="K1015" s="187">
        <v>0</v>
      </c>
      <c r="L1015" s="187">
        <v>0</v>
      </c>
      <c r="M1015" s="187">
        <v>0</v>
      </c>
      <c r="N1015" s="187">
        <v>0</v>
      </c>
      <c r="O1015" s="187">
        <v>0</v>
      </c>
      <c r="P1015" s="188">
        <v>0</v>
      </c>
      <c r="Q1015" s="186">
        <v>0</v>
      </c>
      <c r="R1015" s="186">
        <v>0</v>
      </c>
      <c r="S1015" s="184" t="s">
        <v>278</v>
      </c>
    </row>
    <row r="1016" spans="1:19">
      <c r="A1016" s="111">
        <v>1015</v>
      </c>
      <c r="B1016" s="191">
        <v>44933</v>
      </c>
      <c r="C1016" s="113">
        <f t="shared" si="6"/>
        <v>2023</v>
      </c>
      <c r="D1016" s="114">
        <f t="shared" si="7"/>
        <v>1</v>
      </c>
      <c r="E1016" s="114" t="s">
        <v>118</v>
      </c>
      <c r="F1016" s="114" t="s">
        <v>287</v>
      </c>
      <c r="G1016" s="127" t="s">
        <v>282</v>
      </c>
      <c r="H1016" s="194" t="s">
        <v>283</v>
      </c>
      <c r="I1016" s="185"/>
      <c r="J1016" s="186">
        <v>0</v>
      </c>
      <c r="K1016" s="187">
        <v>0</v>
      </c>
      <c r="L1016" s="187">
        <v>0</v>
      </c>
      <c r="M1016" s="187">
        <v>0</v>
      </c>
      <c r="N1016" s="187">
        <v>0</v>
      </c>
      <c r="O1016" s="187">
        <v>0</v>
      </c>
      <c r="P1016" s="188">
        <v>0</v>
      </c>
      <c r="Q1016" s="186">
        <v>0</v>
      </c>
      <c r="R1016" s="186">
        <v>0</v>
      </c>
      <c r="S1016" s="184" t="s">
        <v>278</v>
      </c>
    </row>
    <row r="1017" spans="1:19">
      <c r="A1017" s="111">
        <v>1016</v>
      </c>
      <c r="B1017" s="191">
        <v>44958</v>
      </c>
      <c r="C1017" s="113">
        <f t="shared" si="6"/>
        <v>2023</v>
      </c>
      <c r="D1017" s="114">
        <f t="shared" si="7"/>
        <v>2</v>
      </c>
      <c r="E1017" s="114" t="s">
        <v>7</v>
      </c>
      <c r="F1017" s="114" t="s">
        <v>272</v>
      </c>
      <c r="G1017" s="115" t="s">
        <v>273</v>
      </c>
      <c r="H1017" s="114" t="s">
        <v>274</v>
      </c>
      <c r="I1017" s="114" t="s">
        <v>173</v>
      </c>
      <c r="J1017" s="186">
        <v>0</v>
      </c>
      <c r="K1017" s="187">
        <v>0</v>
      </c>
      <c r="L1017" s="187">
        <v>0</v>
      </c>
      <c r="M1017" s="187">
        <v>0</v>
      </c>
      <c r="N1017" s="187">
        <v>0</v>
      </c>
      <c r="O1017" s="187">
        <v>0</v>
      </c>
      <c r="P1017" s="188">
        <v>0</v>
      </c>
      <c r="Q1017" s="186">
        <v>0</v>
      </c>
      <c r="R1017" s="186">
        <v>0</v>
      </c>
      <c r="S1017" s="184" t="s">
        <v>278</v>
      </c>
    </row>
    <row r="1018" spans="1:19">
      <c r="A1018" s="111">
        <v>1017</v>
      </c>
      <c r="B1018" s="191">
        <v>44959</v>
      </c>
      <c r="C1018" s="113">
        <f t="shared" si="6"/>
        <v>2023</v>
      </c>
      <c r="D1018" s="114">
        <f t="shared" si="7"/>
        <v>2</v>
      </c>
      <c r="E1018" s="114" t="s">
        <v>111</v>
      </c>
      <c r="F1018" s="114" t="s">
        <v>275</v>
      </c>
      <c r="G1018" s="115" t="s">
        <v>276</v>
      </c>
      <c r="H1018" s="114" t="s">
        <v>277</v>
      </c>
      <c r="I1018" s="114" t="s">
        <v>184</v>
      </c>
      <c r="J1018" s="186">
        <v>2</v>
      </c>
      <c r="K1018" s="187">
        <v>12</v>
      </c>
      <c r="L1018" s="187">
        <v>26</v>
      </c>
      <c r="M1018" s="187">
        <v>0.93</v>
      </c>
      <c r="N1018" s="187">
        <v>84</v>
      </c>
      <c r="O1018" s="187">
        <v>90</v>
      </c>
      <c r="P1018" s="188">
        <v>1</v>
      </c>
      <c r="Q1018" s="186">
        <v>168</v>
      </c>
      <c r="R1018" s="186">
        <v>180</v>
      </c>
      <c r="S1018" s="184" t="s">
        <v>278</v>
      </c>
    </row>
    <row r="1019" spans="1:19">
      <c r="A1019" s="111">
        <v>1018</v>
      </c>
      <c r="B1019" s="191">
        <v>44960</v>
      </c>
      <c r="C1019" s="113">
        <f t="shared" si="6"/>
        <v>2023</v>
      </c>
      <c r="D1019" s="114">
        <f t="shared" si="7"/>
        <v>2</v>
      </c>
      <c r="E1019" s="114" t="s">
        <v>113</v>
      </c>
      <c r="F1019" s="114" t="s">
        <v>279</v>
      </c>
      <c r="G1019" s="115" t="s">
        <v>280</v>
      </c>
      <c r="H1019" s="114" t="s">
        <v>280</v>
      </c>
      <c r="I1019" s="114" t="s">
        <v>184</v>
      </c>
      <c r="J1019" s="186">
        <v>13</v>
      </c>
      <c r="K1019" s="187">
        <v>16</v>
      </c>
      <c r="L1019" s="187">
        <v>27</v>
      </c>
      <c r="M1019" s="187">
        <v>0.75</v>
      </c>
      <c r="N1019" s="187">
        <v>329</v>
      </c>
      <c r="O1019" s="187">
        <v>361</v>
      </c>
      <c r="P1019" s="188">
        <v>0.98</v>
      </c>
      <c r="Q1019" s="189">
        <v>4281</v>
      </c>
      <c r="R1019" s="189">
        <v>4698</v>
      </c>
      <c r="S1019" s="184" t="s">
        <v>278</v>
      </c>
    </row>
    <row r="1020" spans="1:19">
      <c r="A1020" s="111">
        <v>1019</v>
      </c>
      <c r="B1020" s="191">
        <v>44961</v>
      </c>
      <c r="C1020" s="113">
        <f t="shared" si="6"/>
        <v>2023</v>
      </c>
      <c r="D1020" s="114">
        <f t="shared" si="7"/>
        <v>2</v>
      </c>
      <c r="E1020" s="114" t="s">
        <v>153</v>
      </c>
      <c r="F1020" s="114" t="s">
        <v>281</v>
      </c>
      <c r="G1020" s="115" t="s">
        <v>282</v>
      </c>
      <c r="H1020" s="114" t="s">
        <v>283</v>
      </c>
      <c r="I1020" s="114" t="s">
        <v>173</v>
      </c>
      <c r="J1020" s="186">
        <v>0</v>
      </c>
      <c r="K1020" s="187">
        <v>0</v>
      </c>
      <c r="L1020" s="187">
        <v>0</v>
      </c>
      <c r="M1020" s="187">
        <v>0</v>
      </c>
      <c r="N1020" s="187">
        <v>0</v>
      </c>
      <c r="O1020" s="187">
        <v>0</v>
      </c>
      <c r="P1020" s="188">
        <v>0</v>
      </c>
      <c r="Q1020" s="186">
        <v>0</v>
      </c>
      <c r="R1020" s="186">
        <v>0</v>
      </c>
      <c r="S1020" s="184" t="s">
        <v>278</v>
      </c>
    </row>
    <row r="1021" spans="1:19">
      <c r="A1021" s="111">
        <v>1020</v>
      </c>
      <c r="B1021" s="191">
        <v>44962</v>
      </c>
      <c r="C1021" s="113">
        <f t="shared" si="6"/>
        <v>2023</v>
      </c>
      <c r="D1021" s="114">
        <f t="shared" si="7"/>
        <v>2</v>
      </c>
      <c r="E1021" s="114" t="s">
        <v>117</v>
      </c>
      <c r="F1021" s="114" t="s">
        <v>117</v>
      </c>
      <c r="G1021" s="185"/>
      <c r="H1021" s="114"/>
      <c r="I1021" s="114" t="s">
        <v>184</v>
      </c>
      <c r="J1021" s="186">
        <v>0</v>
      </c>
      <c r="K1021" s="187">
        <v>0</v>
      </c>
      <c r="L1021" s="187">
        <v>0</v>
      </c>
      <c r="M1021" s="187">
        <v>0</v>
      </c>
      <c r="N1021" s="187">
        <v>0</v>
      </c>
      <c r="O1021" s="187">
        <v>0</v>
      </c>
      <c r="P1021" s="188">
        <v>0</v>
      </c>
      <c r="Q1021" s="186">
        <v>0</v>
      </c>
      <c r="R1021" s="186">
        <v>0</v>
      </c>
      <c r="S1021" s="184" t="s">
        <v>278</v>
      </c>
    </row>
    <row r="1022" spans="1:19">
      <c r="A1022" s="111">
        <v>1021</v>
      </c>
      <c r="B1022" s="191">
        <v>44963</v>
      </c>
      <c r="C1022" s="113">
        <f t="shared" ref="C1022:C1276" si="8">YEAR(B1022)</f>
        <v>2023</v>
      </c>
      <c r="D1022" s="114">
        <f t="shared" ref="D1022:D1276" si="9">MONTH(B1022)</f>
        <v>2</v>
      </c>
      <c r="E1022" s="114" t="s">
        <v>152</v>
      </c>
      <c r="F1022" s="114" t="s">
        <v>284</v>
      </c>
      <c r="G1022" s="115" t="s">
        <v>285</v>
      </c>
      <c r="H1022" s="114" t="s">
        <v>286</v>
      </c>
      <c r="I1022" s="114" t="s">
        <v>184</v>
      </c>
      <c r="J1022" s="186">
        <v>0</v>
      </c>
      <c r="K1022" s="187">
        <v>0</v>
      </c>
      <c r="L1022" s="187">
        <v>0</v>
      </c>
      <c r="M1022" s="187">
        <v>0</v>
      </c>
      <c r="N1022" s="187">
        <v>0</v>
      </c>
      <c r="O1022" s="187">
        <v>0</v>
      </c>
      <c r="P1022" s="188">
        <v>0</v>
      </c>
      <c r="Q1022" s="186">
        <v>0</v>
      </c>
      <c r="R1022" s="186">
        <v>0</v>
      </c>
      <c r="S1022" s="184" t="s">
        <v>278</v>
      </c>
    </row>
    <row r="1023" spans="1:19">
      <c r="A1023" s="111">
        <v>1022</v>
      </c>
      <c r="B1023" s="191">
        <v>44964</v>
      </c>
      <c r="C1023" s="113">
        <f t="shared" si="8"/>
        <v>2023</v>
      </c>
      <c r="D1023" s="114">
        <f t="shared" si="9"/>
        <v>2</v>
      </c>
      <c r="E1023" s="114" t="s">
        <v>118</v>
      </c>
      <c r="F1023" s="114" t="s">
        <v>287</v>
      </c>
      <c r="G1023" s="127" t="s">
        <v>282</v>
      </c>
      <c r="H1023" s="194" t="s">
        <v>283</v>
      </c>
      <c r="I1023" s="185"/>
      <c r="J1023" s="186">
        <v>0</v>
      </c>
      <c r="K1023" s="187">
        <v>0</v>
      </c>
      <c r="L1023" s="187">
        <v>0</v>
      </c>
      <c r="M1023" s="187">
        <v>0</v>
      </c>
      <c r="N1023" s="187">
        <v>0</v>
      </c>
      <c r="O1023" s="187">
        <v>0</v>
      </c>
      <c r="P1023" s="188">
        <v>0</v>
      </c>
      <c r="Q1023" s="186">
        <v>0</v>
      </c>
      <c r="R1023" s="186">
        <v>0</v>
      </c>
      <c r="S1023" s="184" t="s">
        <v>278</v>
      </c>
    </row>
    <row r="1024" spans="1:19">
      <c r="A1024" s="111">
        <v>1023</v>
      </c>
      <c r="B1024" s="191">
        <v>44986</v>
      </c>
      <c r="C1024" s="113">
        <f t="shared" si="8"/>
        <v>2023</v>
      </c>
      <c r="D1024" s="114">
        <f t="shared" si="9"/>
        <v>3</v>
      </c>
      <c r="E1024" s="114" t="s">
        <v>7</v>
      </c>
      <c r="F1024" s="114" t="s">
        <v>272</v>
      </c>
      <c r="G1024" s="115" t="s">
        <v>273</v>
      </c>
      <c r="H1024" s="114" t="s">
        <v>274</v>
      </c>
      <c r="I1024" s="114" t="s">
        <v>173</v>
      </c>
      <c r="J1024" s="186">
        <v>1</v>
      </c>
      <c r="K1024" s="187">
        <v>21</v>
      </c>
      <c r="L1024" s="187">
        <v>26</v>
      </c>
      <c r="M1024" s="187">
        <v>1.79</v>
      </c>
      <c r="N1024" s="187">
        <v>361</v>
      </c>
      <c r="O1024" s="187">
        <v>364</v>
      </c>
      <c r="P1024" s="188">
        <v>1</v>
      </c>
      <c r="Q1024" s="186">
        <v>361</v>
      </c>
      <c r="R1024" s="186">
        <v>364</v>
      </c>
      <c r="S1024" s="184" t="s">
        <v>278</v>
      </c>
    </row>
    <row r="1025" spans="1:19">
      <c r="A1025" s="111">
        <v>1024</v>
      </c>
      <c r="B1025" s="191">
        <v>44987</v>
      </c>
      <c r="C1025" s="113">
        <f t="shared" si="8"/>
        <v>2023</v>
      </c>
      <c r="D1025" s="114">
        <f t="shared" si="9"/>
        <v>3</v>
      </c>
      <c r="E1025" s="114" t="s">
        <v>111</v>
      </c>
      <c r="F1025" s="114" t="s">
        <v>275</v>
      </c>
      <c r="G1025" s="115" t="s">
        <v>276</v>
      </c>
      <c r="H1025" s="114" t="s">
        <v>277</v>
      </c>
      <c r="I1025" s="114" t="s">
        <v>184</v>
      </c>
      <c r="J1025" s="186">
        <v>2</v>
      </c>
      <c r="K1025" s="187">
        <v>14</v>
      </c>
      <c r="L1025" s="187">
        <v>23</v>
      </c>
      <c r="M1025" s="187">
        <v>0.73</v>
      </c>
      <c r="N1025" s="187">
        <v>427</v>
      </c>
      <c r="O1025" s="187">
        <v>458</v>
      </c>
      <c r="P1025" s="188">
        <v>1</v>
      </c>
      <c r="Q1025" s="186">
        <v>853</v>
      </c>
      <c r="R1025" s="186">
        <v>916</v>
      </c>
      <c r="S1025" s="184" t="s">
        <v>278</v>
      </c>
    </row>
    <row r="1026" spans="1:19">
      <c r="A1026" s="111">
        <v>1025</v>
      </c>
      <c r="B1026" s="191">
        <v>44988</v>
      </c>
      <c r="C1026" s="113">
        <f t="shared" si="8"/>
        <v>2023</v>
      </c>
      <c r="D1026" s="114">
        <f t="shared" si="9"/>
        <v>3</v>
      </c>
      <c r="E1026" s="114" t="s">
        <v>113</v>
      </c>
      <c r="F1026" s="114" t="s">
        <v>279</v>
      </c>
      <c r="G1026" s="115" t="s">
        <v>280</v>
      </c>
      <c r="H1026" s="114" t="s">
        <v>280</v>
      </c>
      <c r="I1026" s="114" t="s">
        <v>184</v>
      </c>
      <c r="J1026" s="186">
        <v>17</v>
      </c>
      <c r="K1026" s="187">
        <v>18</v>
      </c>
      <c r="L1026" s="187">
        <v>29</v>
      </c>
      <c r="M1026" s="187">
        <v>0.87</v>
      </c>
      <c r="N1026" s="187">
        <v>322</v>
      </c>
      <c r="O1026" s="187">
        <v>365</v>
      </c>
      <c r="P1026" s="188">
        <v>0.98</v>
      </c>
      <c r="Q1026" s="189">
        <v>5468</v>
      </c>
      <c r="R1026" s="189">
        <v>6209</v>
      </c>
      <c r="S1026" s="184" t="s">
        <v>278</v>
      </c>
    </row>
    <row r="1027" spans="1:19">
      <c r="A1027" s="111">
        <v>1026</v>
      </c>
      <c r="B1027" s="191">
        <v>44989</v>
      </c>
      <c r="C1027" s="113">
        <f t="shared" si="8"/>
        <v>2023</v>
      </c>
      <c r="D1027" s="114">
        <f t="shared" si="9"/>
        <v>3</v>
      </c>
      <c r="E1027" s="114" t="s">
        <v>153</v>
      </c>
      <c r="F1027" s="114" t="s">
        <v>281</v>
      </c>
      <c r="G1027" s="115" t="s">
        <v>282</v>
      </c>
      <c r="H1027" s="114" t="s">
        <v>283</v>
      </c>
      <c r="I1027" s="114" t="s">
        <v>173</v>
      </c>
      <c r="J1027" s="186">
        <v>0</v>
      </c>
      <c r="K1027" s="187">
        <v>0</v>
      </c>
      <c r="L1027" s="187">
        <v>0</v>
      </c>
      <c r="M1027" s="187">
        <v>0</v>
      </c>
      <c r="N1027" s="187">
        <v>0</v>
      </c>
      <c r="O1027" s="187">
        <v>0</v>
      </c>
      <c r="P1027" s="188">
        <v>0</v>
      </c>
      <c r="Q1027" s="186">
        <v>0</v>
      </c>
      <c r="R1027" s="186">
        <v>0</v>
      </c>
      <c r="S1027" s="184" t="s">
        <v>278</v>
      </c>
    </row>
    <row r="1028" spans="1:19">
      <c r="A1028" s="111">
        <v>1027</v>
      </c>
      <c r="B1028" s="191">
        <v>44990</v>
      </c>
      <c r="C1028" s="113">
        <f t="shared" si="8"/>
        <v>2023</v>
      </c>
      <c r="D1028" s="114">
        <f t="shared" si="9"/>
        <v>3</v>
      </c>
      <c r="E1028" s="114" t="s">
        <v>117</v>
      </c>
      <c r="F1028" s="114" t="s">
        <v>117</v>
      </c>
      <c r="G1028" s="185"/>
      <c r="H1028" s="114"/>
      <c r="I1028" s="114" t="s">
        <v>184</v>
      </c>
      <c r="J1028" s="186">
        <v>0</v>
      </c>
      <c r="K1028" s="187">
        <v>0</v>
      </c>
      <c r="L1028" s="187">
        <v>0</v>
      </c>
      <c r="M1028" s="187">
        <v>0</v>
      </c>
      <c r="N1028" s="187">
        <v>0</v>
      </c>
      <c r="O1028" s="187">
        <v>0</v>
      </c>
      <c r="P1028" s="188">
        <v>0</v>
      </c>
      <c r="Q1028" s="186">
        <v>0</v>
      </c>
      <c r="R1028" s="186">
        <v>0</v>
      </c>
      <c r="S1028" s="184" t="s">
        <v>278</v>
      </c>
    </row>
    <row r="1029" spans="1:19">
      <c r="A1029" s="111">
        <v>1028</v>
      </c>
      <c r="B1029" s="191">
        <v>44991</v>
      </c>
      <c r="C1029" s="113">
        <f t="shared" si="8"/>
        <v>2023</v>
      </c>
      <c r="D1029" s="114">
        <f t="shared" si="9"/>
        <v>3</v>
      </c>
      <c r="E1029" s="114" t="s">
        <v>152</v>
      </c>
      <c r="F1029" s="114" t="s">
        <v>284</v>
      </c>
      <c r="G1029" s="115" t="s">
        <v>285</v>
      </c>
      <c r="H1029" s="114" t="s">
        <v>286</v>
      </c>
      <c r="I1029" s="114" t="s">
        <v>184</v>
      </c>
      <c r="J1029" s="186">
        <v>0</v>
      </c>
      <c r="K1029" s="187">
        <v>0</v>
      </c>
      <c r="L1029" s="187">
        <v>0</v>
      </c>
      <c r="M1029" s="187">
        <v>0</v>
      </c>
      <c r="N1029" s="187">
        <v>0</v>
      </c>
      <c r="O1029" s="187">
        <v>0</v>
      </c>
      <c r="P1029" s="188">
        <v>0</v>
      </c>
      <c r="Q1029" s="186">
        <v>0</v>
      </c>
      <c r="R1029" s="186">
        <v>0</v>
      </c>
      <c r="S1029" s="184" t="s">
        <v>278</v>
      </c>
    </row>
    <row r="1030" spans="1:19">
      <c r="A1030" s="111">
        <v>1029</v>
      </c>
      <c r="B1030" s="191">
        <v>44992</v>
      </c>
      <c r="C1030" s="113">
        <f t="shared" si="8"/>
        <v>2023</v>
      </c>
      <c r="D1030" s="114">
        <f t="shared" si="9"/>
        <v>3</v>
      </c>
      <c r="E1030" s="114" t="s">
        <v>118</v>
      </c>
      <c r="F1030" s="114" t="s">
        <v>287</v>
      </c>
      <c r="G1030" s="127" t="s">
        <v>282</v>
      </c>
      <c r="H1030" s="194" t="s">
        <v>283</v>
      </c>
      <c r="I1030" s="185"/>
      <c r="J1030" s="186">
        <v>0</v>
      </c>
      <c r="K1030" s="187">
        <v>0</v>
      </c>
      <c r="L1030" s="187">
        <v>0</v>
      </c>
      <c r="M1030" s="187">
        <v>0</v>
      </c>
      <c r="N1030" s="187">
        <v>0</v>
      </c>
      <c r="O1030" s="187">
        <v>0</v>
      </c>
      <c r="P1030" s="188">
        <v>0</v>
      </c>
      <c r="Q1030" s="186">
        <v>0</v>
      </c>
      <c r="R1030" s="186">
        <v>0</v>
      </c>
      <c r="S1030" s="184" t="s">
        <v>278</v>
      </c>
    </row>
    <row r="1031" spans="1:19">
      <c r="A1031" s="111">
        <v>1030</v>
      </c>
      <c r="B1031" s="191">
        <v>45017</v>
      </c>
      <c r="C1031" s="113">
        <f t="shared" si="8"/>
        <v>2023</v>
      </c>
      <c r="D1031" s="114">
        <f t="shared" si="9"/>
        <v>4</v>
      </c>
      <c r="E1031" s="114" t="s">
        <v>7</v>
      </c>
      <c r="F1031" s="114" t="s">
        <v>272</v>
      </c>
      <c r="G1031" s="115" t="s">
        <v>273</v>
      </c>
      <c r="H1031" s="114" t="s">
        <v>274</v>
      </c>
      <c r="I1031" s="114" t="s">
        <v>173</v>
      </c>
      <c r="J1031" s="186">
        <v>0</v>
      </c>
      <c r="K1031" s="187">
        <v>0</v>
      </c>
      <c r="L1031" s="187">
        <v>0</v>
      </c>
      <c r="M1031" s="187">
        <v>0</v>
      </c>
      <c r="N1031" s="187">
        <v>0</v>
      </c>
      <c r="O1031" s="187">
        <v>0</v>
      </c>
      <c r="P1031" s="188">
        <v>0</v>
      </c>
      <c r="Q1031" s="186">
        <v>0</v>
      </c>
      <c r="R1031" s="186">
        <v>0</v>
      </c>
      <c r="S1031" s="184" t="s">
        <v>278</v>
      </c>
    </row>
    <row r="1032" spans="1:19">
      <c r="A1032" s="111">
        <v>1031</v>
      </c>
      <c r="B1032" s="191">
        <v>45018</v>
      </c>
      <c r="C1032" s="113">
        <f t="shared" si="8"/>
        <v>2023</v>
      </c>
      <c r="D1032" s="114">
        <f t="shared" si="9"/>
        <v>4</v>
      </c>
      <c r="E1032" s="114" t="s">
        <v>111</v>
      </c>
      <c r="F1032" s="114" t="s">
        <v>275</v>
      </c>
      <c r="G1032" s="115" t="s">
        <v>276</v>
      </c>
      <c r="H1032" s="114" t="s">
        <v>277</v>
      </c>
      <c r="I1032" s="114" t="s">
        <v>184</v>
      </c>
      <c r="J1032" s="186">
        <v>0</v>
      </c>
      <c r="K1032" s="187">
        <v>0</v>
      </c>
      <c r="L1032" s="187">
        <v>0</v>
      </c>
      <c r="M1032" s="187">
        <v>0</v>
      </c>
      <c r="N1032" s="187">
        <v>0</v>
      </c>
      <c r="O1032" s="187">
        <v>0</v>
      </c>
      <c r="P1032" s="188">
        <v>0</v>
      </c>
      <c r="Q1032" s="186">
        <v>0</v>
      </c>
      <c r="R1032" s="186">
        <v>0</v>
      </c>
      <c r="S1032" s="184" t="s">
        <v>278</v>
      </c>
    </row>
    <row r="1033" spans="1:19">
      <c r="A1033" s="111">
        <v>1032</v>
      </c>
      <c r="B1033" s="191">
        <v>45019</v>
      </c>
      <c r="C1033" s="113">
        <f t="shared" si="8"/>
        <v>2023</v>
      </c>
      <c r="D1033" s="114">
        <f t="shared" si="9"/>
        <v>4</v>
      </c>
      <c r="E1033" s="114" t="s">
        <v>113</v>
      </c>
      <c r="F1033" s="114" t="s">
        <v>279</v>
      </c>
      <c r="G1033" s="115" t="s">
        <v>280</v>
      </c>
      <c r="H1033" s="114" t="s">
        <v>280</v>
      </c>
      <c r="I1033" s="114" t="s">
        <v>184</v>
      </c>
      <c r="J1033" s="186">
        <v>12</v>
      </c>
      <c r="K1033" s="187">
        <v>18</v>
      </c>
      <c r="L1033" s="187">
        <v>27</v>
      </c>
      <c r="M1033" s="187">
        <v>0.85</v>
      </c>
      <c r="N1033" s="187">
        <v>304</v>
      </c>
      <c r="O1033" s="187">
        <v>344</v>
      </c>
      <c r="P1033" s="188">
        <v>0.98</v>
      </c>
      <c r="Q1033" s="189">
        <v>3647</v>
      </c>
      <c r="R1033" s="189">
        <v>4123</v>
      </c>
      <c r="S1033" s="184" t="s">
        <v>278</v>
      </c>
    </row>
    <row r="1034" spans="1:19">
      <c r="A1034" s="111">
        <v>1033</v>
      </c>
      <c r="B1034" s="191">
        <v>45020</v>
      </c>
      <c r="C1034" s="113">
        <f t="shared" si="8"/>
        <v>2023</v>
      </c>
      <c r="D1034" s="114">
        <f t="shared" si="9"/>
        <v>4</v>
      </c>
      <c r="E1034" s="114" t="s">
        <v>153</v>
      </c>
      <c r="F1034" s="114" t="s">
        <v>281</v>
      </c>
      <c r="G1034" s="115" t="s">
        <v>282</v>
      </c>
      <c r="H1034" s="114" t="s">
        <v>283</v>
      </c>
      <c r="I1034" s="114" t="s">
        <v>173</v>
      </c>
      <c r="J1034" s="186">
        <v>2</v>
      </c>
      <c r="K1034" s="187">
        <v>14</v>
      </c>
      <c r="L1034" s="187">
        <v>22</v>
      </c>
      <c r="M1034" s="187">
        <v>1.23</v>
      </c>
      <c r="N1034" s="187">
        <v>165</v>
      </c>
      <c r="O1034" s="187">
        <v>197</v>
      </c>
      <c r="P1034" s="188">
        <v>1</v>
      </c>
      <c r="Q1034" s="186">
        <v>329</v>
      </c>
      <c r="R1034" s="186">
        <v>393</v>
      </c>
      <c r="S1034" s="184" t="s">
        <v>278</v>
      </c>
    </row>
    <row r="1035" spans="1:19">
      <c r="A1035" s="111">
        <v>1034</v>
      </c>
      <c r="B1035" s="191">
        <v>45021</v>
      </c>
      <c r="C1035" s="113">
        <f t="shared" si="8"/>
        <v>2023</v>
      </c>
      <c r="D1035" s="114">
        <f t="shared" si="9"/>
        <v>4</v>
      </c>
      <c r="E1035" s="114" t="s">
        <v>117</v>
      </c>
      <c r="F1035" s="114" t="s">
        <v>117</v>
      </c>
      <c r="G1035" s="185"/>
      <c r="H1035" s="114"/>
      <c r="I1035" s="114" t="s">
        <v>184</v>
      </c>
      <c r="J1035" s="186">
        <v>0</v>
      </c>
      <c r="K1035" s="187">
        <v>0</v>
      </c>
      <c r="L1035" s="187">
        <v>0</v>
      </c>
      <c r="M1035" s="187">
        <v>0</v>
      </c>
      <c r="N1035" s="187">
        <v>0</v>
      </c>
      <c r="O1035" s="187">
        <v>0</v>
      </c>
      <c r="P1035" s="188">
        <v>0</v>
      </c>
      <c r="Q1035" s="186">
        <v>0</v>
      </c>
      <c r="R1035" s="186">
        <v>0</v>
      </c>
      <c r="S1035" s="184" t="s">
        <v>278</v>
      </c>
    </row>
    <row r="1036" spans="1:19">
      <c r="A1036" s="111">
        <v>1035</v>
      </c>
      <c r="B1036" s="191">
        <v>45022</v>
      </c>
      <c r="C1036" s="113">
        <f t="shared" si="8"/>
        <v>2023</v>
      </c>
      <c r="D1036" s="114">
        <f t="shared" si="9"/>
        <v>4</v>
      </c>
      <c r="E1036" s="114" t="s">
        <v>152</v>
      </c>
      <c r="F1036" s="114" t="s">
        <v>284</v>
      </c>
      <c r="G1036" s="115" t="s">
        <v>285</v>
      </c>
      <c r="H1036" s="114" t="s">
        <v>286</v>
      </c>
      <c r="I1036" s="114" t="s">
        <v>184</v>
      </c>
      <c r="J1036" s="186">
        <v>0</v>
      </c>
      <c r="K1036" s="187">
        <v>0</v>
      </c>
      <c r="L1036" s="187">
        <v>0</v>
      </c>
      <c r="M1036" s="187">
        <v>0</v>
      </c>
      <c r="N1036" s="187">
        <v>0</v>
      </c>
      <c r="O1036" s="187">
        <v>0</v>
      </c>
      <c r="P1036" s="188">
        <v>0</v>
      </c>
      <c r="Q1036" s="186">
        <v>0</v>
      </c>
      <c r="R1036" s="186">
        <v>0</v>
      </c>
      <c r="S1036" s="184" t="s">
        <v>278</v>
      </c>
    </row>
    <row r="1037" spans="1:19">
      <c r="A1037" s="111">
        <v>1036</v>
      </c>
      <c r="B1037" s="191">
        <v>45023</v>
      </c>
      <c r="C1037" s="113">
        <f t="shared" si="8"/>
        <v>2023</v>
      </c>
      <c r="D1037" s="114">
        <f t="shared" si="9"/>
        <v>4</v>
      </c>
      <c r="E1037" s="114" t="s">
        <v>118</v>
      </c>
      <c r="F1037" s="114" t="s">
        <v>287</v>
      </c>
      <c r="G1037" s="127" t="s">
        <v>282</v>
      </c>
      <c r="H1037" s="194" t="s">
        <v>283</v>
      </c>
      <c r="I1037" s="185"/>
      <c r="J1037" s="186">
        <v>0</v>
      </c>
      <c r="K1037" s="187">
        <v>0</v>
      </c>
      <c r="L1037" s="187">
        <v>0</v>
      </c>
      <c r="M1037" s="187">
        <v>0</v>
      </c>
      <c r="N1037" s="187">
        <v>0</v>
      </c>
      <c r="O1037" s="187">
        <v>0</v>
      </c>
      <c r="P1037" s="188">
        <v>0</v>
      </c>
      <c r="Q1037" s="186">
        <v>0</v>
      </c>
      <c r="R1037" s="186">
        <v>0</v>
      </c>
      <c r="S1037" s="184" t="s">
        <v>278</v>
      </c>
    </row>
    <row r="1038" spans="1:19">
      <c r="A1038" s="111">
        <v>1037</v>
      </c>
      <c r="B1038" s="191">
        <v>45047</v>
      </c>
      <c r="C1038" s="113">
        <f t="shared" si="8"/>
        <v>2023</v>
      </c>
      <c r="D1038" s="114">
        <f t="shared" si="9"/>
        <v>5</v>
      </c>
      <c r="E1038" s="114" t="s">
        <v>7</v>
      </c>
      <c r="F1038" s="114" t="s">
        <v>272</v>
      </c>
      <c r="G1038" s="115" t="s">
        <v>273</v>
      </c>
      <c r="H1038" s="114" t="s">
        <v>274</v>
      </c>
      <c r="I1038" s="114" t="s">
        <v>173</v>
      </c>
      <c r="J1038" s="186">
        <v>0</v>
      </c>
      <c r="K1038" s="187">
        <v>0</v>
      </c>
      <c r="L1038" s="187">
        <v>0</v>
      </c>
      <c r="M1038" s="187">
        <v>0</v>
      </c>
      <c r="N1038" s="187">
        <v>0</v>
      </c>
      <c r="O1038" s="187">
        <v>0</v>
      </c>
      <c r="P1038" s="188">
        <v>0</v>
      </c>
      <c r="Q1038" s="186">
        <v>0</v>
      </c>
      <c r="R1038" s="186">
        <v>0</v>
      </c>
      <c r="S1038" s="184" t="s">
        <v>278</v>
      </c>
    </row>
    <row r="1039" spans="1:19">
      <c r="A1039" s="111">
        <v>1038</v>
      </c>
      <c r="B1039" s="191">
        <v>45048</v>
      </c>
      <c r="C1039" s="113">
        <f t="shared" si="8"/>
        <v>2023</v>
      </c>
      <c r="D1039" s="114">
        <f t="shared" si="9"/>
        <v>5</v>
      </c>
      <c r="E1039" s="114" t="s">
        <v>111</v>
      </c>
      <c r="F1039" s="114" t="s">
        <v>275</v>
      </c>
      <c r="G1039" s="115" t="s">
        <v>276</v>
      </c>
      <c r="H1039" s="114" t="s">
        <v>277</v>
      </c>
      <c r="I1039" s="114" t="s">
        <v>184</v>
      </c>
      <c r="J1039" s="186">
        <v>0</v>
      </c>
      <c r="K1039" s="187">
        <v>0</v>
      </c>
      <c r="L1039" s="187">
        <v>0</v>
      </c>
      <c r="M1039" s="187">
        <v>0</v>
      </c>
      <c r="N1039" s="187">
        <v>0</v>
      </c>
      <c r="O1039" s="187">
        <v>0</v>
      </c>
      <c r="P1039" s="188">
        <v>0</v>
      </c>
      <c r="Q1039" s="186">
        <v>0</v>
      </c>
      <c r="R1039" s="186">
        <v>0</v>
      </c>
      <c r="S1039" s="184" t="s">
        <v>278</v>
      </c>
    </row>
    <row r="1040" spans="1:19">
      <c r="A1040" s="111">
        <v>1039</v>
      </c>
      <c r="B1040" s="191">
        <v>45049</v>
      </c>
      <c r="C1040" s="113">
        <f t="shared" si="8"/>
        <v>2023</v>
      </c>
      <c r="D1040" s="114">
        <f t="shared" si="9"/>
        <v>5</v>
      </c>
      <c r="E1040" s="114" t="s">
        <v>113</v>
      </c>
      <c r="F1040" s="114" t="s">
        <v>279</v>
      </c>
      <c r="G1040" s="115" t="s">
        <v>280</v>
      </c>
      <c r="H1040" s="114" t="s">
        <v>280</v>
      </c>
      <c r="I1040" s="114" t="s">
        <v>184</v>
      </c>
      <c r="J1040" s="186">
        <v>10</v>
      </c>
      <c r="K1040" s="187">
        <v>19</v>
      </c>
      <c r="L1040" s="187">
        <v>26</v>
      </c>
      <c r="M1040" s="187">
        <v>0.96</v>
      </c>
      <c r="N1040" s="187">
        <v>264</v>
      </c>
      <c r="O1040" s="187">
        <v>292</v>
      </c>
      <c r="P1040" s="188">
        <v>0.98</v>
      </c>
      <c r="Q1040" s="189">
        <v>2639</v>
      </c>
      <c r="R1040" s="189">
        <v>2915</v>
      </c>
      <c r="S1040" s="184" t="s">
        <v>278</v>
      </c>
    </row>
    <row r="1041" spans="1:19">
      <c r="A1041" s="111">
        <v>1040</v>
      </c>
      <c r="B1041" s="191">
        <v>45050</v>
      </c>
      <c r="C1041" s="113">
        <f t="shared" si="8"/>
        <v>2023</v>
      </c>
      <c r="D1041" s="114">
        <f t="shared" si="9"/>
        <v>5</v>
      </c>
      <c r="E1041" s="114" t="s">
        <v>153</v>
      </c>
      <c r="F1041" s="114" t="s">
        <v>281</v>
      </c>
      <c r="G1041" s="115" t="s">
        <v>282</v>
      </c>
      <c r="H1041" s="114" t="s">
        <v>283</v>
      </c>
      <c r="I1041" s="114" t="s">
        <v>173</v>
      </c>
      <c r="J1041" s="186">
        <v>3</v>
      </c>
      <c r="K1041" s="187">
        <v>21</v>
      </c>
      <c r="L1041" s="187">
        <v>21</v>
      </c>
      <c r="M1041" s="187">
        <v>1.22</v>
      </c>
      <c r="N1041" s="187">
        <v>189</v>
      </c>
      <c r="O1041" s="187">
        <v>242</v>
      </c>
      <c r="P1041" s="188">
        <v>1</v>
      </c>
      <c r="Q1041" s="186">
        <v>567</v>
      </c>
      <c r="R1041" s="186">
        <v>727</v>
      </c>
      <c r="S1041" s="184" t="s">
        <v>278</v>
      </c>
    </row>
    <row r="1042" spans="1:19">
      <c r="A1042" s="111">
        <v>1041</v>
      </c>
      <c r="B1042" s="191">
        <v>45051</v>
      </c>
      <c r="C1042" s="113">
        <f t="shared" si="8"/>
        <v>2023</v>
      </c>
      <c r="D1042" s="114">
        <f t="shared" si="9"/>
        <v>5</v>
      </c>
      <c r="E1042" s="114" t="s">
        <v>117</v>
      </c>
      <c r="F1042" s="114" t="s">
        <v>117</v>
      </c>
      <c r="G1042" s="185"/>
      <c r="H1042" s="114"/>
      <c r="I1042" s="114" t="s">
        <v>184</v>
      </c>
      <c r="J1042" s="186">
        <v>0</v>
      </c>
      <c r="K1042" s="187">
        <v>0</v>
      </c>
      <c r="L1042" s="187">
        <v>0</v>
      </c>
      <c r="M1042" s="187">
        <v>0</v>
      </c>
      <c r="N1042" s="187">
        <v>0</v>
      </c>
      <c r="O1042" s="187">
        <v>0</v>
      </c>
      <c r="P1042" s="188">
        <v>0</v>
      </c>
      <c r="Q1042" s="186">
        <v>0</v>
      </c>
      <c r="R1042" s="186">
        <v>0</v>
      </c>
      <c r="S1042" s="184" t="s">
        <v>278</v>
      </c>
    </row>
    <row r="1043" spans="1:19">
      <c r="A1043" s="111">
        <v>1042</v>
      </c>
      <c r="B1043" s="191">
        <v>45052</v>
      </c>
      <c r="C1043" s="113">
        <f t="shared" si="8"/>
        <v>2023</v>
      </c>
      <c r="D1043" s="114">
        <f t="shared" si="9"/>
        <v>5</v>
      </c>
      <c r="E1043" s="114" t="s">
        <v>152</v>
      </c>
      <c r="F1043" s="114" t="s">
        <v>284</v>
      </c>
      <c r="G1043" s="115" t="s">
        <v>285</v>
      </c>
      <c r="H1043" s="114" t="s">
        <v>286</v>
      </c>
      <c r="I1043" s="114" t="s">
        <v>184</v>
      </c>
      <c r="J1043" s="186">
        <v>0</v>
      </c>
      <c r="K1043" s="187">
        <v>0</v>
      </c>
      <c r="L1043" s="187">
        <v>0</v>
      </c>
      <c r="M1043" s="187">
        <v>0</v>
      </c>
      <c r="N1043" s="187">
        <v>0</v>
      </c>
      <c r="O1043" s="187">
        <v>0</v>
      </c>
      <c r="P1043" s="188">
        <v>0</v>
      </c>
      <c r="Q1043" s="186">
        <v>0</v>
      </c>
      <c r="R1043" s="186">
        <v>0</v>
      </c>
      <c r="S1043" s="184" t="s">
        <v>278</v>
      </c>
    </row>
    <row r="1044" spans="1:19">
      <c r="A1044" s="111">
        <v>1043</v>
      </c>
      <c r="B1044" s="191">
        <v>45053</v>
      </c>
      <c r="C1044" s="113">
        <f t="shared" si="8"/>
        <v>2023</v>
      </c>
      <c r="D1044" s="114">
        <f t="shared" si="9"/>
        <v>5</v>
      </c>
      <c r="E1044" s="114" t="s">
        <v>118</v>
      </c>
      <c r="F1044" s="114" t="s">
        <v>287</v>
      </c>
      <c r="G1044" s="127" t="s">
        <v>282</v>
      </c>
      <c r="H1044" s="194" t="s">
        <v>283</v>
      </c>
      <c r="I1044" s="185"/>
      <c r="J1044" s="186">
        <v>0</v>
      </c>
      <c r="K1044" s="187">
        <v>0</v>
      </c>
      <c r="L1044" s="187">
        <v>0</v>
      </c>
      <c r="M1044" s="187">
        <v>0</v>
      </c>
      <c r="N1044" s="187">
        <v>0</v>
      </c>
      <c r="O1044" s="187">
        <v>0</v>
      </c>
      <c r="P1044" s="188">
        <v>0</v>
      </c>
      <c r="Q1044" s="186">
        <v>0</v>
      </c>
      <c r="R1044" s="186">
        <v>0</v>
      </c>
      <c r="S1044" s="184" t="s">
        <v>278</v>
      </c>
    </row>
    <row r="1045" spans="1:19">
      <c r="A1045" s="111">
        <v>1044</v>
      </c>
      <c r="B1045" s="191">
        <v>45078</v>
      </c>
      <c r="C1045" s="113">
        <f t="shared" si="8"/>
        <v>2023</v>
      </c>
      <c r="D1045" s="114">
        <f t="shared" si="9"/>
        <v>6</v>
      </c>
      <c r="E1045" s="114" t="s">
        <v>7</v>
      </c>
      <c r="F1045" s="114" t="s">
        <v>272</v>
      </c>
      <c r="G1045" s="115" t="s">
        <v>273</v>
      </c>
      <c r="H1045" s="114" t="s">
        <v>274</v>
      </c>
      <c r="I1045" s="114" t="s">
        <v>173</v>
      </c>
      <c r="J1045" s="186">
        <v>0</v>
      </c>
      <c r="K1045" s="187">
        <v>0</v>
      </c>
      <c r="L1045" s="187">
        <v>0</v>
      </c>
      <c r="M1045" s="187">
        <v>0</v>
      </c>
      <c r="N1045" s="187">
        <v>0</v>
      </c>
      <c r="O1045" s="187">
        <v>0</v>
      </c>
      <c r="P1045" s="188">
        <v>0</v>
      </c>
      <c r="Q1045" s="186">
        <v>0</v>
      </c>
      <c r="R1045" s="186">
        <v>0</v>
      </c>
      <c r="S1045" s="184" t="s">
        <v>278</v>
      </c>
    </row>
    <row r="1046" spans="1:19">
      <c r="A1046" s="111">
        <v>1045</v>
      </c>
      <c r="B1046" s="191">
        <v>45079</v>
      </c>
      <c r="C1046" s="113">
        <f t="shared" si="8"/>
        <v>2023</v>
      </c>
      <c r="D1046" s="114">
        <f t="shared" si="9"/>
        <v>6</v>
      </c>
      <c r="E1046" s="114" t="s">
        <v>111</v>
      </c>
      <c r="F1046" s="114" t="s">
        <v>275</v>
      </c>
      <c r="G1046" s="115" t="s">
        <v>276</v>
      </c>
      <c r="H1046" s="114" t="s">
        <v>277</v>
      </c>
      <c r="I1046" s="114" t="s">
        <v>184</v>
      </c>
      <c r="J1046" s="186">
        <v>6</v>
      </c>
      <c r="K1046" s="187">
        <v>24</v>
      </c>
      <c r="L1046" s="187">
        <v>29</v>
      </c>
      <c r="M1046" s="187">
        <v>1.32</v>
      </c>
      <c r="N1046" s="187">
        <v>357</v>
      </c>
      <c r="O1046" s="187">
        <v>392</v>
      </c>
      <c r="P1046" s="188">
        <v>1</v>
      </c>
      <c r="Q1046" s="189">
        <v>2142</v>
      </c>
      <c r="R1046" s="189">
        <v>2353</v>
      </c>
      <c r="S1046" s="184" t="s">
        <v>278</v>
      </c>
    </row>
    <row r="1047" spans="1:19">
      <c r="A1047" s="111">
        <v>1046</v>
      </c>
      <c r="B1047" s="191">
        <v>45080</v>
      </c>
      <c r="C1047" s="113">
        <f t="shared" si="8"/>
        <v>2023</v>
      </c>
      <c r="D1047" s="114">
        <f t="shared" si="9"/>
        <v>6</v>
      </c>
      <c r="E1047" s="114" t="s">
        <v>113</v>
      </c>
      <c r="F1047" s="114" t="s">
        <v>279</v>
      </c>
      <c r="G1047" s="115" t="s">
        <v>280</v>
      </c>
      <c r="H1047" s="114" t="s">
        <v>280</v>
      </c>
      <c r="I1047" s="114" t="s">
        <v>184</v>
      </c>
      <c r="J1047" s="186">
        <v>7</v>
      </c>
      <c r="K1047" s="187">
        <v>23</v>
      </c>
      <c r="L1047" s="187">
        <v>30</v>
      </c>
      <c r="M1047" s="187">
        <v>1.02</v>
      </c>
      <c r="N1047" s="187">
        <v>367</v>
      </c>
      <c r="O1047" s="187">
        <v>403</v>
      </c>
      <c r="P1047" s="188">
        <v>0.98</v>
      </c>
      <c r="Q1047" s="189">
        <v>2572</v>
      </c>
      <c r="R1047" s="189">
        <v>2819</v>
      </c>
      <c r="S1047" s="184" t="s">
        <v>278</v>
      </c>
    </row>
    <row r="1048" spans="1:19">
      <c r="A1048" s="111">
        <v>1047</v>
      </c>
      <c r="B1048" s="191">
        <v>45081</v>
      </c>
      <c r="C1048" s="113">
        <f t="shared" si="8"/>
        <v>2023</v>
      </c>
      <c r="D1048" s="114">
        <f t="shared" si="9"/>
        <v>6</v>
      </c>
      <c r="E1048" s="114" t="s">
        <v>153</v>
      </c>
      <c r="F1048" s="114" t="s">
        <v>281</v>
      </c>
      <c r="G1048" s="115" t="s">
        <v>282</v>
      </c>
      <c r="H1048" s="114" t="s">
        <v>283</v>
      </c>
      <c r="I1048" s="114" t="s">
        <v>173</v>
      </c>
      <c r="J1048" s="186">
        <v>2</v>
      </c>
      <c r="K1048" s="187">
        <v>16</v>
      </c>
      <c r="L1048" s="187">
        <v>26</v>
      </c>
      <c r="M1048" s="187">
        <v>1.02</v>
      </c>
      <c r="N1048" s="187">
        <v>60</v>
      </c>
      <c r="O1048" s="187">
        <v>73</v>
      </c>
      <c r="P1048" s="188">
        <v>1</v>
      </c>
      <c r="Q1048" s="186">
        <v>120</v>
      </c>
      <c r="R1048" s="186">
        <v>145</v>
      </c>
      <c r="S1048" s="184" t="s">
        <v>278</v>
      </c>
    </row>
    <row r="1049" spans="1:19">
      <c r="A1049" s="111">
        <v>1048</v>
      </c>
      <c r="B1049" s="191">
        <v>45082</v>
      </c>
      <c r="C1049" s="113">
        <f t="shared" si="8"/>
        <v>2023</v>
      </c>
      <c r="D1049" s="114">
        <f t="shared" si="9"/>
        <v>6</v>
      </c>
      <c r="E1049" s="114" t="s">
        <v>117</v>
      </c>
      <c r="F1049" s="114" t="s">
        <v>117</v>
      </c>
      <c r="G1049" s="185"/>
      <c r="H1049" s="114"/>
      <c r="I1049" s="114" t="s">
        <v>184</v>
      </c>
      <c r="J1049" s="186">
        <v>0</v>
      </c>
      <c r="K1049" s="187">
        <v>0</v>
      </c>
      <c r="L1049" s="187">
        <v>0</v>
      </c>
      <c r="M1049" s="187">
        <v>0</v>
      </c>
      <c r="N1049" s="187">
        <v>0</v>
      </c>
      <c r="O1049" s="187">
        <v>0</v>
      </c>
      <c r="P1049" s="188">
        <v>0</v>
      </c>
      <c r="Q1049" s="186">
        <v>0</v>
      </c>
      <c r="R1049" s="186">
        <v>0</v>
      </c>
      <c r="S1049" s="184" t="s">
        <v>278</v>
      </c>
    </row>
    <row r="1050" spans="1:19">
      <c r="A1050" s="111">
        <v>1049</v>
      </c>
      <c r="B1050" s="191">
        <v>45083</v>
      </c>
      <c r="C1050" s="113">
        <f t="shared" si="8"/>
        <v>2023</v>
      </c>
      <c r="D1050" s="114">
        <f t="shared" si="9"/>
        <v>6</v>
      </c>
      <c r="E1050" s="114" t="s">
        <v>152</v>
      </c>
      <c r="F1050" s="114" t="s">
        <v>284</v>
      </c>
      <c r="G1050" s="115" t="s">
        <v>285</v>
      </c>
      <c r="H1050" s="114" t="s">
        <v>286</v>
      </c>
      <c r="I1050" s="114" t="s">
        <v>184</v>
      </c>
      <c r="J1050" s="186">
        <v>0</v>
      </c>
      <c r="K1050" s="187">
        <v>0</v>
      </c>
      <c r="L1050" s="187">
        <v>0</v>
      </c>
      <c r="M1050" s="187">
        <v>0</v>
      </c>
      <c r="N1050" s="187">
        <v>0</v>
      </c>
      <c r="O1050" s="187">
        <v>0</v>
      </c>
      <c r="P1050" s="188">
        <v>0</v>
      </c>
      <c r="Q1050" s="186">
        <v>0</v>
      </c>
      <c r="R1050" s="186">
        <v>0</v>
      </c>
      <c r="S1050" s="184" t="s">
        <v>278</v>
      </c>
    </row>
    <row r="1051" spans="1:19">
      <c r="A1051" s="111">
        <v>1050</v>
      </c>
      <c r="B1051" s="191">
        <v>45084</v>
      </c>
      <c r="C1051" s="113">
        <f t="shared" si="8"/>
        <v>2023</v>
      </c>
      <c r="D1051" s="114">
        <f t="shared" si="9"/>
        <v>6</v>
      </c>
      <c r="E1051" s="114" t="s">
        <v>118</v>
      </c>
      <c r="F1051" s="114" t="s">
        <v>287</v>
      </c>
      <c r="G1051" s="127" t="s">
        <v>282</v>
      </c>
      <c r="H1051" s="194" t="s">
        <v>283</v>
      </c>
      <c r="I1051" s="185"/>
      <c r="J1051" s="186">
        <v>0</v>
      </c>
      <c r="K1051" s="187">
        <v>0</v>
      </c>
      <c r="L1051" s="187">
        <v>0</v>
      </c>
      <c r="M1051" s="187">
        <v>0</v>
      </c>
      <c r="N1051" s="187">
        <v>0</v>
      </c>
      <c r="O1051" s="187">
        <v>0</v>
      </c>
      <c r="P1051" s="188">
        <v>0</v>
      </c>
      <c r="Q1051" s="186">
        <v>0</v>
      </c>
      <c r="R1051" s="186">
        <v>0</v>
      </c>
      <c r="S1051" s="184" t="s">
        <v>278</v>
      </c>
    </row>
    <row r="1052" spans="1:19">
      <c r="A1052" s="111">
        <v>1051</v>
      </c>
      <c r="B1052" s="191">
        <v>45108</v>
      </c>
      <c r="C1052" s="113">
        <f t="shared" si="8"/>
        <v>2023</v>
      </c>
      <c r="D1052" s="114">
        <f t="shared" si="9"/>
        <v>7</v>
      </c>
      <c r="E1052" s="114" t="s">
        <v>7</v>
      </c>
      <c r="F1052" s="114" t="s">
        <v>272</v>
      </c>
      <c r="G1052" s="115" t="s">
        <v>273</v>
      </c>
      <c r="H1052" s="114" t="s">
        <v>274</v>
      </c>
      <c r="I1052" s="114" t="s">
        <v>173</v>
      </c>
      <c r="J1052" s="186">
        <v>0</v>
      </c>
      <c r="K1052" s="187">
        <v>0</v>
      </c>
      <c r="L1052" s="187">
        <v>0</v>
      </c>
      <c r="M1052" s="187">
        <v>0</v>
      </c>
      <c r="N1052" s="187">
        <v>0</v>
      </c>
      <c r="O1052" s="187">
        <v>0</v>
      </c>
      <c r="P1052" s="188">
        <v>0</v>
      </c>
      <c r="Q1052" s="186">
        <v>0</v>
      </c>
      <c r="R1052" s="186">
        <v>0</v>
      </c>
      <c r="S1052" s="184" t="s">
        <v>278</v>
      </c>
    </row>
    <row r="1053" spans="1:19">
      <c r="A1053" s="111">
        <v>1052</v>
      </c>
      <c r="B1053" s="191">
        <v>45109</v>
      </c>
      <c r="C1053" s="113">
        <f t="shared" si="8"/>
        <v>2023</v>
      </c>
      <c r="D1053" s="114">
        <f t="shared" si="9"/>
        <v>7</v>
      </c>
      <c r="E1053" s="114" t="s">
        <v>111</v>
      </c>
      <c r="F1053" s="114" t="s">
        <v>275</v>
      </c>
      <c r="G1053" s="115" t="s">
        <v>276</v>
      </c>
      <c r="H1053" s="114" t="s">
        <v>277</v>
      </c>
      <c r="I1053" s="114" t="s">
        <v>184</v>
      </c>
      <c r="J1053" s="186">
        <v>4</v>
      </c>
      <c r="K1053" s="187">
        <v>20</v>
      </c>
      <c r="L1053" s="187">
        <v>26</v>
      </c>
      <c r="M1053" s="187">
        <v>1.1599999999999999</v>
      </c>
      <c r="N1053" s="187">
        <v>215</v>
      </c>
      <c r="O1053" s="187">
        <v>245</v>
      </c>
      <c r="P1053" s="188">
        <v>1</v>
      </c>
      <c r="Q1053" s="186">
        <v>859</v>
      </c>
      <c r="R1053" s="186">
        <v>979</v>
      </c>
      <c r="S1053" s="184" t="s">
        <v>278</v>
      </c>
    </row>
    <row r="1054" spans="1:19">
      <c r="A1054" s="111">
        <v>1053</v>
      </c>
      <c r="B1054" s="191">
        <v>45110</v>
      </c>
      <c r="C1054" s="113">
        <f t="shared" si="8"/>
        <v>2023</v>
      </c>
      <c r="D1054" s="114">
        <f t="shared" si="9"/>
        <v>7</v>
      </c>
      <c r="E1054" s="114" t="s">
        <v>113</v>
      </c>
      <c r="F1054" s="114" t="s">
        <v>279</v>
      </c>
      <c r="G1054" s="115" t="s">
        <v>280</v>
      </c>
      <c r="H1054" s="114" t="s">
        <v>280</v>
      </c>
      <c r="I1054" s="114" t="s">
        <v>184</v>
      </c>
      <c r="J1054" s="186">
        <v>1</v>
      </c>
      <c r="K1054" s="187">
        <v>30</v>
      </c>
      <c r="L1054" s="187">
        <v>36</v>
      </c>
      <c r="M1054" s="187">
        <v>0.96</v>
      </c>
      <c r="N1054" s="187">
        <v>277</v>
      </c>
      <c r="O1054" s="187">
        <v>306</v>
      </c>
      <c r="P1054" s="188">
        <v>0.98</v>
      </c>
      <c r="Q1054" s="186">
        <v>277</v>
      </c>
      <c r="R1054" s="186">
        <v>306</v>
      </c>
      <c r="S1054" s="184" t="s">
        <v>278</v>
      </c>
    </row>
    <row r="1055" spans="1:19">
      <c r="A1055" s="111">
        <v>1054</v>
      </c>
      <c r="B1055" s="191">
        <v>45111</v>
      </c>
      <c r="C1055" s="113">
        <f t="shared" si="8"/>
        <v>2023</v>
      </c>
      <c r="D1055" s="114">
        <f t="shared" si="9"/>
        <v>7</v>
      </c>
      <c r="E1055" s="114" t="s">
        <v>153</v>
      </c>
      <c r="F1055" s="114" t="s">
        <v>281</v>
      </c>
      <c r="G1055" s="115" t="s">
        <v>282</v>
      </c>
      <c r="H1055" s="114" t="s">
        <v>283</v>
      </c>
      <c r="I1055" s="114" t="s">
        <v>173</v>
      </c>
      <c r="J1055" s="186">
        <v>0</v>
      </c>
      <c r="K1055" s="187">
        <v>0</v>
      </c>
      <c r="L1055" s="187">
        <v>0</v>
      </c>
      <c r="M1055" s="187">
        <v>0</v>
      </c>
      <c r="N1055" s="187">
        <v>0</v>
      </c>
      <c r="O1055" s="187">
        <v>0</v>
      </c>
      <c r="P1055" s="188">
        <v>0</v>
      </c>
      <c r="Q1055" s="186">
        <v>0</v>
      </c>
      <c r="R1055" s="186">
        <v>0</v>
      </c>
      <c r="S1055" s="184" t="s">
        <v>278</v>
      </c>
    </row>
    <row r="1056" spans="1:19">
      <c r="A1056" s="111">
        <v>1055</v>
      </c>
      <c r="B1056" s="191">
        <v>45112</v>
      </c>
      <c r="C1056" s="113">
        <f t="shared" si="8"/>
        <v>2023</v>
      </c>
      <c r="D1056" s="114">
        <f t="shared" si="9"/>
        <v>7</v>
      </c>
      <c r="E1056" s="114" t="s">
        <v>117</v>
      </c>
      <c r="F1056" s="114" t="s">
        <v>117</v>
      </c>
      <c r="G1056" s="185"/>
      <c r="H1056" s="114"/>
      <c r="I1056" s="114" t="s">
        <v>184</v>
      </c>
      <c r="J1056" s="186">
        <v>1</v>
      </c>
      <c r="K1056" s="187">
        <v>22</v>
      </c>
      <c r="L1056" s="187">
        <v>29</v>
      </c>
      <c r="M1056" s="187">
        <v>0.94</v>
      </c>
      <c r="N1056" s="187">
        <v>168</v>
      </c>
      <c r="O1056" s="187">
        <v>180</v>
      </c>
      <c r="P1056" s="188">
        <v>1</v>
      </c>
      <c r="Q1056" s="186">
        <v>168</v>
      </c>
      <c r="R1056" s="186">
        <v>180</v>
      </c>
      <c r="S1056" s="184" t="s">
        <v>278</v>
      </c>
    </row>
    <row r="1057" spans="1:19">
      <c r="A1057" s="111">
        <v>1056</v>
      </c>
      <c r="B1057" s="191">
        <v>45113</v>
      </c>
      <c r="C1057" s="113">
        <f t="shared" si="8"/>
        <v>2023</v>
      </c>
      <c r="D1057" s="114">
        <f t="shared" si="9"/>
        <v>7</v>
      </c>
      <c r="E1057" s="114" t="s">
        <v>152</v>
      </c>
      <c r="F1057" s="114" t="s">
        <v>284</v>
      </c>
      <c r="G1057" s="115" t="s">
        <v>285</v>
      </c>
      <c r="H1057" s="114" t="s">
        <v>286</v>
      </c>
      <c r="I1057" s="114" t="s">
        <v>184</v>
      </c>
      <c r="J1057" s="186">
        <v>1</v>
      </c>
      <c r="K1057" s="187">
        <v>18</v>
      </c>
      <c r="L1057" s="187">
        <v>23</v>
      </c>
      <c r="M1057" s="187">
        <v>1</v>
      </c>
      <c r="N1057" s="187">
        <v>528</v>
      </c>
      <c r="O1057" s="187">
        <v>628</v>
      </c>
      <c r="P1057" s="188">
        <v>1</v>
      </c>
      <c r="Q1057" s="186">
        <v>528</v>
      </c>
      <c r="R1057" s="186">
        <v>628</v>
      </c>
      <c r="S1057" s="184" t="s">
        <v>278</v>
      </c>
    </row>
    <row r="1058" spans="1:19">
      <c r="A1058" s="111">
        <v>1057</v>
      </c>
      <c r="B1058" s="191">
        <v>45114</v>
      </c>
      <c r="C1058" s="113">
        <f t="shared" si="8"/>
        <v>2023</v>
      </c>
      <c r="D1058" s="114">
        <f t="shared" si="9"/>
        <v>7</v>
      </c>
      <c r="E1058" s="114" t="s">
        <v>118</v>
      </c>
      <c r="F1058" s="114" t="s">
        <v>287</v>
      </c>
      <c r="G1058" s="127" t="s">
        <v>282</v>
      </c>
      <c r="H1058" s="194" t="s">
        <v>283</v>
      </c>
      <c r="I1058" s="185"/>
      <c r="J1058" s="186">
        <v>0</v>
      </c>
      <c r="K1058" s="187">
        <v>0</v>
      </c>
      <c r="L1058" s="187">
        <v>0</v>
      </c>
      <c r="M1058" s="187">
        <v>0</v>
      </c>
      <c r="N1058" s="187">
        <v>0</v>
      </c>
      <c r="O1058" s="187">
        <v>0</v>
      </c>
      <c r="P1058" s="188">
        <v>0</v>
      </c>
      <c r="Q1058" s="186">
        <v>0</v>
      </c>
      <c r="R1058" s="186">
        <v>0</v>
      </c>
      <c r="S1058" s="184" t="s">
        <v>278</v>
      </c>
    </row>
    <row r="1059" spans="1:19">
      <c r="A1059" s="111">
        <v>1058</v>
      </c>
      <c r="B1059" s="191">
        <v>45139</v>
      </c>
      <c r="C1059" s="113">
        <f t="shared" si="8"/>
        <v>2023</v>
      </c>
      <c r="D1059" s="114">
        <f t="shared" si="9"/>
        <v>8</v>
      </c>
      <c r="E1059" s="114" t="s">
        <v>7</v>
      </c>
      <c r="F1059" s="114" t="s">
        <v>272</v>
      </c>
      <c r="G1059" s="115" t="s">
        <v>273</v>
      </c>
      <c r="H1059" s="114" t="s">
        <v>274</v>
      </c>
      <c r="I1059" s="114" t="s">
        <v>173</v>
      </c>
      <c r="J1059" s="186">
        <v>0</v>
      </c>
      <c r="K1059" s="187">
        <v>0</v>
      </c>
      <c r="L1059" s="187">
        <v>0</v>
      </c>
      <c r="M1059" s="187">
        <v>0</v>
      </c>
      <c r="N1059" s="187">
        <v>0</v>
      </c>
      <c r="O1059" s="187">
        <v>0</v>
      </c>
      <c r="P1059" s="188">
        <v>0</v>
      </c>
      <c r="Q1059" s="186">
        <v>0</v>
      </c>
      <c r="R1059" s="186">
        <v>0</v>
      </c>
      <c r="S1059" s="184" t="s">
        <v>278</v>
      </c>
    </row>
    <row r="1060" spans="1:19">
      <c r="A1060" s="111">
        <v>1059</v>
      </c>
      <c r="B1060" s="191">
        <v>45140</v>
      </c>
      <c r="C1060" s="113">
        <f t="shared" si="8"/>
        <v>2023</v>
      </c>
      <c r="D1060" s="114">
        <f t="shared" si="9"/>
        <v>8</v>
      </c>
      <c r="E1060" s="114" t="s">
        <v>111</v>
      </c>
      <c r="F1060" s="114" t="s">
        <v>275</v>
      </c>
      <c r="G1060" s="115" t="s">
        <v>276</v>
      </c>
      <c r="H1060" s="114" t="s">
        <v>277</v>
      </c>
      <c r="I1060" s="114" t="s">
        <v>184</v>
      </c>
      <c r="J1060" s="186">
        <v>8</v>
      </c>
      <c r="K1060" s="187">
        <v>21</v>
      </c>
      <c r="L1060" s="187">
        <v>21</v>
      </c>
      <c r="M1060" s="187">
        <v>1.27</v>
      </c>
      <c r="N1060" s="187">
        <v>297</v>
      </c>
      <c r="O1060" s="187">
        <v>339</v>
      </c>
      <c r="P1060" s="188">
        <v>1</v>
      </c>
      <c r="Q1060" s="189">
        <v>2377</v>
      </c>
      <c r="R1060" s="189">
        <v>2711</v>
      </c>
      <c r="S1060" s="184" t="s">
        <v>278</v>
      </c>
    </row>
    <row r="1061" spans="1:19">
      <c r="A1061" s="111">
        <v>1060</v>
      </c>
      <c r="B1061" s="191">
        <v>45141</v>
      </c>
      <c r="C1061" s="113">
        <f t="shared" si="8"/>
        <v>2023</v>
      </c>
      <c r="D1061" s="114">
        <f t="shared" si="9"/>
        <v>8</v>
      </c>
      <c r="E1061" s="114" t="s">
        <v>113</v>
      </c>
      <c r="F1061" s="114" t="s">
        <v>279</v>
      </c>
      <c r="G1061" s="115" t="s">
        <v>280</v>
      </c>
      <c r="H1061" s="114" t="s">
        <v>280</v>
      </c>
      <c r="I1061" s="114" t="s">
        <v>184</v>
      </c>
      <c r="J1061" s="186">
        <v>0</v>
      </c>
      <c r="K1061" s="187">
        <v>0</v>
      </c>
      <c r="L1061" s="187">
        <v>0</v>
      </c>
      <c r="M1061" s="187">
        <v>0</v>
      </c>
      <c r="N1061" s="187">
        <v>0</v>
      </c>
      <c r="O1061" s="187">
        <v>0</v>
      </c>
      <c r="P1061" s="188">
        <v>0</v>
      </c>
      <c r="Q1061" s="186">
        <v>0</v>
      </c>
      <c r="R1061" s="186">
        <v>0</v>
      </c>
      <c r="S1061" s="184" t="s">
        <v>278</v>
      </c>
    </row>
    <row r="1062" spans="1:19">
      <c r="A1062" s="111">
        <v>1061</v>
      </c>
      <c r="B1062" s="191">
        <v>45142</v>
      </c>
      <c r="C1062" s="113">
        <f t="shared" si="8"/>
        <v>2023</v>
      </c>
      <c r="D1062" s="114">
        <f t="shared" si="9"/>
        <v>8</v>
      </c>
      <c r="E1062" s="114" t="s">
        <v>153</v>
      </c>
      <c r="F1062" s="114" t="s">
        <v>281</v>
      </c>
      <c r="G1062" s="115" t="s">
        <v>282</v>
      </c>
      <c r="H1062" s="114" t="s">
        <v>283</v>
      </c>
      <c r="I1062" s="114" t="s">
        <v>173</v>
      </c>
      <c r="J1062" s="186">
        <v>1</v>
      </c>
      <c r="K1062" s="187">
        <v>29</v>
      </c>
      <c r="L1062" s="187">
        <v>29</v>
      </c>
      <c r="M1062" s="187">
        <v>1.33</v>
      </c>
      <c r="N1062" s="187">
        <v>169</v>
      </c>
      <c r="O1062" s="187">
        <v>175</v>
      </c>
      <c r="P1062" s="188">
        <v>1</v>
      </c>
      <c r="Q1062" s="186">
        <v>169</v>
      </c>
      <c r="R1062" s="186">
        <v>175</v>
      </c>
      <c r="S1062" s="184" t="s">
        <v>278</v>
      </c>
    </row>
    <row r="1063" spans="1:19">
      <c r="A1063" s="111">
        <v>1062</v>
      </c>
      <c r="B1063" s="191">
        <v>45143</v>
      </c>
      <c r="C1063" s="113">
        <f t="shared" si="8"/>
        <v>2023</v>
      </c>
      <c r="D1063" s="114">
        <f t="shared" si="9"/>
        <v>8</v>
      </c>
      <c r="E1063" s="114" t="s">
        <v>117</v>
      </c>
      <c r="F1063" s="114" t="s">
        <v>117</v>
      </c>
      <c r="G1063" s="185"/>
      <c r="H1063" s="114"/>
      <c r="I1063" s="114" t="s">
        <v>184</v>
      </c>
      <c r="J1063" s="186">
        <v>2</v>
      </c>
      <c r="K1063" s="187">
        <v>20</v>
      </c>
      <c r="L1063" s="187">
        <v>20</v>
      </c>
      <c r="M1063" s="187">
        <v>0.9</v>
      </c>
      <c r="N1063" s="187">
        <v>392</v>
      </c>
      <c r="O1063" s="187">
        <v>423</v>
      </c>
      <c r="P1063" s="188">
        <v>1</v>
      </c>
      <c r="Q1063" s="186">
        <v>783</v>
      </c>
      <c r="R1063" s="186">
        <v>846</v>
      </c>
      <c r="S1063" s="184" t="s">
        <v>278</v>
      </c>
    </row>
    <row r="1064" spans="1:19">
      <c r="A1064" s="111">
        <v>1063</v>
      </c>
      <c r="B1064" s="191">
        <v>45144</v>
      </c>
      <c r="C1064" s="113">
        <f t="shared" si="8"/>
        <v>2023</v>
      </c>
      <c r="D1064" s="114">
        <f t="shared" si="9"/>
        <v>8</v>
      </c>
      <c r="E1064" s="114" t="s">
        <v>152</v>
      </c>
      <c r="F1064" s="114" t="s">
        <v>284</v>
      </c>
      <c r="G1064" s="115" t="s">
        <v>285</v>
      </c>
      <c r="H1064" s="114" t="s">
        <v>286</v>
      </c>
      <c r="I1064" s="114" t="s">
        <v>184</v>
      </c>
      <c r="J1064" s="186">
        <v>1</v>
      </c>
      <c r="K1064" s="187">
        <v>22</v>
      </c>
      <c r="L1064" s="187">
        <v>22</v>
      </c>
      <c r="M1064" s="187">
        <v>1</v>
      </c>
      <c r="N1064" s="187">
        <v>423</v>
      </c>
      <c r="O1064" s="187">
        <v>513</v>
      </c>
      <c r="P1064" s="188">
        <v>1</v>
      </c>
      <c r="Q1064" s="186">
        <v>423</v>
      </c>
      <c r="R1064" s="186">
        <v>513</v>
      </c>
      <c r="S1064" s="184" t="s">
        <v>278</v>
      </c>
    </row>
    <row r="1065" spans="1:19">
      <c r="A1065" s="111">
        <v>1064</v>
      </c>
      <c r="B1065" s="191">
        <v>45145</v>
      </c>
      <c r="C1065" s="113">
        <f t="shared" si="8"/>
        <v>2023</v>
      </c>
      <c r="D1065" s="114">
        <f t="shared" si="9"/>
        <v>8</v>
      </c>
      <c r="E1065" s="114" t="s">
        <v>118</v>
      </c>
      <c r="F1065" s="114" t="s">
        <v>287</v>
      </c>
      <c r="G1065" s="127" t="s">
        <v>282</v>
      </c>
      <c r="H1065" s="194" t="s">
        <v>283</v>
      </c>
      <c r="I1065" s="185"/>
      <c r="J1065" s="186">
        <v>0</v>
      </c>
      <c r="K1065" s="187">
        <v>0</v>
      </c>
      <c r="L1065" s="187">
        <v>0</v>
      </c>
      <c r="M1065" s="187">
        <v>0</v>
      </c>
      <c r="N1065" s="187">
        <v>0</v>
      </c>
      <c r="O1065" s="187">
        <v>0</v>
      </c>
      <c r="P1065" s="188">
        <v>0</v>
      </c>
      <c r="Q1065" s="186">
        <v>0</v>
      </c>
      <c r="R1065" s="186">
        <v>0</v>
      </c>
      <c r="S1065" s="184" t="s">
        <v>278</v>
      </c>
    </row>
    <row r="1066" spans="1:19">
      <c r="A1066" s="111">
        <v>1065</v>
      </c>
      <c r="B1066" s="191">
        <v>45170</v>
      </c>
      <c r="C1066" s="113">
        <f t="shared" si="8"/>
        <v>2023</v>
      </c>
      <c r="D1066" s="114">
        <f t="shared" si="9"/>
        <v>9</v>
      </c>
      <c r="E1066" s="114" t="s">
        <v>7</v>
      </c>
      <c r="F1066" s="114" t="s">
        <v>272</v>
      </c>
      <c r="G1066" s="115" t="s">
        <v>273</v>
      </c>
      <c r="H1066" s="114" t="s">
        <v>274</v>
      </c>
      <c r="I1066" s="114" t="s">
        <v>173</v>
      </c>
      <c r="J1066" s="186">
        <v>0</v>
      </c>
      <c r="K1066" s="187">
        <v>0</v>
      </c>
      <c r="L1066" s="187">
        <v>0</v>
      </c>
      <c r="M1066" s="187">
        <v>0</v>
      </c>
      <c r="N1066" s="187">
        <v>0</v>
      </c>
      <c r="O1066" s="187">
        <v>0</v>
      </c>
      <c r="P1066" s="188">
        <v>0</v>
      </c>
      <c r="Q1066" s="186">
        <v>0</v>
      </c>
      <c r="R1066" s="186">
        <v>0</v>
      </c>
      <c r="S1066" s="184" t="s">
        <v>278</v>
      </c>
    </row>
    <row r="1067" spans="1:19">
      <c r="A1067" s="111">
        <v>1066</v>
      </c>
      <c r="B1067" s="191">
        <v>45171</v>
      </c>
      <c r="C1067" s="113">
        <f t="shared" si="8"/>
        <v>2023</v>
      </c>
      <c r="D1067" s="114">
        <f t="shared" si="9"/>
        <v>9</v>
      </c>
      <c r="E1067" s="114" t="s">
        <v>111</v>
      </c>
      <c r="F1067" s="114" t="s">
        <v>275</v>
      </c>
      <c r="G1067" s="115" t="s">
        <v>276</v>
      </c>
      <c r="H1067" s="114" t="s">
        <v>277</v>
      </c>
      <c r="I1067" s="114" t="s">
        <v>184</v>
      </c>
      <c r="J1067" s="186">
        <v>13</v>
      </c>
      <c r="K1067" s="187">
        <v>15</v>
      </c>
      <c r="L1067" s="187">
        <v>17</v>
      </c>
      <c r="M1067" s="187">
        <v>1.1000000000000001</v>
      </c>
      <c r="N1067" s="187">
        <v>259</v>
      </c>
      <c r="O1067" s="187">
        <v>287</v>
      </c>
      <c r="P1067" s="188">
        <v>1</v>
      </c>
      <c r="Q1067" s="189">
        <v>3370</v>
      </c>
      <c r="R1067" s="189">
        <v>3727</v>
      </c>
      <c r="S1067" s="184" t="s">
        <v>278</v>
      </c>
    </row>
    <row r="1068" spans="1:19">
      <c r="A1068" s="111">
        <v>1067</v>
      </c>
      <c r="B1068" s="191">
        <v>45172</v>
      </c>
      <c r="C1068" s="113">
        <f t="shared" si="8"/>
        <v>2023</v>
      </c>
      <c r="D1068" s="114">
        <f t="shared" si="9"/>
        <v>9</v>
      </c>
      <c r="E1068" s="114" t="s">
        <v>113</v>
      </c>
      <c r="F1068" s="114" t="s">
        <v>279</v>
      </c>
      <c r="G1068" s="115" t="s">
        <v>280</v>
      </c>
      <c r="H1068" s="114" t="s">
        <v>280</v>
      </c>
      <c r="I1068" s="114" t="s">
        <v>184</v>
      </c>
      <c r="J1068" s="186">
        <v>8</v>
      </c>
      <c r="K1068" s="187">
        <v>21</v>
      </c>
      <c r="L1068" s="187">
        <v>28</v>
      </c>
      <c r="M1068" s="187">
        <v>0.94</v>
      </c>
      <c r="N1068" s="187">
        <v>319</v>
      </c>
      <c r="O1068" s="187">
        <v>356</v>
      </c>
      <c r="P1068" s="188">
        <v>0.98</v>
      </c>
      <c r="Q1068" s="189">
        <v>2553</v>
      </c>
      <c r="R1068" s="189">
        <v>2846</v>
      </c>
      <c r="S1068" s="184" t="s">
        <v>278</v>
      </c>
    </row>
    <row r="1069" spans="1:19">
      <c r="A1069" s="111">
        <v>1068</v>
      </c>
      <c r="B1069" s="191">
        <v>45173</v>
      </c>
      <c r="C1069" s="113">
        <f t="shared" si="8"/>
        <v>2023</v>
      </c>
      <c r="D1069" s="114">
        <f t="shared" si="9"/>
        <v>9</v>
      </c>
      <c r="E1069" s="114" t="s">
        <v>153</v>
      </c>
      <c r="F1069" s="114" t="s">
        <v>281</v>
      </c>
      <c r="G1069" s="115" t="s">
        <v>282</v>
      </c>
      <c r="H1069" s="114" t="s">
        <v>283</v>
      </c>
      <c r="I1069" s="114" t="s">
        <v>173</v>
      </c>
      <c r="J1069" s="186">
        <v>0</v>
      </c>
      <c r="K1069" s="187">
        <v>0</v>
      </c>
      <c r="L1069" s="187">
        <v>0</v>
      </c>
      <c r="M1069" s="187">
        <v>0</v>
      </c>
      <c r="N1069" s="187">
        <v>0</v>
      </c>
      <c r="O1069" s="187">
        <v>0</v>
      </c>
      <c r="P1069" s="188">
        <v>0</v>
      </c>
      <c r="Q1069" s="186">
        <v>0</v>
      </c>
      <c r="R1069" s="186">
        <v>0</v>
      </c>
      <c r="S1069" s="184" t="s">
        <v>278</v>
      </c>
    </row>
    <row r="1070" spans="1:19">
      <c r="A1070" s="111">
        <v>1069</v>
      </c>
      <c r="B1070" s="191">
        <v>45174</v>
      </c>
      <c r="C1070" s="113">
        <f t="shared" si="8"/>
        <v>2023</v>
      </c>
      <c r="D1070" s="114">
        <f t="shared" si="9"/>
        <v>9</v>
      </c>
      <c r="E1070" s="114" t="s">
        <v>117</v>
      </c>
      <c r="F1070" s="114" t="s">
        <v>117</v>
      </c>
      <c r="G1070" s="185"/>
      <c r="H1070" s="114"/>
      <c r="I1070" s="114" t="s">
        <v>184</v>
      </c>
      <c r="J1070" s="186">
        <v>3</v>
      </c>
      <c r="K1070" s="187">
        <v>18</v>
      </c>
      <c r="L1070" s="187">
        <v>24</v>
      </c>
      <c r="M1070" s="187">
        <v>0.92</v>
      </c>
      <c r="N1070" s="187">
        <v>322</v>
      </c>
      <c r="O1070" s="187">
        <v>360</v>
      </c>
      <c r="P1070" s="188">
        <v>1</v>
      </c>
      <c r="Q1070" s="186">
        <v>965</v>
      </c>
      <c r="R1070" s="189">
        <v>1080</v>
      </c>
      <c r="S1070" s="184" t="s">
        <v>278</v>
      </c>
    </row>
    <row r="1071" spans="1:19">
      <c r="A1071" s="111">
        <v>1070</v>
      </c>
      <c r="B1071" s="191">
        <v>45175</v>
      </c>
      <c r="C1071" s="113">
        <f t="shared" si="8"/>
        <v>2023</v>
      </c>
      <c r="D1071" s="114">
        <f t="shared" si="9"/>
        <v>9</v>
      </c>
      <c r="E1071" s="114" t="s">
        <v>152</v>
      </c>
      <c r="F1071" s="114" t="s">
        <v>284</v>
      </c>
      <c r="G1071" s="115" t="s">
        <v>285</v>
      </c>
      <c r="H1071" s="114" t="s">
        <v>286</v>
      </c>
      <c r="I1071" s="114" t="s">
        <v>184</v>
      </c>
      <c r="J1071" s="186">
        <v>0</v>
      </c>
      <c r="K1071" s="187">
        <v>0</v>
      </c>
      <c r="L1071" s="187">
        <v>0</v>
      </c>
      <c r="M1071" s="187">
        <v>0</v>
      </c>
      <c r="N1071" s="187">
        <v>0</v>
      </c>
      <c r="O1071" s="187">
        <v>0</v>
      </c>
      <c r="P1071" s="188">
        <v>0</v>
      </c>
      <c r="Q1071" s="186">
        <v>0</v>
      </c>
      <c r="R1071" s="186">
        <v>0</v>
      </c>
      <c r="S1071" s="184" t="s">
        <v>278</v>
      </c>
    </row>
    <row r="1072" spans="1:19">
      <c r="A1072" s="111">
        <v>1071</v>
      </c>
      <c r="B1072" s="191">
        <v>45176</v>
      </c>
      <c r="C1072" s="113">
        <f t="shared" si="8"/>
        <v>2023</v>
      </c>
      <c r="D1072" s="114">
        <f t="shared" si="9"/>
        <v>9</v>
      </c>
      <c r="E1072" s="114" t="s">
        <v>118</v>
      </c>
      <c r="F1072" s="114" t="s">
        <v>287</v>
      </c>
      <c r="G1072" s="127" t="s">
        <v>282</v>
      </c>
      <c r="H1072" s="194" t="s">
        <v>283</v>
      </c>
      <c r="I1072" s="185"/>
      <c r="J1072" s="186">
        <v>0</v>
      </c>
      <c r="K1072" s="187">
        <v>0</v>
      </c>
      <c r="L1072" s="187">
        <v>0</v>
      </c>
      <c r="M1072" s="187">
        <v>0</v>
      </c>
      <c r="N1072" s="187">
        <v>0</v>
      </c>
      <c r="O1072" s="187">
        <v>0</v>
      </c>
      <c r="P1072" s="188">
        <v>0</v>
      </c>
      <c r="Q1072" s="186">
        <v>0</v>
      </c>
      <c r="R1072" s="186">
        <v>0</v>
      </c>
      <c r="S1072" s="184" t="s">
        <v>278</v>
      </c>
    </row>
    <row r="1073" spans="1:19">
      <c r="A1073" s="111">
        <v>1072</v>
      </c>
      <c r="B1073" s="192">
        <v>45200</v>
      </c>
      <c r="C1073" s="113">
        <f t="shared" si="8"/>
        <v>2023</v>
      </c>
      <c r="D1073" s="114">
        <f t="shared" si="9"/>
        <v>10</v>
      </c>
      <c r="E1073" s="114" t="s">
        <v>7</v>
      </c>
      <c r="F1073" s="114" t="s">
        <v>272</v>
      </c>
      <c r="G1073" s="115" t="s">
        <v>273</v>
      </c>
      <c r="H1073" s="114" t="s">
        <v>274</v>
      </c>
      <c r="I1073" s="114" t="s">
        <v>173</v>
      </c>
      <c r="J1073" s="186">
        <v>0</v>
      </c>
      <c r="K1073" s="187">
        <v>0</v>
      </c>
      <c r="L1073" s="187">
        <v>0</v>
      </c>
      <c r="M1073" s="187">
        <v>0</v>
      </c>
      <c r="N1073" s="187">
        <v>0</v>
      </c>
      <c r="O1073" s="187">
        <v>0</v>
      </c>
      <c r="P1073" s="188">
        <v>0</v>
      </c>
      <c r="Q1073" s="186">
        <v>0</v>
      </c>
      <c r="R1073" s="186">
        <v>0</v>
      </c>
      <c r="S1073" s="184" t="s">
        <v>278</v>
      </c>
    </row>
    <row r="1074" spans="1:19">
      <c r="A1074" s="111">
        <v>1073</v>
      </c>
      <c r="B1074" s="192">
        <v>45201</v>
      </c>
      <c r="C1074" s="113">
        <f t="shared" si="8"/>
        <v>2023</v>
      </c>
      <c r="D1074" s="114">
        <f t="shared" si="9"/>
        <v>10</v>
      </c>
      <c r="E1074" s="114" t="s">
        <v>111</v>
      </c>
      <c r="F1074" s="114" t="s">
        <v>275</v>
      </c>
      <c r="G1074" s="115" t="s">
        <v>276</v>
      </c>
      <c r="H1074" s="114" t="s">
        <v>277</v>
      </c>
      <c r="I1074" s="114" t="s">
        <v>184</v>
      </c>
      <c r="J1074" s="186">
        <v>15</v>
      </c>
      <c r="K1074" s="187">
        <v>18</v>
      </c>
      <c r="L1074" s="187">
        <v>22</v>
      </c>
      <c r="M1074" s="187">
        <v>1.07</v>
      </c>
      <c r="N1074" s="187">
        <v>305</v>
      </c>
      <c r="O1074" s="187">
        <v>337</v>
      </c>
      <c r="P1074" s="188">
        <v>1</v>
      </c>
      <c r="Q1074" s="189">
        <v>4581</v>
      </c>
      <c r="R1074" s="189">
        <v>5049</v>
      </c>
      <c r="S1074" s="184" t="s">
        <v>278</v>
      </c>
    </row>
    <row r="1075" spans="1:19">
      <c r="A1075" s="111">
        <v>1074</v>
      </c>
      <c r="B1075" s="192">
        <v>45202</v>
      </c>
      <c r="C1075" s="113">
        <f t="shared" si="8"/>
        <v>2023</v>
      </c>
      <c r="D1075" s="114">
        <f t="shared" si="9"/>
        <v>10</v>
      </c>
      <c r="E1075" s="114" t="s">
        <v>113</v>
      </c>
      <c r="F1075" s="114" t="s">
        <v>279</v>
      </c>
      <c r="G1075" s="115" t="s">
        <v>280</v>
      </c>
      <c r="H1075" s="114" t="s">
        <v>280</v>
      </c>
      <c r="I1075" s="114" t="s">
        <v>184</v>
      </c>
      <c r="J1075" s="186">
        <v>6</v>
      </c>
      <c r="K1075" s="187">
        <v>19</v>
      </c>
      <c r="L1075" s="187">
        <v>27</v>
      </c>
      <c r="M1075" s="187">
        <v>0.87</v>
      </c>
      <c r="N1075" s="187">
        <v>302</v>
      </c>
      <c r="O1075" s="187">
        <v>337</v>
      </c>
      <c r="P1075" s="188">
        <v>0.98</v>
      </c>
      <c r="Q1075" s="189">
        <v>1813</v>
      </c>
      <c r="R1075" s="189">
        <v>2020</v>
      </c>
      <c r="S1075" s="184" t="s">
        <v>278</v>
      </c>
    </row>
    <row r="1076" spans="1:19">
      <c r="A1076" s="111">
        <v>1075</v>
      </c>
      <c r="B1076" s="192">
        <v>45203</v>
      </c>
      <c r="C1076" s="113">
        <f t="shared" si="8"/>
        <v>2023</v>
      </c>
      <c r="D1076" s="114">
        <f t="shared" si="9"/>
        <v>10</v>
      </c>
      <c r="E1076" s="114" t="s">
        <v>153</v>
      </c>
      <c r="F1076" s="114" t="s">
        <v>281</v>
      </c>
      <c r="G1076" s="115" t="s">
        <v>282</v>
      </c>
      <c r="H1076" s="114" t="s">
        <v>283</v>
      </c>
      <c r="I1076" s="114" t="s">
        <v>173</v>
      </c>
      <c r="J1076" s="186">
        <v>0</v>
      </c>
      <c r="K1076" s="187">
        <v>0</v>
      </c>
      <c r="L1076" s="187">
        <v>0</v>
      </c>
      <c r="M1076" s="187">
        <v>0</v>
      </c>
      <c r="N1076" s="187">
        <v>0</v>
      </c>
      <c r="O1076" s="187">
        <v>0</v>
      </c>
      <c r="P1076" s="188">
        <v>0</v>
      </c>
      <c r="Q1076" s="186">
        <v>0</v>
      </c>
      <c r="R1076" s="186">
        <v>0</v>
      </c>
      <c r="S1076" s="184" t="s">
        <v>278</v>
      </c>
    </row>
    <row r="1077" spans="1:19">
      <c r="A1077" s="111">
        <v>1076</v>
      </c>
      <c r="B1077" s="192">
        <v>45204</v>
      </c>
      <c r="C1077" s="113">
        <f t="shared" si="8"/>
        <v>2023</v>
      </c>
      <c r="D1077" s="114">
        <f t="shared" si="9"/>
        <v>10</v>
      </c>
      <c r="E1077" s="114" t="s">
        <v>117</v>
      </c>
      <c r="F1077" s="114" t="s">
        <v>117</v>
      </c>
      <c r="G1077" s="185"/>
      <c r="H1077" s="114"/>
      <c r="I1077" s="114" t="s">
        <v>184</v>
      </c>
      <c r="J1077" s="186">
        <v>0</v>
      </c>
      <c r="K1077" s="187">
        <v>0</v>
      </c>
      <c r="L1077" s="187">
        <v>0</v>
      </c>
      <c r="M1077" s="187">
        <v>0</v>
      </c>
      <c r="N1077" s="187">
        <v>0</v>
      </c>
      <c r="O1077" s="187">
        <v>0</v>
      </c>
      <c r="P1077" s="188">
        <v>0</v>
      </c>
      <c r="Q1077" s="186">
        <v>0</v>
      </c>
      <c r="R1077" s="186">
        <v>0</v>
      </c>
      <c r="S1077" s="184" t="s">
        <v>278</v>
      </c>
    </row>
    <row r="1078" spans="1:19">
      <c r="A1078" s="111">
        <v>1077</v>
      </c>
      <c r="B1078" s="192">
        <v>45205</v>
      </c>
      <c r="C1078" s="113">
        <f t="shared" si="8"/>
        <v>2023</v>
      </c>
      <c r="D1078" s="114">
        <f t="shared" si="9"/>
        <v>10</v>
      </c>
      <c r="E1078" s="114" t="s">
        <v>152</v>
      </c>
      <c r="F1078" s="114" t="s">
        <v>284</v>
      </c>
      <c r="G1078" s="115" t="s">
        <v>285</v>
      </c>
      <c r="H1078" s="114" t="s">
        <v>286</v>
      </c>
      <c r="I1078" s="114" t="s">
        <v>184</v>
      </c>
      <c r="J1078" s="186">
        <v>2</v>
      </c>
      <c r="K1078" s="187">
        <v>14</v>
      </c>
      <c r="L1078" s="187">
        <v>24</v>
      </c>
      <c r="M1078" s="187">
        <v>1</v>
      </c>
      <c r="N1078" s="187">
        <v>100</v>
      </c>
      <c r="O1078" s="187">
        <v>106</v>
      </c>
      <c r="P1078" s="188">
        <v>1</v>
      </c>
      <c r="Q1078" s="186">
        <v>200</v>
      </c>
      <c r="R1078" s="186">
        <v>212</v>
      </c>
      <c r="S1078" s="184" t="s">
        <v>278</v>
      </c>
    </row>
    <row r="1079" spans="1:19">
      <c r="A1079" s="111">
        <v>1078</v>
      </c>
      <c r="B1079" s="192">
        <v>45206</v>
      </c>
      <c r="C1079" s="113">
        <f t="shared" si="8"/>
        <v>2023</v>
      </c>
      <c r="D1079" s="114">
        <f t="shared" si="9"/>
        <v>10</v>
      </c>
      <c r="E1079" s="114" t="s">
        <v>118</v>
      </c>
      <c r="F1079" s="114" t="s">
        <v>287</v>
      </c>
      <c r="G1079" s="127" t="s">
        <v>282</v>
      </c>
      <c r="H1079" s="194" t="s">
        <v>283</v>
      </c>
      <c r="I1079" s="185"/>
      <c r="J1079" s="186">
        <v>0</v>
      </c>
      <c r="K1079" s="187">
        <v>0</v>
      </c>
      <c r="L1079" s="187">
        <v>0</v>
      </c>
      <c r="M1079" s="187">
        <v>0</v>
      </c>
      <c r="N1079" s="187">
        <v>0</v>
      </c>
      <c r="O1079" s="187">
        <v>0</v>
      </c>
      <c r="P1079" s="188">
        <v>0</v>
      </c>
      <c r="Q1079" s="186">
        <v>0</v>
      </c>
      <c r="R1079" s="186">
        <v>0</v>
      </c>
      <c r="S1079" s="184" t="s">
        <v>278</v>
      </c>
    </row>
    <row r="1080" spans="1:19">
      <c r="A1080" s="111">
        <v>1079</v>
      </c>
      <c r="B1080" s="192">
        <v>45231</v>
      </c>
      <c r="C1080" s="113">
        <f t="shared" si="8"/>
        <v>2023</v>
      </c>
      <c r="D1080" s="114">
        <f t="shared" si="9"/>
        <v>11</v>
      </c>
      <c r="E1080" s="114" t="s">
        <v>7</v>
      </c>
      <c r="F1080" s="114" t="s">
        <v>272</v>
      </c>
      <c r="G1080" s="115" t="s">
        <v>273</v>
      </c>
      <c r="H1080" s="114" t="s">
        <v>274</v>
      </c>
      <c r="I1080" s="114" t="s">
        <v>173</v>
      </c>
      <c r="J1080" s="186">
        <v>0</v>
      </c>
      <c r="K1080" s="187">
        <v>0</v>
      </c>
      <c r="L1080" s="187">
        <v>0</v>
      </c>
      <c r="M1080" s="187">
        <v>0</v>
      </c>
      <c r="N1080" s="187">
        <v>0</v>
      </c>
      <c r="O1080" s="187">
        <v>0</v>
      </c>
      <c r="P1080" s="188">
        <v>0</v>
      </c>
      <c r="Q1080" s="186">
        <v>0</v>
      </c>
      <c r="R1080" s="186">
        <v>0</v>
      </c>
      <c r="S1080" s="184" t="s">
        <v>278</v>
      </c>
    </row>
    <row r="1081" spans="1:19">
      <c r="A1081" s="111">
        <v>1080</v>
      </c>
      <c r="B1081" s="192">
        <v>45232</v>
      </c>
      <c r="C1081" s="113">
        <f t="shared" si="8"/>
        <v>2023</v>
      </c>
      <c r="D1081" s="114">
        <f t="shared" si="9"/>
        <v>11</v>
      </c>
      <c r="E1081" s="114" t="s">
        <v>111</v>
      </c>
      <c r="F1081" s="114" t="s">
        <v>275</v>
      </c>
      <c r="G1081" s="115" t="s">
        <v>276</v>
      </c>
      <c r="H1081" s="114" t="s">
        <v>277</v>
      </c>
      <c r="I1081" s="114" t="s">
        <v>184</v>
      </c>
      <c r="J1081" s="186">
        <v>11</v>
      </c>
      <c r="K1081" s="187">
        <v>19</v>
      </c>
      <c r="L1081" s="187">
        <v>22</v>
      </c>
      <c r="M1081" s="187">
        <v>1.05</v>
      </c>
      <c r="N1081" s="187">
        <v>386</v>
      </c>
      <c r="O1081" s="187">
        <v>436</v>
      </c>
      <c r="P1081" s="188">
        <v>1</v>
      </c>
      <c r="Q1081" s="189">
        <v>4247</v>
      </c>
      <c r="R1081" s="189">
        <v>4801</v>
      </c>
      <c r="S1081" s="184" t="s">
        <v>278</v>
      </c>
    </row>
    <row r="1082" spans="1:19">
      <c r="A1082" s="111">
        <v>1081</v>
      </c>
      <c r="B1082" s="192">
        <v>45233</v>
      </c>
      <c r="C1082" s="113">
        <f t="shared" si="8"/>
        <v>2023</v>
      </c>
      <c r="D1082" s="114">
        <f t="shared" si="9"/>
        <v>11</v>
      </c>
      <c r="E1082" s="114" t="s">
        <v>113</v>
      </c>
      <c r="F1082" s="114" t="s">
        <v>279</v>
      </c>
      <c r="G1082" s="115" t="s">
        <v>280</v>
      </c>
      <c r="H1082" s="114" t="s">
        <v>280</v>
      </c>
      <c r="I1082" s="114" t="s">
        <v>184</v>
      </c>
      <c r="J1082" s="186">
        <v>10</v>
      </c>
      <c r="K1082" s="187">
        <v>17</v>
      </c>
      <c r="L1082" s="187">
        <v>27</v>
      </c>
      <c r="M1082" s="187">
        <v>0.92</v>
      </c>
      <c r="N1082" s="187">
        <v>279</v>
      </c>
      <c r="O1082" s="187">
        <v>316</v>
      </c>
      <c r="P1082" s="188">
        <v>0.98</v>
      </c>
      <c r="Q1082" s="189">
        <v>2790</v>
      </c>
      <c r="R1082" s="189">
        <v>3163</v>
      </c>
      <c r="S1082" s="184" t="s">
        <v>278</v>
      </c>
    </row>
    <row r="1083" spans="1:19">
      <c r="A1083" s="111">
        <v>1082</v>
      </c>
      <c r="B1083" s="192">
        <v>45234</v>
      </c>
      <c r="C1083" s="113">
        <f t="shared" si="8"/>
        <v>2023</v>
      </c>
      <c r="D1083" s="114">
        <f t="shared" si="9"/>
        <v>11</v>
      </c>
      <c r="E1083" s="114" t="s">
        <v>153</v>
      </c>
      <c r="F1083" s="114" t="s">
        <v>281</v>
      </c>
      <c r="G1083" s="115" t="s">
        <v>282</v>
      </c>
      <c r="H1083" s="114" t="s">
        <v>283</v>
      </c>
      <c r="I1083" s="114" t="s">
        <v>173</v>
      </c>
      <c r="J1083" s="186">
        <v>0</v>
      </c>
      <c r="K1083" s="187">
        <v>0</v>
      </c>
      <c r="L1083" s="187">
        <v>0</v>
      </c>
      <c r="M1083" s="187">
        <v>0</v>
      </c>
      <c r="N1083" s="187">
        <v>0</v>
      </c>
      <c r="O1083" s="187">
        <v>0</v>
      </c>
      <c r="P1083" s="188">
        <v>0</v>
      </c>
      <c r="Q1083" s="186">
        <v>0</v>
      </c>
      <c r="R1083" s="186">
        <v>0</v>
      </c>
      <c r="S1083" s="184" t="s">
        <v>278</v>
      </c>
    </row>
    <row r="1084" spans="1:19">
      <c r="A1084" s="111">
        <v>1083</v>
      </c>
      <c r="B1084" s="192">
        <v>45235</v>
      </c>
      <c r="C1084" s="113">
        <f t="shared" si="8"/>
        <v>2023</v>
      </c>
      <c r="D1084" s="114">
        <f t="shared" si="9"/>
        <v>11</v>
      </c>
      <c r="E1084" s="114" t="s">
        <v>117</v>
      </c>
      <c r="F1084" s="114" t="s">
        <v>117</v>
      </c>
      <c r="G1084" s="185"/>
      <c r="H1084" s="114"/>
      <c r="I1084" s="114" t="s">
        <v>184</v>
      </c>
      <c r="J1084" s="186">
        <v>0</v>
      </c>
      <c r="K1084" s="187">
        <v>0</v>
      </c>
      <c r="L1084" s="187">
        <v>0</v>
      </c>
      <c r="M1084" s="187">
        <v>0</v>
      </c>
      <c r="N1084" s="187">
        <v>0</v>
      </c>
      <c r="O1084" s="187">
        <v>0</v>
      </c>
      <c r="P1084" s="188">
        <v>0</v>
      </c>
      <c r="Q1084" s="186">
        <v>0</v>
      </c>
      <c r="R1084" s="186">
        <v>0</v>
      </c>
      <c r="S1084" s="184" t="s">
        <v>278</v>
      </c>
    </row>
    <row r="1085" spans="1:19">
      <c r="A1085" s="111">
        <v>1084</v>
      </c>
      <c r="B1085" s="192">
        <v>45236</v>
      </c>
      <c r="C1085" s="113">
        <f t="shared" si="8"/>
        <v>2023</v>
      </c>
      <c r="D1085" s="114">
        <f t="shared" si="9"/>
        <v>11</v>
      </c>
      <c r="E1085" s="114" t="s">
        <v>152</v>
      </c>
      <c r="F1085" s="114" t="s">
        <v>284</v>
      </c>
      <c r="G1085" s="115" t="s">
        <v>285</v>
      </c>
      <c r="H1085" s="114" t="s">
        <v>286</v>
      </c>
      <c r="I1085" s="114" t="s">
        <v>184</v>
      </c>
      <c r="J1085" s="186">
        <v>1</v>
      </c>
      <c r="K1085" s="187">
        <v>35</v>
      </c>
      <c r="L1085" s="187">
        <v>22</v>
      </c>
      <c r="M1085" s="187">
        <v>2</v>
      </c>
      <c r="N1085" s="187">
        <v>454</v>
      </c>
      <c r="O1085" s="187">
        <v>568</v>
      </c>
      <c r="P1085" s="188">
        <v>1</v>
      </c>
      <c r="Q1085" s="186">
        <v>454</v>
      </c>
      <c r="R1085" s="186">
        <v>568</v>
      </c>
      <c r="S1085" s="184" t="s">
        <v>278</v>
      </c>
    </row>
    <row r="1086" spans="1:19">
      <c r="A1086" s="111">
        <v>1085</v>
      </c>
      <c r="B1086" s="192">
        <v>45237</v>
      </c>
      <c r="C1086" s="113">
        <f t="shared" si="8"/>
        <v>2023</v>
      </c>
      <c r="D1086" s="114">
        <f t="shared" si="9"/>
        <v>11</v>
      </c>
      <c r="E1086" s="114" t="s">
        <v>118</v>
      </c>
      <c r="F1086" s="114" t="s">
        <v>287</v>
      </c>
      <c r="G1086" s="127" t="s">
        <v>282</v>
      </c>
      <c r="H1086" s="194" t="s">
        <v>283</v>
      </c>
      <c r="I1086" s="185"/>
      <c r="J1086" s="186">
        <v>1</v>
      </c>
      <c r="K1086" s="187">
        <v>10</v>
      </c>
      <c r="L1086" s="187">
        <v>34</v>
      </c>
      <c r="M1086" s="187">
        <v>1</v>
      </c>
      <c r="N1086" s="187">
        <v>41</v>
      </c>
      <c r="O1086" s="187">
        <v>44</v>
      </c>
      <c r="P1086" s="188">
        <v>0</v>
      </c>
      <c r="Q1086" s="186">
        <v>41</v>
      </c>
      <c r="R1086" s="186">
        <v>44</v>
      </c>
      <c r="S1086" s="184" t="s">
        <v>278</v>
      </c>
    </row>
    <row r="1087" spans="1:19">
      <c r="A1087" s="111">
        <v>1086</v>
      </c>
      <c r="B1087" s="192">
        <v>45261</v>
      </c>
      <c r="C1087" s="113">
        <f t="shared" si="8"/>
        <v>2023</v>
      </c>
      <c r="D1087" s="114">
        <f t="shared" si="9"/>
        <v>12</v>
      </c>
      <c r="E1087" s="114" t="s">
        <v>7</v>
      </c>
      <c r="F1087" s="114" t="s">
        <v>272</v>
      </c>
      <c r="G1087" s="115" t="s">
        <v>273</v>
      </c>
      <c r="H1087" s="114" t="s">
        <v>274</v>
      </c>
      <c r="I1087" s="114" t="s">
        <v>173</v>
      </c>
      <c r="J1087" s="186">
        <v>0</v>
      </c>
      <c r="K1087" s="187">
        <v>0</v>
      </c>
      <c r="L1087" s="187">
        <v>0</v>
      </c>
      <c r="M1087" s="187">
        <v>0</v>
      </c>
      <c r="N1087" s="187">
        <v>0</v>
      </c>
      <c r="O1087" s="187">
        <v>0</v>
      </c>
      <c r="P1087" s="188">
        <v>0</v>
      </c>
      <c r="Q1087" s="186">
        <v>0</v>
      </c>
      <c r="R1087" s="186">
        <v>0</v>
      </c>
      <c r="S1087" s="184" t="s">
        <v>278</v>
      </c>
    </row>
    <row r="1088" spans="1:19">
      <c r="A1088" s="111">
        <v>1087</v>
      </c>
      <c r="B1088" s="192">
        <v>45262</v>
      </c>
      <c r="C1088" s="113">
        <f t="shared" si="8"/>
        <v>2023</v>
      </c>
      <c r="D1088" s="114">
        <f t="shared" si="9"/>
        <v>12</v>
      </c>
      <c r="E1088" s="114" t="s">
        <v>111</v>
      </c>
      <c r="F1088" s="114" t="s">
        <v>275</v>
      </c>
      <c r="G1088" s="115" t="s">
        <v>276</v>
      </c>
      <c r="H1088" s="114" t="s">
        <v>277</v>
      </c>
      <c r="I1088" s="114" t="s">
        <v>184</v>
      </c>
      <c r="J1088" s="186">
        <v>13</v>
      </c>
      <c r="K1088" s="187">
        <v>18</v>
      </c>
      <c r="L1088" s="187">
        <v>22</v>
      </c>
      <c r="M1088" s="187">
        <v>0.99</v>
      </c>
      <c r="N1088" s="187">
        <v>374</v>
      </c>
      <c r="O1088" s="187">
        <v>412</v>
      </c>
      <c r="P1088" s="188">
        <v>1</v>
      </c>
      <c r="Q1088" s="189">
        <v>4866</v>
      </c>
      <c r="R1088" s="189">
        <v>5357</v>
      </c>
      <c r="S1088" s="184" t="s">
        <v>278</v>
      </c>
    </row>
    <row r="1089" spans="1:19">
      <c r="A1089" s="111">
        <v>1088</v>
      </c>
      <c r="B1089" s="192">
        <v>45263</v>
      </c>
      <c r="C1089" s="113">
        <f t="shared" si="8"/>
        <v>2023</v>
      </c>
      <c r="D1089" s="114">
        <f t="shared" si="9"/>
        <v>12</v>
      </c>
      <c r="E1089" s="114" t="s">
        <v>113</v>
      </c>
      <c r="F1089" s="114" t="s">
        <v>279</v>
      </c>
      <c r="G1089" s="115" t="s">
        <v>280</v>
      </c>
      <c r="H1089" s="114" t="s">
        <v>280</v>
      </c>
      <c r="I1089" s="114" t="s">
        <v>184</v>
      </c>
      <c r="J1089" s="186">
        <v>9</v>
      </c>
      <c r="K1089" s="187">
        <v>19</v>
      </c>
      <c r="L1089" s="187">
        <v>28</v>
      </c>
      <c r="M1089" s="187">
        <v>0.99</v>
      </c>
      <c r="N1089" s="187">
        <v>308</v>
      </c>
      <c r="O1089" s="187">
        <v>340</v>
      </c>
      <c r="P1089" s="188">
        <v>0.98</v>
      </c>
      <c r="Q1089" s="189">
        <v>2770</v>
      </c>
      <c r="R1089" s="189">
        <v>3058</v>
      </c>
      <c r="S1089" s="184" t="s">
        <v>278</v>
      </c>
    </row>
    <row r="1090" spans="1:19">
      <c r="A1090" s="111">
        <v>1089</v>
      </c>
      <c r="B1090" s="192">
        <v>45264</v>
      </c>
      <c r="C1090" s="113">
        <f t="shared" si="8"/>
        <v>2023</v>
      </c>
      <c r="D1090" s="114">
        <f t="shared" si="9"/>
        <v>12</v>
      </c>
      <c r="E1090" s="114" t="s">
        <v>153</v>
      </c>
      <c r="F1090" s="114" t="s">
        <v>281</v>
      </c>
      <c r="G1090" s="115" t="s">
        <v>282</v>
      </c>
      <c r="H1090" s="114" t="s">
        <v>283</v>
      </c>
      <c r="I1090" s="114" t="s">
        <v>173</v>
      </c>
      <c r="J1090" s="186">
        <v>0</v>
      </c>
      <c r="K1090" s="187">
        <v>0</v>
      </c>
      <c r="L1090" s="187">
        <v>0</v>
      </c>
      <c r="M1090" s="187">
        <v>0</v>
      </c>
      <c r="N1090" s="187">
        <v>0</v>
      </c>
      <c r="O1090" s="187">
        <v>0</v>
      </c>
      <c r="P1090" s="188">
        <v>0</v>
      </c>
      <c r="Q1090" s="186">
        <v>0</v>
      </c>
      <c r="R1090" s="186">
        <v>0</v>
      </c>
      <c r="S1090" s="184" t="s">
        <v>278</v>
      </c>
    </row>
    <row r="1091" spans="1:19">
      <c r="A1091" s="111">
        <v>1090</v>
      </c>
      <c r="B1091" s="192">
        <v>45265</v>
      </c>
      <c r="C1091" s="113">
        <f t="shared" si="8"/>
        <v>2023</v>
      </c>
      <c r="D1091" s="114">
        <f t="shared" si="9"/>
        <v>12</v>
      </c>
      <c r="E1091" s="114" t="s">
        <v>117</v>
      </c>
      <c r="F1091" s="114" t="s">
        <v>117</v>
      </c>
      <c r="G1091" s="185"/>
      <c r="H1091" s="114"/>
      <c r="I1091" s="114" t="s">
        <v>184</v>
      </c>
      <c r="J1091" s="186">
        <v>2</v>
      </c>
      <c r="K1091" s="187">
        <v>16</v>
      </c>
      <c r="L1091" s="187">
        <v>28</v>
      </c>
      <c r="M1091" s="187">
        <v>1</v>
      </c>
      <c r="N1091" s="187">
        <v>177</v>
      </c>
      <c r="O1091" s="187">
        <v>200</v>
      </c>
      <c r="P1091" s="188">
        <v>1</v>
      </c>
      <c r="Q1091" s="186">
        <v>353</v>
      </c>
      <c r="R1091" s="186">
        <v>399</v>
      </c>
      <c r="S1091" s="184" t="s">
        <v>278</v>
      </c>
    </row>
    <row r="1092" spans="1:19">
      <c r="A1092" s="111">
        <v>1091</v>
      </c>
      <c r="B1092" s="192">
        <v>45266</v>
      </c>
      <c r="C1092" s="113">
        <f t="shared" si="8"/>
        <v>2023</v>
      </c>
      <c r="D1092" s="114">
        <f t="shared" si="9"/>
        <v>12</v>
      </c>
      <c r="E1092" s="114" t="s">
        <v>152</v>
      </c>
      <c r="F1092" s="114" t="s">
        <v>284</v>
      </c>
      <c r="G1092" s="115" t="s">
        <v>285</v>
      </c>
      <c r="H1092" s="114" t="s">
        <v>286</v>
      </c>
      <c r="I1092" s="114" t="s">
        <v>184</v>
      </c>
      <c r="J1092" s="186">
        <v>1</v>
      </c>
      <c r="K1092" s="187">
        <v>23</v>
      </c>
      <c r="L1092" s="187">
        <v>15</v>
      </c>
      <c r="M1092" s="187">
        <v>2</v>
      </c>
      <c r="N1092" s="187">
        <v>849</v>
      </c>
      <c r="O1092" s="187">
        <v>952</v>
      </c>
      <c r="P1092" s="188">
        <v>1</v>
      </c>
      <c r="Q1092" s="186">
        <v>849</v>
      </c>
      <c r="R1092" s="186">
        <v>952</v>
      </c>
      <c r="S1092" s="184" t="s">
        <v>278</v>
      </c>
    </row>
    <row r="1093" spans="1:19">
      <c r="A1093" s="111">
        <v>1092</v>
      </c>
      <c r="B1093" s="192">
        <v>45267</v>
      </c>
      <c r="C1093" s="113">
        <f t="shared" si="8"/>
        <v>2023</v>
      </c>
      <c r="D1093" s="114">
        <f t="shared" si="9"/>
        <v>12</v>
      </c>
      <c r="E1093" s="114" t="s">
        <v>118</v>
      </c>
      <c r="F1093" s="114" t="s">
        <v>287</v>
      </c>
      <c r="G1093" s="127" t="s">
        <v>282</v>
      </c>
      <c r="H1093" s="194" t="s">
        <v>283</v>
      </c>
      <c r="I1093" s="185"/>
      <c r="J1093" s="186">
        <v>2</v>
      </c>
      <c r="K1093" s="187">
        <v>9</v>
      </c>
      <c r="L1093" s="187">
        <v>29</v>
      </c>
      <c r="M1093" s="187">
        <v>1</v>
      </c>
      <c r="N1093" s="187">
        <v>49</v>
      </c>
      <c r="O1093" s="187">
        <v>62</v>
      </c>
      <c r="P1093" s="188">
        <v>0</v>
      </c>
      <c r="Q1093" s="186">
        <v>98</v>
      </c>
      <c r="R1093" s="186">
        <v>124</v>
      </c>
      <c r="S1093" s="184" t="s">
        <v>278</v>
      </c>
    </row>
    <row r="1094" spans="1:19">
      <c r="A1094" s="111">
        <v>1093</v>
      </c>
      <c r="B1094" s="195">
        <v>45292</v>
      </c>
      <c r="C1094" s="128">
        <f t="shared" si="8"/>
        <v>2024</v>
      </c>
      <c r="D1094" s="128">
        <f t="shared" si="9"/>
        <v>1</v>
      </c>
      <c r="E1094" s="128" t="s">
        <v>7</v>
      </c>
      <c r="F1094" s="128" t="s">
        <v>272</v>
      </c>
      <c r="G1094" s="129" t="s">
        <v>273</v>
      </c>
      <c r="H1094" s="128" t="s">
        <v>274</v>
      </c>
      <c r="I1094" s="128" t="s">
        <v>173</v>
      </c>
      <c r="J1094" s="186">
        <v>0</v>
      </c>
      <c r="K1094" s="186">
        <v>0</v>
      </c>
      <c r="L1094" s="186">
        <v>0</v>
      </c>
      <c r="M1094" s="186">
        <v>0</v>
      </c>
      <c r="N1094" s="186">
        <v>0</v>
      </c>
      <c r="O1094" s="186">
        <v>0</v>
      </c>
      <c r="P1094" s="188">
        <v>0</v>
      </c>
      <c r="Q1094" s="186">
        <v>0</v>
      </c>
      <c r="R1094" s="186">
        <v>0</v>
      </c>
      <c r="S1094" s="184" t="s">
        <v>278</v>
      </c>
    </row>
    <row r="1095" spans="1:19">
      <c r="A1095" s="111">
        <v>1094</v>
      </c>
      <c r="B1095" s="195">
        <v>45293</v>
      </c>
      <c r="C1095" s="114">
        <f t="shared" si="8"/>
        <v>2024</v>
      </c>
      <c r="D1095" s="114">
        <f t="shared" si="9"/>
        <v>1</v>
      </c>
      <c r="E1095" s="114" t="s">
        <v>111</v>
      </c>
      <c r="F1095" s="114" t="s">
        <v>275</v>
      </c>
      <c r="G1095" s="115" t="s">
        <v>276</v>
      </c>
      <c r="H1095" s="114" t="s">
        <v>277</v>
      </c>
      <c r="I1095" s="114" t="s">
        <v>184</v>
      </c>
      <c r="J1095" s="186">
        <v>12</v>
      </c>
      <c r="K1095" s="186">
        <v>16</v>
      </c>
      <c r="L1095" s="186">
        <v>19</v>
      </c>
      <c r="M1095" s="186">
        <v>1.05</v>
      </c>
      <c r="N1095" s="186">
        <v>443</v>
      </c>
      <c r="O1095" s="186">
        <v>503</v>
      </c>
      <c r="P1095" s="188">
        <v>1</v>
      </c>
      <c r="Q1095" s="189">
        <v>5319</v>
      </c>
      <c r="R1095" s="189">
        <v>6041</v>
      </c>
      <c r="S1095" s="184" t="s">
        <v>278</v>
      </c>
    </row>
    <row r="1096" spans="1:19">
      <c r="A1096" s="111">
        <v>1095</v>
      </c>
      <c r="B1096" s="195">
        <v>45294</v>
      </c>
      <c r="C1096" s="114">
        <f t="shared" si="8"/>
        <v>2024</v>
      </c>
      <c r="D1096" s="114">
        <f t="shared" si="9"/>
        <v>1</v>
      </c>
      <c r="E1096" s="114" t="s">
        <v>113</v>
      </c>
      <c r="F1096" s="114" t="s">
        <v>279</v>
      </c>
      <c r="G1096" s="115" t="s">
        <v>280</v>
      </c>
      <c r="H1096" s="114" t="s">
        <v>280</v>
      </c>
      <c r="I1096" s="114" t="s">
        <v>184</v>
      </c>
      <c r="J1096" s="186">
        <v>13</v>
      </c>
      <c r="K1096" s="186">
        <v>19</v>
      </c>
      <c r="L1096" s="186">
        <v>29</v>
      </c>
      <c r="M1096" s="186">
        <v>0.88</v>
      </c>
      <c r="N1096" s="186">
        <v>279</v>
      </c>
      <c r="O1096" s="186">
        <v>309</v>
      </c>
      <c r="P1096" s="188">
        <v>0.98</v>
      </c>
      <c r="Q1096" s="189">
        <v>3626</v>
      </c>
      <c r="R1096" s="189">
        <v>4012</v>
      </c>
      <c r="S1096" s="184" t="s">
        <v>278</v>
      </c>
    </row>
    <row r="1097" spans="1:19">
      <c r="A1097" s="111">
        <v>1096</v>
      </c>
      <c r="B1097" s="195">
        <v>45295</v>
      </c>
      <c r="C1097" s="114">
        <f t="shared" si="8"/>
        <v>2024</v>
      </c>
      <c r="D1097" s="114">
        <f t="shared" si="9"/>
        <v>1</v>
      </c>
      <c r="E1097" s="114" t="s">
        <v>153</v>
      </c>
      <c r="F1097" s="114" t="s">
        <v>281</v>
      </c>
      <c r="G1097" s="115" t="s">
        <v>282</v>
      </c>
      <c r="H1097" s="114" t="s">
        <v>283</v>
      </c>
      <c r="I1097" s="114" t="s">
        <v>173</v>
      </c>
      <c r="J1097" s="186">
        <v>0</v>
      </c>
      <c r="K1097" s="186">
        <v>0</v>
      </c>
      <c r="L1097" s="186">
        <v>0</v>
      </c>
      <c r="M1097" s="186">
        <v>0</v>
      </c>
      <c r="N1097" s="186">
        <v>0</v>
      </c>
      <c r="O1097" s="186">
        <v>0</v>
      </c>
      <c r="P1097" s="188">
        <v>0</v>
      </c>
      <c r="Q1097" s="189">
        <v>0</v>
      </c>
      <c r="R1097" s="189">
        <v>0</v>
      </c>
      <c r="S1097" s="184" t="s">
        <v>278</v>
      </c>
    </row>
    <row r="1098" spans="1:19">
      <c r="A1098" s="111">
        <v>1097</v>
      </c>
      <c r="B1098" s="195">
        <v>45296</v>
      </c>
      <c r="C1098" s="114">
        <f t="shared" si="8"/>
        <v>2024</v>
      </c>
      <c r="D1098" s="114">
        <f t="shared" si="9"/>
        <v>1</v>
      </c>
      <c r="E1098" s="114" t="s">
        <v>117</v>
      </c>
      <c r="F1098" s="114" t="s">
        <v>117</v>
      </c>
      <c r="G1098" s="185"/>
      <c r="H1098" s="114"/>
      <c r="I1098" s="114" t="s">
        <v>184</v>
      </c>
      <c r="J1098" s="186">
        <v>0</v>
      </c>
      <c r="K1098" s="186">
        <v>0</v>
      </c>
      <c r="L1098" s="186">
        <v>0</v>
      </c>
      <c r="M1098" s="186">
        <v>0</v>
      </c>
      <c r="N1098" s="186">
        <v>0</v>
      </c>
      <c r="O1098" s="186">
        <v>0</v>
      </c>
      <c r="P1098" s="188">
        <v>0</v>
      </c>
      <c r="Q1098" s="186">
        <v>0</v>
      </c>
      <c r="R1098" s="189">
        <v>0</v>
      </c>
      <c r="S1098" s="184" t="s">
        <v>278</v>
      </c>
    </row>
    <row r="1099" spans="1:19">
      <c r="A1099" s="111">
        <v>1098</v>
      </c>
      <c r="B1099" s="195">
        <v>45297</v>
      </c>
      <c r="C1099" s="114">
        <f t="shared" si="8"/>
        <v>2024</v>
      </c>
      <c r="D1099" s="114">
        <f t="shared" si="9"/>
        <v>1</v>
      </c>
      <c r="E1099" s="114" t="s">
        <v>152</v>
      </c>
      <c r="F1099" s="114" t="s">
        <v>284</v>
      </c>
      <c r="G1099" s="115" t="s">
        <v>285</v>
      </c>
      <c r="H1099" s="114" t="s">
        <v>286</v>
      </c>
      <c r="I1099" s="114" t="s">
        <v>184</v>
      </c>
      <c r="J1099" s="186">
        <v>0</v>
      </c>
      <c r="K1099" s="186">
        <v>0</v>
      </c>
      <c r="L1099" s="186">
        <v>0</v>
      </c>
      <c r="M1099" s="186">
        <v>0</v>
      </c>
      <c r="N1099" s="186">
        <v>0</v>
      </c>
      <c r="O1099" s="186">
        <v>0</v>
      </c>
      <c r="P1099" s="188">
        <v>0</v>
      </c>
      <c r="Q1099" s="189">
        <v>0</v>
      </c>
      <c r="R1099" s="189">
        <v>0</v>
      </c>
      <c r="S1099" s="184" t="s">
        <v>278</v>
      </c>
    </row>
    <row r="1100" spans="1:19">
      <c r="A1100" s="111">
        <v>1099</v>
      </c>
      <c r="B1100" s="195">
        <v>45298</v>
      </c>
      <c r="C1100" s="114">
        <f t="shared" si="8"/>
        <v>2024</v>
      </c>
      <c r="D1100" s="114">
        <f t="shared" si="9"/>
        <v>1</v>
      </c>
      <c r="E1100" s="114" t="s">
        <v>118</v>
      </c>
      <c r="F1100" s="114" t="s">
        <v>287</v>
      </c>
      <c r="G1100" s="127" t="s">
        <v>282</v>
      </c>
      <c r="H1100" s="194" t="s">
        <v>283</v>
      </c>
      <c r="I1100" s="185"/>
      <c r="J1100" s="186">
        <v>1</v>
      </c>
      <c r="K1100" s="186">
        <v>12</v>
      </c>
      <c r="L1100" s="186">
        <v>31</v>
      </c>
      <c r="M1100" s="186">
        <v>1</v>
      </c>
      <c r="N1100" s="186">
        <v>61</v>
      </c>
      <c r="O1100" s="186">
        <v>65</v>
      </c>
      <c r="P1100" s="188">
        <v>0</v>
      </c>
      <c r="Q1100" s="189">
        <v>61</v>
      </c>
      <c r="R1100" s="189">
        <v>65</v>
      </c>
      <c r="S1100" s="184" t="s">
        <v>278</v>
      </c>
    </row>
    <row r="1101" spans="1:19">
      <c r="A1101" s="111">
        <v>1100</v>
      </c>
      <c r="B1101" s="195">
        <v>45323</v>
      </c>
      <c r="C1101" s="114">
        <f t="shared" si="8"/>
        <v>2024</v>
      </c>
      <c r="D1101" s="114">
        <f t="shared" si="9"/>
        <v>2</v>
      </c>
      <c r="E1101" s="114" t="s">
        <v>7</v>
      </c>
      <c r="F1101" s="114" t="s">
        <v>272</v>
      </c>
      <c r="G1101" s="114" t="s">
        <v>273</v>
      </c>
      <c r="H1101" s="114" t="s">
        <v>274</v>
      </c>
      <c r="I1101" s="114" t="s">
        <v>173</v>
      </c>
      <c r="J1101" s="186">
        <v>0</v>
      </c>
      <c r="K1101" s="186">
        <v>0</v>
      </c>
      <c r="L1101" s="186">
        <v>0</v>
      </c>
      <c r="M1101" s="186">
        <v>0</v>
      </c>
      <c r="N1101" s="186">
        <v>0</v>
      </c>
      <c r="O1101" s="186">
        <v>0</v>
      </c>
      <c r="P1101" s="188">
        <v>0</v>
      </c>
      <c r="Q1101" s="186">
        <v>0</v>
      </c>
      <c r="R1101" s="186">
        <v>0</v>
      </c>
      <c r="S1101" s="184" t="s">
        <v>278</v>
      </c>
    </row>
    <row r="1102" spans="1:19">
      <c r="A1102" s="111">
        <v>1101</v>
      </c>
      <c r="B1102" s="195">
        <v>45324</v>
      </c>
      <c r="C1102" s="114">
        <f t="shared" si="8"/>
        <v>2024</v>
      </c>
      <c r="D1102" s="114">
        <f t="shared" si="9"/>
        <v>2</v>
      </c>
      <c r="E1102" s="114" t="s">
        <v>111</v>
      </c>
      <c r="F1102" s="114" t="s">
        <v>275</v>
      </c>
      <c r="G1102" s="114" t="s">
        <v>276</v>
      </c>
      <c r="H1102" s="114" t="s">
        <v>277</v>
      </c>
      <c r="I1102" s="114" t="s">
        <v>184</v>
      </c>
      <c r="J1102" s="186">
        <v>6</v>
      </c>
      <c r="K1102" s="186">
        <v>23</v>
      </c>
      <c r="L1102" s="186">
        <v>19</v>
      </c>
      <c r="M1102" s="186">
        <v>1.24</v>
      </c>
      <c r="N1102" s="186">
        <v>515</v>
      </c>
      <c r="O1102" s="186">
        <v>578</v>
      </c>
      <c r="P1102" s="188">
        <v>1</v>
      </c>
      <c r="Q1102" s="189">
        <v>3091</v>
      </c>
      <c r="R1102" s="189">
        <v>3468</v>
      </c>
      <c r="S1102" s="184" t="s">
        <v>278</v>
      </c>
    </row>
    <row r="1103" spans="1:19">
      <c r="A1103" s="111">
        <v>1102</v>
      </c>
      <c r="B1103" s="195">
        <v>45325</v>
      </c>
      <c r="C1103" s="114">
        <f t="shared" si="8"/>
        <v>2024</v>
      </c>
      <c r="D1103" s="114">
        <f t="shared" si="9"/>
        <v>2</v>
      </c>
      <c r="E1103" s="114" t="s">
        <v>113</v>
      </c>
      <c r="F1103" s="114" t="s">
        <v>279</v>
      </c>
      <c r="G1103" s="114" t="s">
        <v>280</v>
      </c>
      <c r="H1103" s="114" t="s">
        <v>280</v>
      </c>
      <c r="I1103" s="114" t="s">
        <v>184</v>
      </c>
      <c r="J1103" s="186">
        <v>12</v>
      </c>
      <c r="K1103" s="186">
        <v>20</v>
      </c>
      <c r="L1103" s="186">
        <v>28</v>
      </c>
      <c r="M1103" s="186">
        <v>0.88</v>
      </c>
      <c r="N1103" s="186">
        <v>332</v>
      </c>
      <c r="O1103" s="186">
        <v>365</v>
      </c>
      <c r="P1103" s="188">
        <v>0.98</v>
      </c>
      <c r="Q1103" s="189">
        <v>3989</v>
      </c>
      <c r="R1103" s="189">
        <v>4380</v>
      </c>
      <c r="S1103" s="184" t="s">
        <v>278</v>
      </c>
    </row>
    <row r="1104" spans="1:19">
      <c r="A1104" s="111">
        <v>1103</v>
      </c>
      <c r="B1104" s="195">
        <v>45326</v>
      </c>
      <c r="C1104" s="114">
        <f t="shared" si="8"/>
        <v>2024</v>
      </c>
      <c r="D1104" s="114">
        <f t="shared" si="9"/>
        <v>2</v>
      </c>
      <c r="E1104" s="114" t="s">
        <v>153</v>
      </c>
      <c r="F1104" s="114" t="s">
        <v>281</v>
      </c>
      <c r="G1104" s="114" t="s">
        <v>282</v>
      </c>
      <c r="H1104" s="114" t="s">
        <v>283</v>
      </c>
      <c r="I1104" s="114" t="s">
        <v>173</v>
      </c>
      <c r="J1104" s="186">
        <v>0</v>
      </c>
      <c r="K1104" s="186">
        <v>0</v>
      </c>
      <c r="L1104" s="186">
        <v>0</v>
      </c>
      <c r="M1104" s="186">
        <v>0</v>
      </c>
      <c r="N1104" s="186">
        <v>0</v>
      </c>
      <c r="O1104" s="186">
        <v>0</v>
      </c>
      <c r="P1104" s="188">
        <v>0</v>
      </c>
      <c r="Q1104" s="186">
        <v>0</v>
      </c>
      <c r="R1104" s="186">
        <v>0</v>
      </c>
      <c r="S1104" s="184" t="s">
        <v>278</v>
      </c>
    </row>
    <row r="1105" spans="1:19">
      <c r="A1105" s="111">
        <v>1104</v>
      </c>
      <c r="B1105" s="195">
        <v>45327</v>
      </c>
      <c r="C1105" s="114">
        <f t="shared" si="8"/>
        <v>2024</v>
      </c>
      <c r="D1105" s="114">
        <f t="shared" si="9"/>
        <v>2</v>
      </c>
      <c r="E1105" s="114" t="s">
        <v>117</v>
      </c>
      <c r="F1105" s="114" t="s">
        <v>117</v>
      </c>
      <c r="G1105" s="185"/>
      <c r="H1105" s="114"/>
      <c r="I1105" s="114" t="s">
        <v>184</v>
      </c>
      <c r="J1105" s="186">
        <v>0</v>
      </c>
      <c r="K1105" s="186">
        <v>0</v>
      </c>
      <c r="L1105" s="186">
        <v>0</v>
      </c>
      <c r="M1105" s="186">
        <v>0</v>
      </c>
      <c r="N1105" s="186">
        <v>0</v>
      </c>
      <c r="O1105" s="186">
        <v>0</v>
      </c>
      <c r="P1105" s="188">
        <v>0</v>
      </c>
      <c r="Q1105" s="186">
        <v>0</v>
      </c>
      <c r="R1105" s="186">
        <v>0</v>
      </c>
      <c r="S1105" s="184" t="s">
        <v>278</v>
      </c>
    </row>
    <row r="1106" spans="1:19">
      <c r="A1106" s="111">
        <v>1105</v>
      </c>
      <c r="B1106" s="195">
        <v>45328</v>
      </c>
      <c r="C1106" s="114">
        <f t="shared" si="8"/>
        <v>2024</v>
      </c>
      <c r="D1106" s="114">
        <f t="shared" si="9"/>
        <v>2</v>
      </c>
      <c r="E1106" s="114" t="s">
        <v>152</v>
      </c>
      <c r="F1106" s="114" t="s">
        <v>284</v>
      </c>
      <c r="G1106" s="114" t="s">
        <v>285</v>
      </c>
      <c r="H1106" s="114" t="s">
        <v>286</v>
      </c>
      <c r="I1106" s="114" t="s">
        <v>184</v>
      </c>
      <c r="J1106" s="186">
        <v>0</v>
      </c>
      <c r="K1106" s="186">
        <v>0</v>
      </c>
      <c r="L1106" s="186">
        <v>0</v>
      </c>
      <c r="M1106" s="186">
        <v>0</v>
      </c>
      <c r="N1106" s="186">
        <v>0</v>
      </c>
      <c r="O1106" s="186">
        <v>0</v>
      </c>
      <c r="P1106" s="188">
        <v>0</v>
      </c>
      <c r="Q1106" s="186">
        <v>0</v>
      </c>
      <c r="R1106" s="186">
        <v>0</v>
      </c>
      <c r="S1106" s="184" t="s">
        <v>278</v>
      </c>
    </row>
    <row r="1107" spans="1:19">
      <c r="A1107" s="111">
        <v>1106</v>
      </c>
      <c r="B1107" s="195">
        <v>45329</v>
      </c>
      <c r="C1107" s="114">
        <f t="shared" si="8"/>
        <v>2024</v>
      </c>
      <c r="D1107" s="114">
        <f t="shared" si="9"/>
        <v>2</v>
      </c>
      <c r="E1107" s="114" t="s">
        <v>118</v>
      </c>
      <c r="F1107" s="114" t="s">
        <v>287</v>
      </c>
      <c r="G1107" s="130" t="s">
        <v>282</v>
      </c>
      <c r="H1107" s="194" t="s">
        <v>283</v>
      </c>
      <c r="I1107" s="185"/>
      <c r="J1107" s="186">
        <v>2</v>
      </c>
      <c r="K1107" s="186">
        <v>9</v>
      </c>
      <c r="L1107" s="186">
        <v>27</v>
      </c>
      <c r="M1107" s="186">
        <v>1</v>
      </c>
      <c r="N1107" s="186">
        <v>85</v>
      </c>
      <c r="O1107" s="186">
        <v>90</v>
      </c>
      <c r="P1107" s="188">
        <v>0</v>
      </c>
      <c r="Q1107" s="189">
        <v>170</v>
      </c>
      <c r="R1107" s="189">
        <v>180</v>
      </c>
      <c r="S1107" s="184" t="s">
        <v>278</v>
      </c>
    </row>
    <row r="1108" spans="1:19">
      <c r="A1108" s="111">
        <v>1107</v>
      </c>
      <c r="B1108" s="195">
        <v>45292</v>
      </c>
      <c r="C1108" s="114">
        <f t="shared" si="8"/>
        <v>2024</v>
      </c>
      <c r="D1108" s="114">
        <f t="shared" si="9"/>
        <v>1</v>
      </c>
      <c r="E1108" s="114" t="s">
        <v>24</v>
      </c>
      <c r="F1108" s="114" t="s">
        <v>259</v>
      </c>
      <c r="G1108" s="114" t="s">
        <v>260</v>
      </c>
      <c r="H1108" s="114" t="s">
        <v>261</v>
      </c>
      <c r="I1108" s="114" t="s">
        <v>184</v>
      </c>
      <c r="J1108" s="186">
        <v>2</v>
      </c>
      <c r="K1108" s="186">
        <v>10</v>
      </c>
      <c r="L1108" s="186">
        <v>22</v>
      </c>
      <c r="M1108" s="186">
        <v>1.1000000000000001</v>
      </c>
      <c r="N1108" s="186">
        <v>70</v>
      </c>
      <c r="O1108" s="186">
        <v>102</v>
      </c>
      <c r="P1108" s="188">
        <v>0</v>
      </c>
      <c r="Q1108" s="189">
        <v>140</v>
      </c>
      <c r="R1108" s="189">
        <v>203</v>
      </c>
      <c r="S1108" s="184" t="s">
        <v>59</v>
      </c>
    </row>
    <row r="1109" spans="1:19">
      <c r="A1109" s="111">
        <v>1108</v>
      </c>
      <c r="B1109" s="195">
        <v>45293</v>
      </c>
      <c r="C1109" s="114">
        <f t="shared" si="8"/>
        <v>2024</v>
      </c>
      <c r="D1109" s="114">
        <f t="shared" si="9"/>
        <v>1</v>
      </c>
      <c r="E1109" s="114" t="s">
        <v>24</v>
      </c>
      <c r="F1109" s="114" t="s">
        <v>262</v>
      </c>
      <c r="G1109" s="114" t="s">
        <v>263</v>
      </c>
      <c r="H1109" s="114" t="s">
        <v>264</v>
      </c>
      <c r="I1109" s="114" t="s">
        <v>184</v>
      </c>
      <c r="J1109" s="186">
        <v>3</v>
      </c>
      <c r="K1109" s="186">
        <v>21</v>
      </c>
      <c r="L1109" s="186">
        <v>26</v>
      </c>
      <c r="M1109" s="186">
        <v>1.4</v>
      </c>
      <c r="N1109" s="186">
        <v>77</v>
      </c>
      <c r="O1109" s="186">
        <v>123</v>
      </c>
      <c r="P1109" s="188">
        <v>0.67</v>
      </c>
      <c r="Q1109" s="189">
        <v>232</v>
      </c>
      <c r="R1109" s="189">
        <v>369</v>
      </c>
      <c r="S1109" s="184" t="s">
        <v>59</v>
      </c>
    </row>
    <row r="1110" spans="1:19">
      <c r="A1110" s="111">
        <v>1109</v>
      </c>
      <c r="B1110" s="195">
        <v>45294</v>
      </c>
      <c r="C1110" s="114">
        <f t="shared" si="8"/>
        <v>2024</v>
      </c>
      <c r="D1110" s="114">
        <f t="shared" si="9"/>
        <v>1</v>
      </c>
      <c r="E1110" s="114" t="s">
        <v>28</v>
      </c>
      <c r="F1110" s="114" t="s">
        <v>265</v>
      </c>
      <c r="G1110" s="114" t="s">
        <v>266</v>
      </c>
      <c r="H1110" s="114" t="s">
        <v>267</v>
      </c>
      <c r="I1110" s="114" t="s">
        <v>184</v>
      </c>
      <c r="J1110" s="186">
        <v>2</v>
      </c>
      <c r="K1110" s="186">
        <v>14</v>
      </c>
      <c r="L1110" s="186">
        <v>23</v>
      </c>
      <c r="M1110" s="186">
        <v>0.9</v>
      </c>
      <c r="N1110" s="186">
        <v>78</v>
      </c>
      <c r="O1110" s="186">
        <v>129</v>
      </c>
      <c r="P1110" s="188">
        <v>1</v>
      </c>
      <c r="Q1110" s="186">
        <v>155</v>
      </c>
      <c r="R1110" s="186">
        <v>258</v>
      </c>
      <c r="S1110" s="184" t="s">
        <v>59</v>
      </c>
    </row>
    <row r="1111" spans="1:19">
      <c r="A1111" s="111">
        <v>1110</v>
      </c>
      <c r="B1111" s="195">
        <v>45295</v>
      </c>
      <c r="C1111" s="114">
        <f t="shared" si="8"/>
        <v>2024</v>
      </c>
      <c r="D1111" s="114">
        <f t="shared" si="9"/>
        <v>1</v>
      </c>
      <c r="E1111" s="114" t="s">
        <v>7</v>
      </c>
      <c r="F1111" s="114" t="s">
        <v>239</v>
      </c>
      <c r="G1111" s="114" t="s">
        <v>240</v>
      </c>
      <c r="H1111" s="114" t="s">
        <v>241</v>
      </c>
      <c r="I1111" s="114" t="s">
        <v>184</v>
      </c>
      <c r="J1111" s="186">
        <v>4</v>
      </c>
      <c r="K1111" s="186">
        <v>60</v>
      </c>
      <c r="L1111" s="186">
        <v>27</v>
      </c>
      <c r="M1111" s="186">
        <v>2.6</v>
      </c>
      <c r="N1111" s="186">
        <v>629</v>
      </c>
      <c r="O1111" s="186">
        <v>999</v>
      </c>
      <c r="P1111" s="188">
        <v>0.75</v>
      </c>
      <c r="Q1111" s="189">
        <v>2516</v>
      </c>
      <c r="R1111" s="189">
        <v>3996</v>
      </c>
      <c r="S1111" s="184" t="s">
        <v>59</v>
      </c>
    </row>
    <row r="1112" spans="1:19">
      <c r="A1112" s="111">
        <v>1111</v>
      </c>
      <c r="B1112" s="195">
        <v>45296</v>
      </c>
      <c r="C1112" s="114">
        <f t="shared" si="8"/>
        <v>2024</v>
      </c>
      <c r="D1112" s="114">
        <f t="shared" si="9"/>
        <v>1</v>
      </c>
      <c r="E1112" s="114" t="s">
        <v>7</v>
      </c>
      <c r="F1112" s="114" t="s">
        <v>220</v>
      </c>
      <c r="G1112" s="114" t="s">
        <v>221</v>
      </c>
      <c r="H1112" s="114" t="s">
        <v>222</v>
      </c>
      <c r="I1112" s="114" t="s">
        <v>184</v>
      </c>
      <c r="J1112" s="186">
        <v>1</v>
      </c>
      <c r="K1112" s="186">
        <v>63</v>
      </c>
      <c r="L1112" s="186">
        <v>29</v>
      </c>
      <c r="M1112" s="186">
        <v>2.7</v>
      </c>
      <c r="N1112" s="186">
        <v>703</v>
      </c>
      <c r="O1112" s="186">
        <v>1025</v>
      </c>
      <c r="P1112" s="188">
        <v>1</v>
      </c>
      <c r="Q1112" s="186">
        <v>703</v>
      </c>
      <c r="R1112" s="189">
        <v>1025</v>
      </c>
      <c r="S1112" s="184" t="s">
        <v>59</v>
      </c>
    </row>
    <row r="1113" spans="1:19">
      <c r="A1113" s="111">
        <v>1112</v>
      </c>
      <c r="B1113" s="195">
        <v>45297</v>
      </c>
      <c r="C1113" s="114">
        <f t="shared" si="8"/>
        <v>2024</v>
      </c>
      <c r="D1113" s="114">
        <f t="shared" si="9"/>
        <v>1</v>
      </c>
      <c r="E1113" s="114" t="s">
        <v>7</v>
      </c>
      <c r="F1113" s="114" t="s">
        <v>242</v>
      </c>
      <c r="G1113" s="114" t="s">
        <v>243</v>
      </c>
      <c r="H1113" s="114" t="s">
        <v>244</v>
      </c>
      <c r="I1113" s="114" t="s">
        <v>184</v>
      </c>
      <c r="J1113" s="186">
        <v>4</v>
      </c>
      <c r="K1113" s="186">
        <v>60</v>
      </c>
      <c r="L1113" s="186">
        <v>25</v>
      </c>
      <c r="M1113" s="186">
        <v>2.5</v>
      </c>
      <c r="N1113" s="186">
        <v>1244</v>
      </c>
      <c r="O1113" s="186">
        <v>2005</v>
      </c>
      <c r="P1113" s="188">
        <v>0</v>
      </c>
      <c r="Q1113" s="189">
        <v>4975</v>
      </c>
      <c r="R1113" s="189">
        <v>8020</v>
      </c>
      <c r="S1113" s="184" t="s">
        <v>59</v>
      </c>
    </row>
    <row r="1114" spans="1:19">
      <c r="A1114" s="111">
        <v>1113</v>
      </c>
      <c r="B1114" s="195">
        <v>45298</v>
      </c>
      <c r="C1114" s="114">
        <f t="shared" si="8"/>
        <v>2024</v>
      </c>
      <c r="D1114" s="114">
        <f t="shared" si="9"/>
        <v>1</v>
      </c>
      <c r="E1114" s="114" t="s">
        <v>7</v>
      </c>
      <c r="F1114" s="114" t="s">
        <v>255</v>
      </c>
      <c r="G1114" s="114" t="s">
        <v>256</v>
      </c>
      <c r="H1114" s="114" t="s">
        <v>257</v>
      </c>
      <c r="I1114" s="114" t="s">
        <v>173</v>
      </c>
      <c r="J1114" s="186">
        <v>2</v>
      </c>
      <c r="K1114" s="186">
        <v>62</v>
      </c>
      <c r="L1114" s="186">
        <v>27</v>
      </c>
      <c r="M1114" s="186">
        <v>2.5</v>
      </c>
      <c r="N1114" s="186">
        <v>1232</v>
      </c>
      <c r="O1114" s="186">
        <v>1900</v>
      </c>
      <c r="P1114" s="188">
        <v>0.5</v>
      </c>
      <c r="Q1114" s="189">
        <v>2463</v>
      </c>
      <c r="R1114" s="189">
        <v>3799</v>
      </c>
      <c r="S1114" s="184" t="s">
        <v>59</v>
      </c>
    </row>
    <row r="1115" spans="1:19">
      <c r="A1115" s="111">
        <v>1114</v>
      </c>
      <c r="B1115" s="195">
        <v>45299</v>
      </c>
      <c r="C1115" s="114">
        <f t="shared" si="8"/>
        <v>2024</v>
      </c>
      <c r="D1115" s="114">
        <f t="shared" si="9"/>
        <v>1</v>
      </c>
      <c r="E1115" s="114" t="s">
        <v>7</v>
      </c>
      <c r="F1115" s="114" t="s">
        <v>258</v>
      </c>
      <c r="G1115" s="114" t="s">
        <v>256</v>
      </c>
      <c r="H1115" s="114" t="s">
        <v>257</v>
      </c>
      <c r="I1115" s="114" t="s">
        <v>200</v>
      </c>
      <c r="J1115" s="186">
        <v>0</v>
      </c>
      <c r="K1115" s="186">
        <v>0</v>
      </c>
      <c r="L1115" s="186">
        <v>0</v>
      </c>
      <c r="M1115" s="186">
        <v>0</v>
      </c>
      <c r="N1115" s="186">
        <v>0</v>
      </c>
      <c r="O1115" s="186">
        <v>0</v>
      </c>
      <c r="P1115" s="188">
        <v>0</v>
      </c>
      <c r="Q1115" s="189">
        <v>0</v>
      </c>
      <c r="R1115" s="189">
        <v>0</v>
      </c>
      <c r="S1115" s="184" t="s">
        <v>59</v>
      </c>
    </row>
    <row r="1116" spans="1:19">
      <c r="A1116" s="111">
        <v>1115</v>
      </c>
      <c r="B1116" s="195">
        <v>45300</v>
      </c>
      <c r="C1116" s="114">
        <f t="shared" si="8"/>
        <v>2024</v>
      </c>
      <c r="D1116" s="114">
        <f t="shared" si="9"/>
        <v>1</v>
      </c>
      <c r="E1116" s="114" t="s">
        <v>79</v>
      </c>
      <c r="F1116" s="114" t="s">
        <v>170</v>
      </c>
      <c r="G1116" s="114" t="s">
        <v>171</v>
      </c>
      <c r="H1116" s="114" t="s">
        <v>172</v>
      </c>
      <c r="I1116" s="114" t="s">
        <v>173</v>
      </c>
      <c r="J1116" s="186">
        <v>0</v>
      </c>
      <c r="K1116" s="186">
        <v>0</v>
      </c>
      <c r="L1116" s="186">
        <v>0</v>
      </c>
      <c r="M1116" s="186">
        <v>0</v>
      </c>
      <c r="N1116" s="186">
        <v>0</v>
      </c>
      <c r="O1116" s="186">
        <v>0</v>
      </c>
      <c r="P1116" s="188">
        <v>0</v>
      </c>
      <c r="Q1116" s="186">
        <v>0</v>
      </c>
      <c r="R1116" s="186">
        <v>0</v>
      </c>
      <c r="S1116" s="184" t="s">
        <v>59</v>
      </c>
    </row>
    <row r="1117" spans="1:19">
      <c r="A1117" s="111">
        <v>1116</v>
      </c>
      <c r="B1117" s="195">
        <v>45301</v>
      </c>
      <c r="C1117" s="114">
        <f t="shared" si="8"/>
        <v>2024</v>
      </c>
      <c r="D1117" s="114">
        <f t="shared" si="9"/>
        <v>1</v>
      </c>
      <c r="E1117" s="114" t="s">
        <v>79</v>
      </c>
      <c r="F1117" s="114" t="s">
        <v>174</v>
      </c>
      <c r="G1117" s="114" t="s">
        <v>175</v>
      </c>
      <c r="H1117" s="114" t="s">
        <v>176</v>
      </c>
      <c r="I1117" s="114" t="s">
        <v>173</v>
      </c>
      <c r="J1117" s="186">
        <v>0</v>
      </c>
      <c r="K1117" s="186">
        <v>0</v>
      </c>
      <c r="L1117" s="186">
        <v>0</v>
      </c>
      <c r="M1117" s="186">
        <v>0</v>
      </c>
      <c r="N1117" s="186">
        <v>0</v>
      </c>
      <c r="O1117" s="186">
        <v>0</v>
      </c>
      <c r="P1117" s="188">
        <v>0</v>
      </c>
      <c r="Q1117" s="186">
        <v>0</v>
      </c>
      <c r="R1117" s="186">
        <v>0</v>
      </c>
      <c r="S1117" s="184" t="s">
        <v>59</v>
      </c>
    </row>
    <row r="1118" spans="1:19">
      <c r="A1118" s="111">
        <v>1117</v>
      </c>
      <c r="B1118" s="195">
        <v>45302</v>
      </c>
      <c r="C1118" s="114">
        <f t="shared" si="8"/>
        <v>2024</v>
      </c>
      <c r="D1118" s="114">
        <f t="shared" si="9"/>
        <v>1</v>
      </c>
      <c r="E1118" s="114" t="s">
        <v>79</v>
      </c>
      <c r="F1118" s="114" t="s">
        <v>177</v>
      </c>
      <c r="G1118" s="114" t="s">
        <v>175</v>
      </c>
      <c r="H1118" s="114" t="s">
        <v>176</v>
      </c>
      <c r="I1118" s="114" t="s">
        <v>173</v>
      </c>
      <c r="J1118" s="186">
        <v>0</v>
      </c>
      <c r="K1118" s="186">
        <v>0</v>
      </c>
      <c r="L1118" s="186">
        <v>0</v>
      </c>
      <c r="M1118" s="186">
        <v>0</v>
      </c>
      <c r="N1118" s="186">
        <v>0</v>
      </c>
      <c r="O1118" s="186">
        <v>0</v>
      </c>
      <c r="P1118" s="188">
        <v>0</v>
      </c>
      <c r="Q1118" s="188">
        <v>0</v>
      </c>
      <c r="R1118" s="188">
        <v>0</v>
      </c>
      <c r="S1118" s="184" t="s">
        <v>59</v>
      </c>
    </row>
    <row r="1119" spans="1:19">
      <c r="A1119" s="111">
        <v>1118</v>
      </c>
      <c r="B1119" s="195">
        <v>45303</v>
      </c>
      <c r="C1119" s="114">
        <f t="shared" si="8"/>
        <v>2024</v>
      </c>
      <c r="D1119" s="114">
        <f t="shared" si="9"/>
        <v>1</v>
      </c>
      <c r="E1119" s="114" t="s">
        <v>79</v>
      </c>
      <c r="F1119" s="114" t="s">
        <v>242</v>
      </c>
      <c r="G1119" s="114" t="s">
        <v>243</v>
      </c>
      <c r="H1119" s="114" t="s">
        <v>244</v>
      </c>
      <c r="I1119" s="114" t="s">
        <v>184</v>
      </c>
      <c r="J1119" s="186">
        <v>1</v>
      </c>
      <c r="K1119" s="186">
        <v>49</v>
      </c>
      <c r="L1119" s="186">
        <v>22</v>
      </c>
      <c r="M1119" s="186">
        <v>2.2999999999999998</v>
      </c>
      <c r="N1119" s="186">
        <v>971</v>
      </c>
      <c r="O1119" s="186">
        <v>1491</v>
      </c>
      <c r="P1119" s="188">
        <v>0</v>
      </c>
      <c r="Q1119" s="186">
        <v>971</v>
      </c>
      <c r="R1119" s="186">
        <v>1491</v>
      </c>
      <c r="S1119" s="184" t="s">
        <v>59</v>
      </c>
    </row>
    <row r="1120" spans="1:19">
      <c r="A1120" s="111">
        <v>1119</v>
      </c>
      <c r="B1120" s="195">
        <v>45304</v>
      </c>
      <c r="C1120" s="114">
        <f t="shared" si="8"/>
        <v>2024</v>
      </c>
      <c r="D1120" s="114">
        <f t="shared" si="9"/>
        <v>1</v>
      </c>
      <c r="E1120" s="114" t="s">
        <v>79</v>
      </c>
      <c r="F1120" s="114" t="s">
        <v>255</v>
      </c>
      <c r="G1120" s="114" t="s">
        <v>256</v>
      </c>
      <c r="H1120" s="114" t="s">
        <v>257</v>
      </c>
      <c r="I1120" s="114" t="s">
        <v>173</v>
      </c>
      <c r="J1120" s="186">
        <v>3</v>
      </c>
      <c r="K1120" s="186">
        <v>78</v>
      </c>
      <c r="L1120" s="186">
        <v>27</v>
      </c>
      <c r="M1120" s="186">
        <v>3.1</v>
      </c>
      <c r="N1120" s="186">
        <v>2278</v>
      </c>
      <c r="O1120" s="186">
        <v>3392</v>
      </c>
      <c r="P1120" s="188">
        <v>0.67</v>
      </c>
      <c r="Q1120" s="186">
        <v>6835</v>
      </c>
      <c r="R1120" s="186">
        <v>10175</v>
      </c>
      <c r="S1120" s="184" t="s">
        <v>59</v>
      </c>
    </row>
    <row r="1121" spans="1:19">
      <c r="A1121" s="111">
        <v>1120</v>
      </c>
      <c r="B1121" s="195">
        <v>45305</v>
      </c>
      <c r="C1121" s="114">
        <f t="shared" si="8"/>
        <v>2024</v>
      </c>
      <c r="D1121" s="114">
        <f t="shared" si="9"/>
        <v>1</v>
      </c>
      <c r="E1121" s="114" t="s">
        <v>8</v>
      </c>
      <c r="F1121" s="114" t="s">
        <v>181</v>
      </c>
      <c r="G1121" s="114" t="s">
        <v>182</v>
      </c>
      <c r="H1121" s="114" t="s">
        <v>183</v>
      </c>
      <c r="I1121" s="114" t="s">
        <v>184</v>
      </c>
      <c r="J1121" s="186">
        <v>4</v>
      </c>
      <c r="K1121" s="186">
        <v>45</v>
      </c>
      <c r="L1121" s="186">
        <v>27</v>
      </c>
      <c r="M1121" s="186">
        <v>2</v>
      </c>
      <c r="N1121" s="186">
        <v>505</v>
      </c>
      <c r="O1121" s="186">
        <v>785</v>
      </c>
      <c r="P1121" s="188">
        <v>0.5</v>
      </c>
      <c r="Q1121" s="189">
        <v>2019</v>
      </c>
      <c r="R1121" s="189">
        <v>3139</v>
      </c>
      <c r="S1121" s="184" t="s">
        <v>59</v>
      </c>
    </row>
    <row r="1122" spans="1:19">
      <c r="A1122" s="111">
        <v>1121</v>
      </c>
      <c r="B1122" s="195">
        <v>45306</v>
      </c>
      <c r="C1122" s="114">
        <f t="shared" si="8"/>
        <v>2024</v>
      </c>
      <c r="D1122" s="114">
        <f t="shared" si="9"/>
        <v>1</v>
      </c>
      <c r="E1122" s="114" t="s">
        <v>8</v>
      </c>
      <c r="F1122" s="114" t="s">
        <v>185</v>
      </c>
      <c r="G1122" s="114" t="s">
        <v>186</v>
      </c>
      <c r="H1122" s="114" t="s">
        <v>187</v>
      </c>
      <c r="I1122" s="114" t="s">
        <v>184</v>
      </c>
      <c r="J1122" s="186">
        <v>5</v>
      </c>
      <c r="K1122" s="186">
        <v>61</v>
      </c>
      <c r="L1122" s="186">
        <v>26</v>
      </c>
      <c r="M1122" s="186">
        <v>2.6</v>
      </c>
      <c r="N1122" s="186">
        <v>756</v>
      </c>
      <c r="O1122" s="186">
        <v>1122</v>
      </c>
      <c r="P1122" s="188">
        <v>0</v>
      </c>
      <c r="Q1122" s="189">
        <v>3782</v>
      </c>
      <c r="R1122" s="189">
        <v>5608</v>
      </c>
      <c r="S1122" s="184" t="s">
        <v>59</v>
      </c>
    </row>
    <row r="1123" spans="1:19">
      <c r="A1123" s="111">
        <v>1122</v>
      </c>
      <c r="B1123" s="195">
        <v>45307</v>
      </c>
      <c r="C1123" s="114">
        <f t="shared" si="8"/>
        <v>2024</v>
      </c>
      <c r="D1123" s="114">
        <f t="shared" si="9"/>
        <v>1</v>
      </c>
      <c r="E1123" s="114" t="s">
        <v>8</v>
      </c>
      <c r="F1123" s="114" t="s">
        <v>188</v>
      </c>
      <c r="G1123" s="114" t="s">
        <v>189</v>
      </c>
      <c r="H1123" s="114" t="s">
        <v>190</v>
      </c>
      <c r="I1123" s="114" t="s">
        <v>184</v>
      </c>
      <c r="J1123" s="186">
        <v>5</v>
      </c>
      <c r="K1123" s="186">
        <v>52</v>
      </c>
      <c r="L1123" s="186">
        <v>26</v>
      </c>
      <c r="M1123" s="186">
        <v>2.2000000000000002</v>
      </c>
      <c r="N1123" s="186">
        <v>521</v>
      </c>
      <c r="O1123" s="186">
        <v>800</v>
      </c>
      <c r="P1123" s="188">
        <v>0.2</v>
      </c>
      <c r="Q1123" s="189">
        <v>2607</v>
      </c>
      <c r="R1123" s="189">
        <v>4000</v>
      </c>
      <c r="S1123" s="184" t="s">
        <v>59</v>
      </c>
    </row>
    <row r="1124" spans="1:19">
      <c r="A1124" s="111">
        <v>1123</v>
      </c>
      <c r="B1124" s="195">
        <v>45308</v>
      </c>
      <c r="C1124" s="114">
        <f t="shared" si="8"/>
        <v>2024</v>
      </c>
      <c r="D1124" s="114">
        <f t="shared" si="9"/>
        <v>1</v>
      </c>
      <c r="E1124" s="114" t="s">
        <v>8</v>
      </c>
      <c r="F1124" s="114" t="s">
        <v>191</v>
      </c>
      <c r="G1124" s="114" t="s">
        <v>192</v>
      </c>
      <c r="H1124" s="114" t="s">
        <v>193</v>
      </c>
      <c r="I1124" s="114" t="s">
        <v>173</v>
      </c>
      <c r="J1124" s="186">
        <v>0</v>
      </c>
      <c r="K1124" s="186">
        <v>0</v>
      </c>
      <c r="L1124" s="186">
        <v>0</v>
      </c>
      <c r="M1124" s="186">
        <v>0</v>
      </c>
      <c r="N1124" s="186">
        <v>0</v>
      </c>
      <c r="O1124" s="186">
        <v>0</v>
      </c>
      <c r="P1124" s="188">
        <v>0</v>
      </c>
      <c r="Q1124" s="189">
        <v>0</v>
      </c>
      <c r="R1124" s="189">
        <v>0</v>
      </c>
      <c r="S1124" s="184" t="s">
        <v>59</v>
      </c>
    </row>
    <row r="1125" spans="1:19">
      <c r="A1125" s="111">
        <v>1124</v>
      </c>
      <c r="B1125" s="195">
        <v>45309</v>
      </c>
      <c r="C1125" s="114">
        <f t="shared" si="8"/>
        <v>2024</v>
      </c>
      <c r="D1125" s="114">
        <f t="shared" si="9"/>
        <v>1</v>
      </c>
      <c r="E1125" s="114" t="s">
        <v>8</v>
      </c>
      <c r="F1125" s="114" t="s">
        <v>245</v>
      </c>
      <c r="G1125" s="114" t="s">
        <v>246</v>
      </c>
      <c r="H1125" s="114" t="s">
        <v>247</v>
      </c>
      <c r="I1125" s="114" t="s">
        <v>184</v>
      </c>
      <c r="J1125" s="186">
        <v>5</v>
      </c>
      <c r="K1125" s="186">
        <v>48</v>
      </c>
      <c r="L1125" s="186">
        <v>28</v>
      </c>
      <c r="M1125" s="186">
        <v>2</v>
      </c>
      <c r="N1125" s="186">
        <v>2910</v>
      </c>
      <c r="O1125" s="186">
        <v>4043</v>
      </c>
      <c r="P1125" s="188">
        <v>0.8</v>
      </c>
      <c r="Q1125" s="189">
        <v>2910</v>
      </c>
      <c r="R1125" s="189">
        <v>4043</v>
      </c>
      <c r="S1125" s="184" t="s">
        <v>59</v>
      </c>
    </row>
    <row r="1126" spans="1:19">
      <c r="A1126" s="111">
        <v>1125</v>
      </c>
      <c r="B1126" s="195">
        <v>45310</v>
      </c>
      <c r="C1126" s="114">
        <f t="shared" si="8"/>
        <v>2024</v>
      </c>
      <c r="D1126" s="114">
        <f t="shared" si="9"/>
        <v>1</v>
      </c>
      <c r="E1126" s="114" t="s">
        <v>20</v>
      </c>
      <c r="F1126" s="114" t="s">
        <v>178</v>
      </c>
      <c r="G1126" s="114" t="s">
        <v>179</v>
      </c>
      <c r="H1126" s="114" t="s">
        <v>180</v>
      </c>
      <c r="I1126" s="114" t="s">
        <v>173</v>
      </c>
      <c r="J1126" s="186">
        <v>1</v>
      </c>
      <c r="K1126" s="186">
        <v>54</v>
      </c>
      <c r="L1126" s="186">
        <v>28</v>
      </c>
      <c r="M1126" s="186">
        <v>2.2000000000000002</v>
      </c>
      <c r="N1126" s="186">
        <v>913</v>
      </c>
      <c r="O1126" s="186">
        <v>1264</v>
      </c>
      <c r="P1126" s="188">
        <v>0</v>
      </c>
      <c r="Q1126" s="189">
        <v>913</v>
      </c>
      <c r="R1126" s="189">
        <v>1264</v>
      </c>
      <c r="S1126" s="184" t="s">
        <v>59</v>
      </c>
    </row>
    <row r="1127" spans="1:19">
      <c r="A1127" s="111">
        <v>1126</v>
      </c>
      <c r="B1127" s="195">
        <v>45311</v>
      </c>
      <c r="C1127" s="114">
        <f t="shared" si="8"/>
        <v>2024</v>
      </c>
      <c r="D1127" s="114">
        <f t="shared" si="9"/>
        <v>1</v>
      </c>
      <c r="E1127" s="114" t="s">
        <v>102</v>
      </c>
      <c r="F1127" s="114" t="s">
        <v>288</v>
      </c>
      <c r="G1127" s="114" t="s">
        <v>199</v>
      </c>
      <c r="H1127" s="114" t="s">
        <v>199</v>
      </c>
      <c r="I1127" s="114" t="s">
        <v>200</v>
      </c>
      <c r="J1127" s="186">
        <v>1</v>
      </c>
      <c r="K1127" s="186">
        <v>52</v>
      </c>
      <c r="L1127" s="186">
        <v>53</v>
      </c>
      <c r="M1127" s="186">
        <v>1</v>
      </c>
      <c r="N1127" s="186">
        <v>451</v>
      </c>
      <c r="O1127" s="186">
        <v>516</v>
      </c>
      <c r="P1127" s="188">
        <v>1</v>
      </c>
      <c r="Q1127" s="186">
        <v>451</v>
      </c>
      <c r="R1127" s="186">
        <v>516</v>
      </c>
      <c r="S1127" s="184" t="s">
        <v>59</v>
      </c>
    </row>
    <row r="1128" spans="1:19">
      <c r="A1128" s="111">
        <v>1127</v>
      </c>
      <c r="B1128" s="195">
        <v>45312</v>
      </c>
      <c r="C1128" s="114">
        <f t="shared" si="8"/>
        <v>2024</v>
      </c>
      <c r="D1128" s="114">
        <f t="shared" si="9"/>
        <v>1</v>
      </c>
      <c r="E1128" s="114" t="s">
        <v>104</v>
      </c>
      <c r="F1128" s="114" t="s">
        <v>198</v>
      </c>
      <c r="G1128" s="114" t="s">
        <v>199</v>
      </c>
      <c r="H1128" s="114" t="s">
        <v>199</v>
      </c>
      <c r="I1128" s="114" t="s">
        <v>200</v>
      </c>
      <c r="J1128" s="186">
        <v>0</v>
      </c>
      <c r="K1128" s="186">
        <v>0</v>
      </c>
      <c r="L1128" s="186">
        <v>0</v>
      </c>
      <c r="M1128" s="186">
        <v>0</v>
      </c>
      <c r="N1128" s="186">
        <v>0</v>
      </c>
      <c r="O1128" s="186">
        <v>0</v>
      </c>
      <c r="P1128" s="188">
        <v>0</v>
      </c>
      <c r="Q1128" s="189">
        <v>0</v>
      </c>
      <c r="R1128" s="189">
        <v>0</v>
      </c>
      <c r="S1128" s="184" t="s">
        <v>59</v>
      </c>
    </row>
    <row r="1129" spans="1:19">
      <c r="A1129" s="111">
        <v>1128</v>
      </c>
      <c r="B1129" s="195">
        <v>45313</v>
      </c>
      <c r="C1129" s="114">
        <f t="shared" si="8"/>
        <v>2024</v>
      </c>
      <c r="D1129" s="114">
        <f t="shared" si="9"/>
        <v>1</v>
      </c>
      <c r="E1129" s="114" t="s">
        <v>88</v>
      </c>
      <c r="F1129" s="114" t="s">
        <v>195</v>
      </c>
      <c r="G1129" s="114" t="s">
        <v>196</v>
      </c>
      <c r="H1129" s="114" t="s">
        <v>197</v>
      </c>
      <c r="I1129" s="114" t="s">
        <v>184</v>
      </c>
      <c r="J1129" s="186">
        <v>4</v>
      </c>
      <c r="K1129" s="186">
        <v>39</v>
      </c>
      <c r="L1129" s="186">
        <v>22</v>
      </c>
      <c r="M1129" s="186">
        <v>2.1</v>
      </c>
      <c r="N1129" s="186">
        <v>559</v>
      </c>
      <c r="O1129" s="186">
        <v>815</v>
      </c>
      <c r="P1129" s="188">
        <v>0</v>
      </c>
      <c r="Q1129" s="189">
        <v>2235</v>
      </c>
      <c r="R1129" s="189">
        <v>3259</v>
      </c>
      <c r="S1129" s="184" t="s">
        <v>59</v>
      </c>
    </row>
    <row r="1130" spans="1:19">
      <c r="A1130" s="111">
        <v>1129</v>
      </c>
      <c r="B1130" s="195">
        <v>45314</v>
      </c>
      <c r="C1130" s="114">
        <f t="shared" si="8"/>
        <v>2024</v>
      </c>
      <c r="D1130" s="114">
        <f t="shared" si="9"/>
        <v>1</v>
      </c>
      <c r="E1130" s="114" t="s">
        <v>30</v>
      </c>
      <c r="F1130" s="114" t="s">
        <v>205</v>
      </c>
      <c r="G1130" s="114" t="s">
        <v>206</v>
      </c>
      <c r="H1130" s="114" t="s">
        <v>207</v>
      </c>
      <c r="I1130" s="114" t="s">
        <v>184</v>
      </c>
      <c r="J1130" s="186">
        <v>0</v>
      </c>
      <c r="K1130" s="186">
        <v>0</v>
      </c>
      <c r="L1130" s="186">
        <v>0</v>
      </c>
      <c r="M1130" s="186">
        <v>0</v>
      </c>
      <c r="N1130" s="186">
        <v>0</v>
      </c>
      <c r="O1130" s="186">
        <v>0</v>
      </c>
      <c r="P1130" s="188">
        <v>0</v>
      </c>
      <c r="Q1130" s="186">
        <v>0</v>
      </c>
      <c r="R1130" s="186">
        <v>0</v>
      </c>
      <c r="S1130" s="184" t="s">
        <v>59</v>
      </c>
    </row>
    <row r="1131" spans="1:19">
      <c r="A1131" s="111">
        <v>1130</v>
      </c>
      <c r="B1131" s="195">
        <v>45315</v>
      </c>
      <c r="C1131" s="114">
        <f t="shared" si="8"/>
        <v>2024</v>
      </c>
      <c r="D1131" s="114">
        <f t="shared" si="9"/>
        <v>1</v>
      </c>
      <c r="E1131" s="114" t="s">
        <v>93</v>
      </c>
      <c r="F1131" s="114" t="s">
        <v>265</v>
      </c>
      <c r="G1131" s="114" t="s">
        <v>266</v>
      </c>
      <c r="H1131" s="114" t="s">
        <v>267</v>
      </c>
      <c r="I1131" s="114" t="s">
        <v>184</v>
      </c>
      <c r="J1131" s="186">
        <v>1</v>
      </c>
      <c r="K1131" s="186">
        <v>15</v>
      </c>
      <c r="L1131" s="186">
        <v>21</v>
      </c>
      <c r="M1131" s="186">
        <v>1.1000000000000001</v>
      </c>
      <c r="N1131" s="186">
        <v>109</v>
      </c>
      <c r="O1131" s="186">
        <v>180</v>
      </c>
      <c r="P1131" s="188">
        <v>0</v>
      </c>
      <c r="Q1131" s="186">
        <v>109</v>
      </c>
      <c r="R1131" s="186">
        <v>180</v>
      </c>
      <c r="S1131" s="184" t="s">
        <v>59</v>
      </c>
    </row>
    <row r="1132" spans="1:19">
      <c r="A1132" s="111">
        <v>1131</v>
      </c>
      <c r="B1132" s="195">
        <v>45316</v>
      </c>
      <c r="C1132" s="114">
        <f t="shared" si="8"/>
        <v>2024</v>
      </c>
      <c r="D1132" s="114">
        <f t="shared" si="9"/>
        <v>1</v>
      </c>
      <c r="E1132" s="114" t="s">
        <v>201</v>
      </c>
      <c r="F1132" s="114" t="s">
        <v>248</v>
      </c>
      <c r="G1132" s="114" t="s">
        <v>199</v>
      </c>
      <c r="H1132" s="114" t="s">
        <v>199</v>
      </c>
      <c r="I1132" s="114" t="s">
        <v>200</v>
      </c>
      <c r="J1132" s="186">
        <v>0</v>
      </c>
      <c r="K1132" s="186">
        <v>0</v>
      </c>
      <c r="L1132" s="186">
        <v>0</v>
      </c>
      <c r="M1132" s="186">
        <v>0</v>
      </c>
      <c r="N1132" s="186">
        <v>0</v>
      </c>
      <c r="O1132" s="186">
        <v>0</v>
      </c>
      <c r="P1132" s="188">
        <v>0</v>
      </c>
      <c r="Q1132" s="188">
        <v>0</v>
      </c>
      <c r="R1132" s="188">
        <v>0</v>
      </c>
      <c r="S1132" s="184" t="s">
        <v>59</v>
      </c>
    </row>
    <row r="1133" spans="1:19">
      <c r="A1133" s="111">
        <v>1132</v>
      </c>
      <c r="B1133" s="195">
        <v>45317</v>
      </c>
      <c r="C1133" s="114">
        <f t="shared" si="8"/>
        <v>2024</v>
      </c>
      <c r="D1133" s="114">
        <f t="shared" si="9"/>
        <v>1</v>
      </c>
      <c r="E1133" s="114" t="s">
        <v>116</v>
      </c>
      <c r="F1133" s="114" t="s">
        <v>271</v>
      </c>
      <c r="G1133" s="114" t="s">
        <v>199</v>
      </c>
      <c r="H1133" s="114" t="s">
        <v>199</v>
      </c>
      <c r="I1133" s="114" t="s">
        <v>200</v>
      </c>
      <c r="J1133" s="186">
        <v>0</v>
      </c>
      <c r="K1133" s="186">
        <v>0</v>
      </c>
      <c r="L1133" s="186">
        <v>0</v>
      </c>
      <c r="M1133" s="186">
        <v>0</v>
      </c>
      <c r="N1133" s="186">
        <v>0</v>
      </c>
      <c r="O1133" s="186">
        <v>0</v>
      </c>
      <c r="P1133" s="188">
        <v>0</v>
      </c>
      <c r="Q1133" s="186">
        <v>0</v>
      </c>
      <c r="R1133" s="186">
        <v>0</v>
      </c>
      <c r="S1133" s="184" t="s">
        <v>59</v>
      </c>
    </row>
    <row r="1134" spans="1:19">
      <c r="A1134" s="111">
        <v>1133</v>
      </c>
      <c r="B1134" s="195">
        <v>45318</v>
      </c>
      <c r="C1134" s="114">
        <f t="shared" si="8"/>
        <v>2024</v>
      </c>
      <c r="D1134" s="114">
        <f t="shared" si="9"/>
        <v>1</v>
      </c>
      <c r="E1134" s="114" t="s">
        <v>10</v>
      </c>
      <c r="F1134" s="114" t="s">
        <v>208</v>
      </c>
      <c r="G1134" s="114" t="s">
        <v>209</v>
      </c>
      <c r="H1134" s="114" t="s">
        <v>210</v>
      </c>
      <c r="I1134" s="114" t="s">
        <v>173</v>
      </c>
      <c r="J1134" s="186">
        <v>0</v>
      </c>
      <c r="K1134" s="186">
        <v>0</v>
      </c>
      <c r="L1134" s="186">
        <v>0</v>
      </c>
      <c r="M1134" s="186">
        <v>0</v>
      </c>
      <c r="N1134" s="186">
        <v>0</v>
      </c>
      <c r="O1134" s="186">
        <v>0</v>
      </c>
      <c r="P1134" s="188">
        <v>0</v>
      </c>
      <c r="Q1134" s="189">
        <v>0</v>
      </c>
      <c r="R1134" s="189">
        <v>0</v>
      </c>
      <c r="S1134" s="184" t="s">
        <v>59</v>
      </c>
    </row>
    <row r="1135" spans="1:19">
      <c r="A1135" s="111">
        <v>1134</v>
      </c>
      <c r="B1135" s="195">
        <v>45319</v>
      </c>
      <c r="C1135" s="114">
        <f t="shared" si="8"/>
        <v>2024</v>
      </c>
      <c r="D1135" s="114">
        <f t="shared" si="9"/>
        <v>1</v>
      </c>
      <c r="E1135" s="114" t="s">
        <v>10</v>
      </c>
      <c r="F1135" s="114" t="s">
        <v>211</v>
      </c>
      <c r="G1135" s="114" t="s">
        <v>212</v>
      </c>
      <c r="H1135" s="114" t="s">
        <v>213</v>
      </c>
      <c r="I1135" s="114" t="s">
        <v>173</v>
      </c>
      <c r="J1135" s="186">
        <v>0</v>
      </c>
      <c r="K1135" s="186">
        <v>0</v>
      </c>
      <c r="L1135" s="186">
        <v>0</v>
      </c>
      <c r="M1135" s="186">
        <v>0</v>
      </c>
      <c r="N1135" s="186">
        <v>0</v>
      </c>
      <c r="O1135" s="186">
        <v>0</v>
      </c>
      <c r="P1135" s="188">
        <v>0</v>
      </c>
      <c r="Q1135" s="186">
        <v>0</v>
      </c>
      <c r="R1135" s="186">
        <v>0</v>
      </c>
      <c r="S1135" s="184" t="s">
        <v>59</v>
      </c>
    </row>
    <row r="1136" spans="1:19">
      <c r="A1136" s="111">
        <v>1135</v>
      </c>
      <c r="B1136" s="195">
        <v>45320</v>
      </c>
      <c r="C1136" s="114">
        <f t="shared" si="8"/>
        <v>2024</v>
      </c>
      <c r="D1136" s="114">
        <f t="shared" si="9"/>
        <v>1</v>
      </c>
      <c r="E1136" s="114" t="s">
        <v>10</v>
      </c>
      <c r="F1136" s="114" t="s">
        <v>214</v>
      </c>
      <c r="G1136" s="114" t="s">
        <v>215</v>
      </c>
      <c r="H1136" s="114" t="s">
        <v>216</v>
      </c>
      <c r="I1136" s="114" t="s">
        <v>184</v>
      </c>
      <c r="J1136" s="186">
        <v>5</v>
      </c>
      <c r="K1136" s="186">
        <v>53</v>
      </c>
      <c r="L1136" s="186">
        <v>24</v>
      </c>
      <c r="M1136" s="186">
        <v>2.6</v>
      </c>
      <c r="N1136" s="186">
        <v>805</v>
      </c>
      <c r="O1136" s="186">
        <v>1290</v>
      </c>
      <c r="P1136" s="188">
        <v>0.8</v>
      </c>
      <c r="Q1136" s="189">
        <v>4027</v>
      </c>
      <c r="R1136" s="189">
        <v>6449</v>
      </c>
      <c r="S1136" s="184" t="s">
        <v>59</v>
      </c>
    </row>
    <row r="1137" spans="1:19">
      <c r="A1137" s="111">
        <v>1136</v>
      </c>
      <c r="B1137" s="195">
        <v>45321</v>
      </c>
      <c r="C1137" s="114">
        <f t="shared" si="8"/>
        <v>2024</v>
      </c>
      <c r="D1137" s="114">
        <f t="shared" si="9"/>
        <v>1</v>
      </c>
      <c r="E1137" s="114" t="s">
        <v>10</v>
      </c>
      <c r="F1137" s="114" t="s">
        <v>268</v>
      </c>
      <c r="G1137" s="114" t="s">
        <v>269</v>
      </c>
      <c r="H1137" s="114" t="s">
        <v>270</v>
      </c>
      <c r="I1137" s="114" t="s">
        <v>184</v>
      </c>
      <c r="J1137" s="186">
        <v>4</v>
      </c>
      <c r="K1137" s="186">
        <v>62</v>
      </c>
      <c r="L1137" s="186">
        <v>31</v>
      </c>
      <c r="M1137" s="186">
        <v>2.2000000000000002</v>
      </c>
      <c r="N1137" s="186">
        <v>848</v>
      </c>
      <c r="O1137" s="186">
        <v>1197</v>
      </c>
      <c r="P1137" s="188">
        <v>0.25</v>
      </c>
      <c r="Q1137" s="189">
        <v>3390</v>
      </c>
      <c r="R1137" s="189">
        <v>4787</v>
      </c>
      <c r="S1137" s="184" t="s">
        <v>59</v>
      </c>
    </row>
    <row r="1138" spans="1:19">
      <c r="A1138" s="111">
        <v>1137</v>
      </c>
      <c r="B1138" s="195">
        <v>45292</v>
      </c>
      <c r="C1138" s="114">
        <f t="shared" si="8"/>
        <v>2024</v>
      </c>
      <c r="D1138" s="114">
        <f t="shared" si="9"/>
        <v>1</v>
      </c>
      <c r="E1138" s="114" t="s">
        <v>9</v>
      </c>
      <c r="F1138" s="114" t="s">
        <v>217</v>
      </c>
      <c r="G1138" s="114" t="s">
        <v>218</v>
      </c>
      <c r="H1138" s="114" t="s">
        <v>219</v>
      </c>
      <c r="I1138" s="114" t="s">
        <v>184</v>
      </c>
      <c r="J1138" s="186">
        <v>5</v>
      </c>
      <c r="K1138" s="186">
        <v>81</v>
      </c>
      <c r="L1138" s="186">
        <v>33</v>
      </c>
      <c r="M1138" s="186">
        <v>2.7</v>
      </c>
      <c r="N1138" s="186">
        <v>1937</v>
      </c>
      <c r="O1138" s="186">
        <v>3047</v>
      </c>
      <c r="P1138" s="188">
        <v>0.4</v>
      </c>
      <c r="Q1138" s="189">
        <v>9684</v>
      </c>
      <c r="R1138" s="189">
        <v>15237</v>
      </c>
      <c r="S1138" s="184" t="s">
        <v>59</v>
      </c>
    </row>
    <row r="1139" spans="1:19">
      <c r="A1139" s="111">
        <v>1138</v>
      </c>
      <c r="B1139" s="195">
        <v>45293</v>
      </c>
      <c r="C1139" s="114">
        <f t="shared" si="8"/>
        <v>2024</v>
      </c>
      <c r="D1139" s="114">
        <f t="shared" si="9"/>
        <v>1</v>
      </c>
      <c r="E1139" s="114" t="s">
        <v>101</v>
      </c>
      <c r="F1139" s="114" t="s">
        <v>249</v>
      </c>
      <c r="G1139" s="114" t="s">
        <v>250</v>
      </c>
      <c r="H1139" s="114" t="s">
        <v>251</v>
      </c>
      <c r="I1139" s="114" t="s">
        <v>184</v>
      </c>
      <c r="J1139" s="186">
        <v>1</v>
      </c>
      <c r="K1139" s="186">
        <v>44</v>
      </c>
      <c r="L1139" s="186">
        <v>19</v>
      </c>
      <c r="M1139" s="186">
        <v>2.1</v>
      </c>
      <c r="N1139" s="186">
        <v>801</v>
      </c>
      <c r="O1139" s="186">
        <v>1222</v>
      </c>
      <c r="P1139" s="188">
        <v>0</v>
      </c>
      <c r="Q1139" s="186">
        <v>801</v>
      </c>
      <c r="R1139" s="186">
        <v>1222</v>
      </c>
      <c r="S1139" s="184" t="s">
        <v>59</v>
      </c>
    </row>
    <row r="1140" spans="1:19">
      <c r="A1140" s="111">
        <v>1139</v>
      </c>
      <c r="B1140" s="195">
        <v>45294</v>
      </c>
      <c r="C1140" s="114">
        <f t="shared" si="8"/>
        <v>2024</v>
      </c>
      <c r="D1140" s="114">
        <f t="shared" si="9"/>
        <v>1</v>
      </c>
      <c r="E1140" s="114" t="s">
        <v>11</v>
      </c>
      <c r="F1140" s="114" t="s">
        <v>220</v>
      </c>
      <c r="G1140" s="114" t="s">
        <v>221</v>
      </c>
      <c r="H1140" s="114" t="s">
        <v>222</v>
      </c>
      <c r="I1140" s="114" t="s">
        <v>184</v>
      </c>
      <c r="J1140" s="186">
        <v>2</v>
      </c>
      <c r="K1140" s="186">
        <v>48</v>
      </c>
      <c r="L1140" s="186">
        <v>22</v>
      </c>
      <c r="M1140" s="186">
        <v>2.4</v>
      </c>
      <c r="N1140" s="186">
        <v>741</v>
      </c>
      <c r="O1140" s="186">
        <v>1094</v>
      </c>
      <c r="P1140" s="188">
        <v>0</v>
      </c>
      <c r="Q1140" s="189">
        <v>1482</v>
      </c>
      <c r="R1140" s="189">
        <v>2187</v>
      </c>
      <c r="S1140" s="184" t="s">
        <v>59</v>
      </c>
    </row>
    <row r="1141" spans="1:19">
      <c r="A1141" s="111">
        <v>1140</v>
      </c>
      <c r="B1141" s="195">
        <v>45295</v>
      </c>
      <c r="C1141" s="114">
        <f t="shared" si="8"/>
        <v>2024</v>
      </c>
      <c r="D1141" s="114">
        <f t="shared" si="9"/>
        <v>1</v>
      </c>
      <c r="E1141" s="114" t="s">
        <v>11</v>
      </c>
      <c r="F1141" s="114" t="s">
        <v>249</v>
      </c>
      <c r="G1141" s="114" t="s">
        <v>250</v>
      </c>
      <c r="H1141" s="114" t="s">
        <v>251</v>
      </c>
      <c r="I1141" s="114" t="s">
        <v>184</v>
      </c>
      <c r="J1141" s="186">
        <v>1</v>
      </c>
      <c r="K1141" s="186">
        <v>41</v>
      </c>
      <c r="L1141" s="186">
        <v>19</v>
      </c>
      <c r="M1141" s="186">
        <v>2</v>
      </c>
      <c r="N1141" s="186">
        <v>772</v>
      </c>
      <c r="O1141" s="186">
        <v>1329</v>
      </c>
      <c r="P1141" s="188">
        <v>0</v>
      </c>
      <c r="Q1141" s="186">
        <v>772</v>
      </c>
      <c r="R1141" s="186">
        <v>1329</v>
      </c>
      <c r="S1141" s="184" t="s">
        <v>59</v>
      </c>
    </row>
    <row r="1142" spans="1:19">
      <c r="A1142" s="111">
        <v>1141</v>
      </c>
      <c r="B1142" s="195">
        <v>45296</v>
      </c>
      <c r="C1142" s="114">
        <f t="shared" si="8"/>
        <v>2024</v>
      </c>
      <c r="D1142" s="114">
        <f t="shared" si="9"/>
        <v>1</v>
      </c>
      <c r="E1142" s="114" t="s">
        <v>91</v>
      </c>
      <c r="F1142" s="114" t="s">
        <v>178</v>
      </c>
      <c r="G1142" s="114" t="s">
        <v>179</v>
      </c>
      <c r="H1142" s="114" t="s">
        <v>180</v>
      </c>
      <c r="I1142" s="114" t="s">
        <v>173</v>
      </c>
      <c r="J1142" s="186">
        <v>2</v>
      </c>
      <c r="K1142" s="186">
        <v>56</v>
      </c>
      <c r="L1142" s="186">
        <v>28</v>
      </c>
      <c r="M1142" s="186">
        <v>2.2000000000000002</v>
      </c>
      <c r="N1142" s="186">
        <v>863</v>
      </c>
      <c r="O1142" s="186">
        <v>1221</v>
      </c>
      <c r="P1142" s="188">
        <v>1</v>
      </c>
      <c r="Q1142" s="189">
        <v>1725</v>
      </c>
      <c r="R1142" s="189">
        <v>2441</v>
      </c>
      <c r="S1142" s="184" t="s">
        <v>59</v>
      </c>
    </row>
    <row r="1143" spans="1:19">
      <c r="A1143" s="111">
        <v>1142</v>
      </c>
      <c r="B1143" s="195">
        <v>45297</v>
      </c>
      <c r="C1143" s="114">
        <f t="shared" si="8"/>
        <v>2024</v>
      </c>
      <c r="D1143" s="114">
        <f t="shared" si="9"/>
        <v>1</v>
      </c>
      <c r="E1143" s="114" t="s">
        <v>91</v>
      </c>
      <c r="F1143" s="114" t="s">
        <v>289</v>
      </c>
      <c r="G1143" s="114" t="s">
        <v>240</v>
      </c>
      <c r="H1143" s="114" t="s">
        <v>241</v>
      </c>
      <c r="I1143" s="114" t="s">
        <v>184</v>
      </c>
      <c r="J1143" s="186">
        <v>1</v>
      </c>
      <c r="K1143" s="186">
        <v>61</v>
      </c>
      <c r="L1143" s="186">
        <v>20</v>
      </c>
      <c r="M1143" s="186">
        <v>3</v>
      </c>
      <c r="N1143" s="186">
        <v>1020</v>
      </c>
      <c r="O1143" s="186">
        <v>1526</v>
      </c>
      <c r="P1143" s="188">
        <v>0</v>
      </c>
      <c r="Q1143" s="189">
        <v>1020</v>
      </c>
      <c r="R1143" s="189">
        <v>1526</v>
      </c>
      <c r="S1143" s="184" t="s">
        <v>59</v>
      </c>
    </row>
    <row r="1144" spans="1:19">
      <c r="A1144" s="111">
        <v>1143</v>
      </c>
      <c r="B1144" s="195">
        <v>45298</v>
      </c>
      <c r="C1144" s="114">
        <f t="shared" si="8"/>
        <v>2024</v>
      </c>
      <c r="D1144" s="114">
        <f t="shared" si="9"/>
        <v>1</v>
      </c>
      <c r="E1144" s="114" t="s">
        <v>23</v>
      </c>
      <c r="F1144" s="114" t="s">
        <v>223</v>
      </c>
      <c r="G1144" s="114" t="s">
        <v>175</v>
      </c>
      <c r="H1144" s="114" t="s">
        <v>176</v>
      </c>
      <c r="I1144" s="114" t="s">
        <v>173</v>
      </c>
      <c r="J1144" s="186">
        <v>0</v>
      </c>
      <c r="K1144" s="186">
        <v>0</v>
      </c>
      <c r="L1144" s="186">
        <v>0</v>
      </c>
      <c r="M1144" s="186">
        <v>0</v>
      </c>
      <c r="N1144" s="186">
        <v>0</v>
      </c>
      <c r="O1144" s="186">
        <v>0</v>
      </c>
      <c r="P1144" s="188">
        <v>0</v>
      </c>
      <c r="Q1144" s="186">
        <v>0</v>
      </c>
      <c r="R1144" s="186">
        <v>0</v>
      </c>
      <c r="S1144" s="184" t="s">
        <v>59</v>
      </c>
    </row>
    <row r="1145" spans="1:19">
      <c r="A1145" s="111">
        <v>1144</v>
      </c>
      <c r="B1145" s="195">
        <v>45299</v>
      </c>
      <c r="C1145" s="114">
        <f t="shared" si="8"/>
        <v>2024</v>
      </c>
      <c r="D1145" s="114">
        <f t="shared" si="9"/>
        <v>1</v>
      </c>
      <c r="E1145" s="114" t="s">
        <v>23</v>
      </c>
      <c r="F1145" s="114" t="s">
        <v>224</v>
      </c>
      <c r="G1145" s="114" t="s">
        <v>107</v>
      </c>
      <c r="H1145" s="114" t="s">
        <v>107</v>
      </c>
      <c r="I1145" s="114" t="s">
        <v>107</v>
      </c>
      <c r="J1145" s="186">
        <v>0</v>
      </c>
      <c r="K1145" s="186">
        <v>0</v>
      </c>
      <c r="L1145" s="186">
        <v>0</v>
      </c>
      <c r="M1145" s="186">
        <v>0</v>
      </c>
      <c r="N1145" s="186">
        <v>0</v>
      </c>
      <c r="O1145" s="186">
        <v>0</v>
      </c>
      <c r="P1145" s="188">
        <v>0</v>
      </c>
      <c r="Q1145" s="186">
        <v>0</v>
      </c>
      <c r="R1145" s="186">
        <v>0</v>
      </c>
      <c r="S1145" s="184" t="s">
        <v>59</v>
      </c>
    </row>
    <row r="1146" spans="1:19">
      <c r="A1146" s="111">
        <v>1145</v>
      </c>
      <c r="B1146" s="195">
        <v>45300</v>
      </c>
      <c r="C1146" s="114">
        <f t="shared" si="8"/>
        <v>2024</v>
      </c>
      <c r="D1146" s="114">
        <f t="shared" si="9"/>
        <v>1</v>
      </c>
      <c r="E1146" s="114" t="s">
        <v>15</v>
      </c>
      <c r="F1146" s="114" t="s">
        <v>225</v>
      </c>
      <c r="G1146" s="114" t="s">
        <v>226</v>
      </c>
      <c r="H1146" s="114" t="s">
        <v>227</v>
      </c>
      <c r="I1146" s="114" t="s">
        <v>173</v>
      </c>
      <c r="J1146" s="186">
        <v>0</v>
      </c>
      <c r="K1146" s="186">
        <v>0</v>
      </c>
      <c r="L1146" s="186">
        <v>0</v>
      </c>
      <c r="M1146" s="186">
        <v>0</v>
      </c>
      <c r="N1146" s="186">
        <v>0</v>
      </c>
      <c r="O1146" s="186">
        <v>0</v>
      </c>
      <c r="P1146" s="188">
        <v>0</v>
      </c>
      <c r="Q1146" s="186">
        <v>0</v>
      </c>
      <c r="R1146" s="186">
        <v>0</v>
      </c>
      <c r="S1146" s="184" t="s">
        <v>59</v>
      </c>
    </row>
    <row r="1147" spans="1:19">
      <c r="A1147" s="111">
        <v>1146</v>
      </c>
      <c r="B1147" s="195">
        <v>45301</v>
      </c>
      <c r="C1147" s="114">
        <f t="shared" si="8"/>
        <v>2024</v>
      </c>
      <c r="D1147" s="114">
        <f t="shared" si="9"/>
        <v>1</v>
      </c>
      <c r="E1147" s="114" t="s">
        <v>15</v>
      </c>
      <c r="F1147" s="114" t="s">
        <v>220</v>
      </c>
      <c r="G1147" s="114" t="s">
        <v>221</v>
      </c>
      <c r="H1147" s="114" t="s">
        <v>222</v>
      </c>
      <c r="I1147" s="114" t="s">
        <v>184</v>
      </c>
      <c r="J1147" s="186">
        <v>2</v>
      </c>
      <c r="K1147" s="186">
        <v>41</v>
      </c>
      <c r="L1147" s="186">
        <v>27</v>
      </c>
      <c r="M1147" s="186">
        <v>3</v>
      </c>
      <c r="N1147" s="186">
        <v>579</v>
      </c>
      <c r="O1147" s="186">
        <v>812</v>
      </c>
      <c r="P1147" s="188">
        <v>0.5</v>
      </c>
      <c r="Q1147" s="186">
        <v>1157</v>
      </c>
      <c r="R1147" s="189">
        <v>1623</v>
      </c>
      <c r="S1147" s="184" t="s">
        <v>59</v>
      </c>
    </row>
    <row r="1148" spans="1:19">
      <c r="A1148" s="111">
        <v>1147</v>
      </c>
      <c r="B1148" s="195">
        <v>45302</v>
      </c>
      <c r="C1148" s="114">
        <f t="shared" si="8"/>
        <v>2024</v>
      </c>
      <c r="D1148" s="114">
        <f t="shared" si="9"/>
        <v>1</v>
      </c>
      <c r="E1148" s="114" t="s">
        <v>84</v>
      </c>
      <c r="F1148" s="114" t="s">
        <v>228</v>
      </c>
      <c r="G1148" s="114" t="s">
        <v>229</v>
      </c>
      <c r="H1148" s="114" t="s">
        <v>230</v>
      </c>
      <c r="I1148" s="114" t="s">
        <v>184</v>
      </c>
      <c r="J1148" s="186">
        <v>4</v>
      </c>
      <c r="K1148" s="186">
        <v>35</v>
      </c>
      <c r="L1148" s="186">
        <v>20</v>
      </c>
      <c r="M1148" s="186">
        <v>2</v>
      </c>
      <c r="N1148" s="186">
        <v>464</v>
      </c>
      <c r="O1148" s="186">
        <v>649</v>
      </c>
      <c r="P1148" s="188">
        <v>0.25</v>
      </c>
      <c r="Q1148" s="189">
        <v>1855</v>
      </c>
      <c r="R1148" s="189">
        <v>2594</v>
      </c>
      <c r="S1148" s="184" t="s">
        <v>59</v>
      </c>
    </row>
    <row r="1149" spans="1:19">
      <c r="A1149" s="111">
        <v>1148</v>
      </c>
      <c r="B1149" s="195">
        <v>45303</v>
      </c>
      <c r="C1149" s="114">
        <f t="shared" si="8"/>
        <v>2024</v>
      </c>
      <c r="D1149" s="114">
        <f t="shared" si="9"/>
        <v>1</v>
      </c>
      <c r="E1149" s="114" t="s">
        <v>84</v>
      </c>
      <c r="F1149" s="114" t="s">
        <v>231</v>
      </c>
      <c r="G1149" s="114" t="s">
        <v>232</v>
      </c>
      <c r="H1149" s="114" t="s">
        <v>233</v>
      </c>
      <c r="I1149" s="114" t="s">
        <v>184</v>
      </c>
      <c r="J1149" s="186">
        <v>0</v>
      </c>
      <c r="K1149" s="186">
        <v>0</v>
      </c>
      <c r="L1149" s="186">
        <v>0</v>
      </c>
      <c r="M1149" s="186">
        <v>0</v>
      </c>
      <c r="N1149" s="186">
        <v>0</v>
      </c>
      <c r="O1149" s="186">
        <v>0</v>
      </c>
      <c r="P1149" s="188">
        <v>0</v>
      </c>
      <c r="Q1149" s="186">
        <v>0</v>
      </c>
      <c r="R1149" s="186">
        <v>0</v>
      </c>
      <c r="S1149" s="184" t="s">
        <v>59</v>
      </c>
    </row>
    <row r="1150" spans="1:19">
      <c r="A1150" s="111">
        <v>1149</v>
      </c>
      <c r="B1150" s="195">
        <v>45304</v>
      </c>
      <c r="C1150" s="114">
        <f t="shared" si="8"/>
        <v>2024</v>
      </c>
      <c r="D1150" s="114">
        <f t="shared" si="9"/>
        <v>1</v>
      </c>
      <c r="E1150" s="114" t="s">
        <v>84</v>
      </c>
      <c r="F1150" s="114" t="s">
        <v>249</v>
      </c>
      <c r="G1150" s="114" t="s">
        <v>250</v>
      </c>
      <c r="H1150" s="114" t="s">
        <v>251</v>
      </c>
      <c r="I1150" s="114" t="s">
        <v>184</v>
      </c>
      <c r="J1150" s="186">
        <v>1</v>
      </c>
      <c r="K1150" s="186">
        <v>37</v>
      </c>
      <c r="L1150" s="186">
        <v>18</v>
      </c>
      <c r="M1150" s="186">
        <v>2</v>
      </c>
      <c r="N1150" s="186">
        <v>815</v>
      </c>
      <c r="O1150" s="186">
        <v>1306</v>
      </c>
      <c r="P1150" s="188">
        <v>0</v>
      </c>
      <c r="Q1150" s="186">
        <v>815</v>
      </c>
      <c r="R1150" s="189">
        <v>1306</v>
      </c>
      <c r="S1150" s="184" t="s">
        <v>59</v>
      </c>
    </row>
    <row r="1151" spans="1:19">
      <c r="A1151" s="111">
        <v>1150</v>
      </c>
      <c r="B1151" s="195">
        <v>45305</v>
      </c>
      <c r="C1151" s="114">
        <f t="shared" si="8"/>
        <v>2024</v>
      </c>
      <c r="D1151" s="114">
        <f t="shared" si="9"/>
        <v>1</v>
      </c>
      <c r="E1151" s="114" t="s">
        <v>22</v>
      </c>
      <c r="F1151" s="114" t="s">
        <v>174</v>
      </c>
      <c r="G1151" s="114" t="s">
        <v>175</v>
      </c>
      <c r="H1151" s="114" t="s">
        <v>176</v>
      </c>
      <c r="I1151" s="114" t="s">
        <v>173</v>
      </c>
      <c r="J1151" s="186">
        <v>5</v>
      </c>
      <c r="K1151" s="186">
        <v>70</v>
      </c>
      <c r="L1151" s="186">
        <v>28</v>
      </c>
      <c r="M1151" s="186">
        <v>2.6</v>
      </c>
      <c r="N1151" s="186">
        <v>1459</v>
      </c>
      <c r="O1151" s="186">
        <v>2174</v>
      </c>
      <c r="P1151" s="188">
        <v>0.4</v>
      </c>
      <c r="Q1151" s="189">
        <v>7295</v>
      </c>
      <c r="R1151" s="189">
        <v>10868</v>
      </c>
      <c r="S1151" s="184" t="s">
        <v>59</v>
      </c>
    </row>
    <row r="1152" spans="1:19">
      <c r="A1152" s="111">
        <v>1151</v>
      </c>
      <c r="B1152" s="195">
        <v>45306</v>
      </c>
      <c r="C1152" s="114">
        <f t="shared" si="8"/>
        <v>2024</v>
      </c>
      <c r="D1152" s="114">
        <f t="shared" si="9"/>
        <v>1</v>
      </c>
      <c r="E1152" s="114" t="s">
        <v>22</v>
      </c>
      <c r="F1152" s="114" t="s">
        <v>177</v>
      </c>
      <c r="G1152" s="114" t="s">
        <v>175</v>
      </c>
      <c r="H1152" s="114" t="s">
        <v>176</v>
      </c>
      <c r="I1152" s="114" t="s">
        <v>173</v>
      </c>
      <c r="J1152" s="186">
        <v>4</v>
      </c>
      <c r="K1152" s="186">
        <v>74</v>
      </c>
      <c r="L1152" s="186">
        <v>35</v>
      </c>
      <c r="M1152" s="186">
        <v>2</v>
      </c>
      <c r="N1152" s="186">
        <v>1234</v>
      </c>
      <c r="O1152" s="186">
        <v>1795</v>
      </c>
      <c r="P1152" s="188">
        <v>0.75</v>
      </c>
      <c r="Q1152" s="189">
        <v>4936</v>
      </c>
      <c r="R1152" s="189">
        <v>7180</v>
      </c>
      <c r="S1152" s="184" t="s">
        <v>59</v>
      </c>
    </row>
    <row r="1153" spans="1:19">
      <c r="A1153" s="111">
        <v>1152</v>
      </c>
      <c r="B1153" s="195">
        <v>45307</v>
      </c>
      <c r="C1153" s="114">
        <f t="shared" si="8"/>
        <v>2024</v>
      </c>
      <c r="D1153" s="114">
        <f t="shared" si="9"/>
        <v>1</v>
      </c>
      <c r="E1153" s="114" t="s">
        <v>22</v>
      </c>
      <c r="F1153" s="114" t="s">
        <v>223</v>
      </c>
      <c r="G1153" s="114" t="s">
        <v>175</v>
      </c>
      <c r="H1153" s="114" t="s">
        <v>176</v>
      </c>
      <c r="I1153" s="114" t="s">
        <v>173</v>
      </c>
      <c r="J1153" s="186">
        <v>0</v>
      </c>
      <c r="K1153" s="186">
        <v>0</v>
      </c>
      <c r="L1153" s="186">
        <v>0</v>
      </c>
      <c r="M1153" s="186">
        <v>0</v>
      </c>
      <c r="N1153" s="186">
        <v>0</v>
      </c>
      <c r="O1153" s="186">
        <v>0</v>
      </c>
      <c r="P1153" s="188">
        <v>0</v>
      </c>
      <c r="Q1153" s="186">
        <v>0</v>
      </c>
      <c r="R1153" s="189">
        <v>0</v>
      </c>
      <c r="S1153" s="184" t="s">
        <v>59</v>
      </c>
    </row>
    <row r="1154" spans="1:19">
      <c r="A1154" s="111">
        <v>1153</v>
      </c>
      <c r="B1154" s="195">
        <v>45308</v>
      </c>
      <c r="C1154" s="114">
        <f t="shared" si="8"/>
        <v>2024</v>
      </c>
      <c r="D1154" s="114">
        <f t="shared" si="9"/>
        <v>1</v>
      </c>
      <c r="E1154" s="114" t="s">
        <v>22</v>
      </c>
      <c r="F1154" s="114" t="s">
        <v>290</v>
      </c>
      <c r="G1154" s="114" t="s">
        <v>199</v>
      </c>
      <c r="H1154" s="114" t="s">
        <v>199</v>
      </c>
      <c r="I1154" s="114" t="s">
        <v>200</v>
      </c>
      <c r="J1154" s="186">
        <v>1</v>
      </c>
      <c r="K1154" s="186">
        <v>60</v>
      </c>
      <c r="L1154" s="186">
        <v>28</v>
      </c>
      <c r="M1154" s="186">
        <v>3</v>
      </c>
      <c r="N1154" s="186">
        <v>790</v>
      </c>
      <c r="O1154" s="186">
        <v>1448</v>
      </c>
      <c r="P1154" s="188">
        <v>1</v>
      </c>
      <c r="Q1154" s="186">
        <v>790</v>
      </c>
      <c r="R1154" s="189">
        <v>1448</v>
      </c>
      <c r="S1154" s="184" t="s">
        <v>59</v>
      </c>
    </row>
    <row r="1155" spans="1:19">
      <c r="A1155" s="111">
        <v>1154</v>
      </c>
      <c r="B1155" s="195">
        <v>45309</v>
      </c>
      <c r="C1155" s="114">
        <f t="shared" si="8"/>
        <v>2024</v>
      </c>
      <c r="D1155" s="114">
        <f t="shared" si="9"/>
        <v>1</v>
      </c>
      <c r="E1155" s="114" t="s">
        <v>32</v>
      </c>
      <c r="F1155" s="114" t="s">
        <v>249</v>
      </c>
      <c r="G1155" s="114" t="s">
        <v>250</v>
      </c>
      <c r="H1155" s="114" t="s">
        <v>251</v>
      </c>
      <c r="I1155" s="114" t="s">
        <v>184</v>
      </c>
      <c r="J1155" s="186">
        <v>1</v>
      </c>
      <c r="K1155" s="186">
        <v>32</v>
      </c>
      <c r="L1155" s="186">
        <v>16</v>
      </c>
      <c r="M1155" s="186">
        <v>2.2999999999999998</v>
      </c>
      <c r="N1155" s="186">
        <v>844</v>
      </c>
      <c r="O1155" s="186">
        <v>1222</v>
      </c>
      <c r="P1155" s="188">
        <v>0</v>
      </c>
      <c r="Q1155" s="186">
        <v>844</v>
      </c>
      <c r="R1155" s="186">
        <v>1222</v>
      </c>
      <c r="S1155" s="184" t="s">
        <v>59</v>
      </c>
    </row>
    <row r="1156" spans="1:19">
      <c r="A1156" s="111">
        <v>1155</v>
      </c>
      <c r="B1156" s="195">
        <v>45310</v>
      </c>
      <c r="C1156" s="114">
        <f t="shared" si="8"/>
        <v>2024</v>
      </c>
      <c r="D1156" s="114">
        <f t="shared" si="9"/>
        <v>1</v>
      </c>
      <c r="E1156" s="114" t="s">
        <v>12</v>
      </c>
      <c r="F1156" s="114" t="s">
        <v>220</v>
      </c>
      <c r="G1156" s="114" t="s">
        <v>221</v>
      </c>
      <c r="H1156" s="114" t="s">
        <v>222</v>
      </c>
      <c r="I1156" s="114" t="s">
        <v>184</v>
      </c>
      <c r="J1156" s="186">
        <v>0</v>
      </c>
      <c r="K1156" s="186">
        <v>0</v>
      </c>
      <c r="L1156" s="186">
        <v>0</v>
      </c>
      <c r="M1156" s="186">
        <v>0</v>
      </c>
      <c r="N1156" s="186">
        <v>0</v>
      </c>
      <c r="O1156" s="186">
        <v>0</v>
      </c>
      <c r="P1156" s="188">
        <v>0</v>
      </c>
      <c r="Q1156" s="186">
        <v>0</v>
      </c>
      <c r="R1156" s="186">
        <v>0</v>
      </c>
      <c r="S1156" s="184" t="s">
        <v>59</v>
      </c>
    </row>
    <row r="1157" spans="1:19">
      <c r="A1157" s="111">
        <v>1156</v>
      </c>
      <c r="B1157" s="195">
        <v>45311</v>
      </c>
      <c r="C1157" s="114">
        <f t="shared" si="8"/>
        <v>2024</v>
      </c>
      <c r="D1157" s="114">
        <f t="shared" si="9"/>
        <v>1</v>
      </c>
      <c r="E1157" s="114" t="s">
        <v>12</v>
      </c>
      <c r="F1157" s="114" t="s">
        <v>234</v>
      </c>
      <c r="G1157" s="114" t="s">
        <v>235</v>
      </c>
      <c r="H1157" s="114" t="s">
        <v>236</v>
      </c>
      <c r="I1157" s="114" t="s">
        <v>184</v>
      </c>
      <c r="J1157" s="186">
        <v>4</v>
      </c>
      <c r="K1157" s="186">
        <v>50</v>
      </c>
      <c r="L1157" s="186">
        <v>25</v>
      </c>
      <c r="M1157" s="186">
        <v>2.4</v>
      </c>
      <c r="N1157" s="186">
        <v>907</v>
      </c>
      <c r="O1157" s="186">
        <v>1395</v>
      </c>
      <c r="P1157" s="188">
        <v>0.25</v>
      </c>
      <c r="Q1157" s="189">
        <v>3628</v>
      </c>
      <c r="R1157" s="189">
        <v>5580</v>
      </c>
      <c r="S1157" s="184" t="s">
        <v>59</v>
      </c>
    </row>
    <row r="1158" spans="1:19">
      <c r="A1158" s="111">
        <v>1157</v>
      </c>
      <c r="B1158" s="195">
        <v>45312</v>
      </c>
      <c r="C1158" s="114">
        <f t="shared" si="8"/>
        <v>2024</v>
      </c>
      <c r="D1158" s="114">
        <f t="shared" si="9"/>
        <v>1</v>
      </c>
      <c r="E1158" s="114" t="s">
        <v>12</v>
      </c>
      <c r="F1158" s="114" t="s">
        <v>237</v>
      </c>
      <c r="G1158" s="114" t="s">
        <v>199</v>
      </c>
      <c r="H1158" s="114" t="s">
        <v>199</v>
      </c>
      <c r="I1158" s="114" t="s">
        <v>200</v>
      </c>
      <c r="J1158" s="186">
        <v>0</v>
      </c>
      <c r="K1158" s="186">
        <v>0</v>
      </c>
      <c r="L1158" s="186">
        <v>0</v>
      </c>
      <c r="M1158" s="186">
        <v>0</v>
      </c>
      <c r="N1158" s="186">
        <v>0</v>
      </c>
      <c r="O1158" s="186">
        <v>0</v>
      </c>
      <c r="P1158" s="188">
        <v>0</v>
      </c>
      <c r="Q1158" s="186">
        <v>0</v>
      </c>
      <c r="R1158" s="186">
        <v>0</v>
      </c>
      <c r="S1158" s="184" t="s">
        <v>59</v>
      </c>
    </row>
    <row r="1159" spans="1:19">
      <c r="A1159" s="111">
        <v>1158</v>
      </c>
      <c r="B1159" s="195">
        <v>45313</v>
      </c>
      <c r="C1159" s="114">
        <f t="shared" si="8"/>
        <v>2024</v>
      </c>
      <c r="D1159" s="114">
        <f t="shared" si="9"/>
        <v>1</v>
      </c>
      <c r="E1159" s="114" t="s">
        <v>12</v>
      </c>
      <c r="F1159" s="114" t="s">
        <v>252</v>
      </c>
      <c r="G1159" s="114" t="s">
        <v>253</v>
      </c>
      <c r="H1159" s="114" t="s">
        <v>254</v>
      </c>
      <c r="I1159" s="114" t="s">
        <v>184</v>
      </c>
      <c r="J1159" s="186">
        <v>0</v>
      </c>
      <c r="K1159" s="186">
        <v>0</v>
      </c>
      <c r="L1159" s="186">
        <v>0</v>
      </c>
      <c r="M1159" s="186">
        <v>0</v>
      </c>
      <c r="N1159" s="186">
        <v>0</v>
      </c>
      <c r="O1159" s="186">
        <v>0</v>
      </c>
      <c r="P1159" s="188">
        <v>0</v>
      </c>
      <c r="Q1159" s="186">
        <v>0</v>
      </c>
      <c r="R1159" s="186">
        <v>0</v>
      </c>
      <c r="S1159" s="184" t="s">
        <v>59</v>
      </c>
    </row>
    <row r="1160" spans="1:19">
      <c r="A1160" s="111">
        <v>1159</v>
      </c>
      <c r="B1160" s="195">
        <v>45314</v>
      </c>
      <c r="C1160" s="114">
        <f t="shared" si="8"/>
        <v>2024</v>
      </c>
      <c r="D1160" s="114">
        <f t="shared" si="9"/>
        <v>1</v>
      </c>
      <c r="E1160" s="114" t="s">
        <v>26</v>
      </c>
      <c r="F1160" s="114" t="s">
        <v>238</v>
      </c>
      <c r="G1160" s="114" t="s">
        <v>175</v>
      </c>
      <c r="H1160" s="114" t="s">
        <v>176</v>
      </c>
      <c r="I1160" s="114" t="s">
        <v>173</v>
      </c>
      <c r="J1160" s="186">
        <v>0</v>
      </c>
      <c r="K1160" s="186">
        <v>0</v>
      </c>
      <c r="L1160" s="186">
        <v>0</v>
      </c>
      <c r="M1160" s="186">
        <v>0</v>
      </c>
      <c r="N1160" s="186">
        <v>0</v>
      </c>
      <c r="O1160" s="186">
        <v>0</v>
      </c>
      <c r="P1160" s="188">
        <v>0</v>
      </c>
      <c r="Q1160" s="186">
        <v>0</v>
      </c>
      <c r="R1160" s="186">
        <v>0</v>
      </c>
      <c r="S1160" s="184" t="s">
        <v>59</v>
      </c>
    </row>
    <row r="1161" spans="1:19">
      <c r="A1161" s="111">
        <v>1160</v>
      </c>
      <c r="B1161" s="195">
        <v>45315</v>
      </c>
      <c r="C1161" s="114">
        <f t="shared" si="8"/>
        <v>2024</v>
      </c>
      <c r="D1161" s="114">
        <f t="shared" si="9"/>
        <v>1</v>
      </c>
      <c r="E1161" s="114" t="s">
        <v>19</v>
      </c>
      <c r="F1161" s="114" t="s">
        <v>178</v>
      </c>
      <c r="G1161" s="114" t="s">
        <v>179</v>
      </c>
      <c r="H1161" s="114" t="s">
        <v>180</v>
      </c>
      <c r="I1161" s="114" t="s">
        <v>173</v>
      </c>
      <c r="J1161" s="186">
        <v>1</v>
      </c>
      <c r="K1161" s="186">
        <v>46</v>
      </c>
      <c r="L1161" s="186">
        <v>19</v>
      </c>
      <c r="M1161" s="186">
        <v>2.7</v>
      </c>
      <c r="N1161" s="186">
        <v>821</v>
      </c>
      <c r="O1161" s="186">
        <v>1157</v>
      </c>
      <c r="P1161" s="188">
        <v>1</v>
      </c>
      <c r="Q1161" s="186">
        <v>821</v>
      </c>
      <c r="R1161" s="189">
        <v>1157</v>
      </c>
      <c r="S1161" s="184" t="s">
        <v>59</v>
      </c>
    </row>
    <row r="1162" spans="1:19">
      <c r="A1162" s="111">
        <v>1161</v>
      </c>
      <c r="B1162" s="195">
        <v>45323</v>
      </c>
      <c r="C1162" s="114">
        <f t="shared" si="8"/>
        <v>2024</v>
      </c>
      <c r="D1162" s="114">
        <f t="shared" si="9"/>
        <v>2</v>
      </c>
      <c r="E1162" s="114" t="s">
        <v>24</v>
      </c>
      <c r="F1162" s="114" t="s">
        <v>259</v>
      </c>
      <c r="G1162" s="114" t="s">
        <v>260</v>
      </c>
      <c r="H1162" s="114" t="s">
        <v>261</v>
      </c>
      <c r="I1162" s="114" t="s">
        <v>184</v>
      </c>
      <c r="J1162" s="114">
        <v>1</v>
      </c>
      <c r="K1162" s="114">
        <v>10</v>
      </c>
      <c r="L1162" s="114">
        <v>75</v>
      </c>
      <c r="M1162" s="114">
        <v>0.3</v>
      </c>
      <c r="N1162" s="114">
        <v>39</v>
      </c>
      <c r="O1162" s="114">
        <v>59</v>
      </c>
      <c r="P1162" s="131">
        <v>0</v>
      </c>
      <c r="Q1162" s="114">
        <v>39</v>
      </c>
      <c r="R1162" s="189">
        <v>59</v>
      </c>
      <c r="S1162" s="184" t="s">
        <v>59</v>
      </c>
    </row>
    <row r="1163" spans="1:19">
      <c r="A1163" s="111">
        <v>1162</v>
      </c>
      <c r="B1163" s="195">
        <v>45324</v>
      </c>
      <c r="C1163" s="114">
        <f t="shared" si="8"/>
        <v>2024</v>
      </c>
      <c r="D1163" s="114">
        <f t="shared" si="9"/>
        <v>2</v>
      </c>
      <c r="E1163" s="114" t="s">
        <v>24</v>
      </c>
      <c r="F1163" s="114" t="s">
        <v>262</v>
      </c>
      <c r="G1163" s="114" t="s">
        <v>263</v>
      </c>
      <c r="H1163" s="114" t="s">
        <v>264</v>
      </c>
      <c r="I1163" s="114" t="s">
        <v>184</v>
      </c>
      <c r="J1163" s="114">
        <v>2</v>
      </c>
      <c r="K1163" s="114">
        <v>24</v>
      </c>
      <c r="L1163" s="114">
        <v>28</v>
      </c>
      <c r="M1163" s="114">
        <v>1.4</v>
      </c>
      <c r="N1163" s="114">
        <v>115</v>
      </c>
      <c r="O1163" s="114">
        <v>205</v>
      </c>
      <c r="P1163" s="131">
        <v>1</v>
      </c>
      <c r="Q1163" s="114">
        <v>230</v>
      </c>
      <c r="R1163" s="189">
        <v>410</v>
      </c>
      <c r="S1163" s="184" t="s">
        <v>59</v>
      </c>
    </row>
    <row r="1164" spans="1:19">
      <c r="A1164" s="111">
        <v>1163</v>
      </c>
      <c r="B1164" s="195">
        <v>45325</v>
      </c>
      <c r="C1164" s="114">
        <f t="shared" si="8"/>
        <v>2024</v>
      </c>
      <c r="D1164" s="114">
        <f t="shared" si="9"/>
        <v>2</v>
      </c>
      <c r="E1164" s="114" t="s">
        <v>28</v>
      </c>
      <c r="F1164" s="114" t="s">
        <v>265</v>
      </c>
      <c r="G1164" s="114" t="s">
        <v>266</v>
      </c>
      <c r="H1164" s="114" t="s">
        <v>267</v>
      </c>
      <c r="I1164" s="114" t="s">
        <v>184</v>
      </c>
      <c r="J1164" s="114">
        <v>1</v>
      </c>
      <c r="K1164" s="114">
        <v>7</v>
      </c>
      <c r="L1164" s="114">
        <v>18</v>
      </c>
      <c r="M1164" s="114">
        <v>0.9</v>
      </c>
      <c r="N1164" s="114">
        <v>51</v>
      </c>
      <c r="O1164" s="114">
        <v>93</v>
      </c>
      <c r="P1164" s="131">
        <v>1</v>
      </c>
      <c r="Q1164" s="114">
        <v>51</v>
      </c>
      <c r="R1164" s="186">
        <v>93</v>
      </c>
      <c r="S1164" s="184" t="s">
        <v>59</v>
      </c>
    </row>
    <row r="1165" spans="1:19">
      <c r="A1165" s="111">
        <v>1164</v>
      </c>
      <c r="B1165" s="195">
        <v>45326</v>
      </c>
      <c r="C1165" s="114">
        <f t="shared" si="8"/>
        <v>2024</v>
      </c>
      <c r="D1165" s="114">
        <f t="shared" si="9"/>
        <v>2</v>
      </c>
      <c r="E1165" s="114" t="s">
        <v>7</v>
      </c>
      <c r="F1165" s="114" t="s">
        <v>239</v>
      </c>
      <c r="G1165" s="114" t="s">
        <v>240</v>
      </c>
      <c r="H1165" s="114" t="s">
        <v>241</v>
      </c>
      <c r="I1165" s="114" t="s">
        <v>184</v>
      </c>
      <c r="J1165" s="114">
        <v>2</v>
      </c>
      <c r="K1165" s="114">
        <v>65</v>
      </c>
      <c r="L1165" s="114">
        <v>36</v>
      </c>
      <c r="M1165" s="114">
        <v>2.1</v>
      </c>
      <c r="N1165" s="114">
        <v>890</v>
      </c>
      <c r="O1165" s="114">
        <v>1281</v>
      </c>
      <c r="P1165" s="131">
        <v>0</v>
      </c>
      <c r="Q1165" s="114">
        <v>1779</v>
      </c>
      <c r="R1165" s="189">
        <v>2561</v>
      </c>
      <c r="S1165" s="184" t="s">
        <v>59</v>
      </c>
    </row>
    <row r="1166" spans="1:19">
      <c r="A1166" s="111">
        <v>1165</v>
      </c>
      <c r="B1166" s="195">
        <v>45327</v>
      </c>
      <c r="C1166" s="114">
        <f t="shared" si="8"/>
        <v>2024</v>
      </c>
      <c r="D1166" s="114">
        <f t="shared" si="9"/>
        <v>2</v>
      </c>
      <c r="E1166" s="114" t="s">
        <v>7</v>
      </c>
      <c r="F1166" s="114" t="s">
        <v>220</v>
      </c>
      <c r="G1166" s="114" t="s">
        <v>221</v>
      </c>
      <c r="H1166" s="114" t="s">
        <v>222</v>
      </c>
      <c r="I1166" s="114" t="s">
        <v>184</v>
      </c>
      <c r="J1166" s="114">
        <v>2</v>
      </c>
      <c r="K1166" s="114">
        <v>41</v>
      </c>
      <c r="L1166" s="114">
        <v>21</v>
      </c>
      <c r="M1166" s="114">
        <v>2.2000000000000002</v>
      </c>
      <c r="N1166" s="114">
        <v>635</v>
      </c>
      <c r="O1166" s="114">
        <v>932</v>
      </c>
      <c r="P1166" s="131">
        <v>1</v>
      </c>
      <c r="Q1166" s="114">
        <v>1270</v>
      </c>
      <c r="R1166" s="189">
        <v>1863</v>
      </c>
      <c r="S1166" s="184" t="s">
        <v>59</v>
      </c>
    </row>
    <row r="1167" spans="1:19">
      <c r="A1167" s="111">
        <v>1166</v>
      </c>
      <c r="B1167" s="195">
        <v>45328</v>
      </c>
      <c r="C1167" s="114">
        <f t="shared" si="8"/>
        <v>2024</v>
      </c>
      <c r="D1167" s="114">
        <f t="shared" si="9"/>
        <v>2</v>
      </c>
      <c r="E1167" s="114" t="s">
        <v>7</v>
      </c>
      <c r="F1167" s="114" t="s">
        <v>242</v>
      </c>
      <c r="G1167" s="114" t="s">
        <v>243</v>
      </c>
      <c r="H1167" s="114" t="s">
        <v>244</v>
      </c>
      <c r="I1167" s="114" t="s">
        <v>184</v>
      </c>
      <c r="J1167" s="114">
        <v>4</v>
      </c>
      <c r="K1167" s="114">
        <v>70</v>
      </c>
      <c r="L1167" s="114">
        <v>28</v>
      </c>
      <c r="M1167" s="114">
        <v>2.6</v>
      </c>
      <c r="N1167" s="114">
        <v>1594</v>
      </c>
      <c r="O1167" s="114">
        <v>2686</v>
      </c>
      <c r="P1167" s="131">
        <v>0</v>
      </c>
      <c r="Q1167" s="114">
        <v>6375</v>
      </c>
      <c r="R1167" s="189">
        <v>10743</v>
      </c>
      <c r="S1167" s="184" t="s">
        <v>59</v>
      </c>
    </row>
    <row r="1168" spans="1:19">
      <c r="A1168" s="111">
        <v>1167</v>
      </c>
      <c r="B1168" s="195">
        <v>45329</v>
      </c>
      <c r="C1168" s="114">
        <f t="shared" si="8"/>
        <v>2024</v>
      </c>
      <c r="D1168" s="114">
        <f t="shared" si="9"/>
        <v>2</v>
      </c>
      <c r="E1168" s="114" t="s">
        <v>7</v>
      </c>
      <c r="F1168" s="114" t="s">
        <v>255</v>
      </c>
      <c r="G1168" s="114" t="s">
        <v>256</v>
      </c>
      <c r="H1168" s="114" t="s">
        <v>257</v>
      </c>
      <c r="I1168" s="114" t="s">
        <v>173</v>
      </c>
      <c r="J1168" s="114">
        <v>2</v>
      </c>
      <c r="K1168" s="114">
        <v>90</v>
      </c>
      <c r="L1168" s="114">
        <v>31</v>
      </c>
      <c r="M1168" s="114">
        <v>3</v>
      </c>
      <c r="N1168" s="114">
        <v>2217</v>
      </c>
      <c r="O1168" s="114">
        <v>3322</v>
      </c>
      <c r="P1168" s="131">
        <v>0</v>
      </c>
      <c r="Q1168" s="114">
        <v>4433</v>
      </c>
      <c r="R1168" s="189">
        <v>6643</v>
      </c>
      <c r="S1168" s="184" t="s">
        <v>59</v>
      </c>
    </row>
    <row r="1169" spans="1:19">
      <c r="A1169" s="111">
        <v>1168</v>
      </c>
      <c r="B1169" s="195">
        <v>45330</v>
      </c>
      <c r="C1169" s="114">
        <f t="shared" si="8"/>
        <v>2024</v>
      </c>
      <c r="D1169" s="114">
        <f t="shared" si="9"/>
        <v>2</v>
      </c>
      <c r="E1169" s="114" t="s">
        <v>7</v>
      </c>
      <c r="F1169" s="114" t="s">
        <v>258</v>
      </c>
      <c r="G1169" s="114" t="s">
        <v>256</v>
      </c>
      <c r="H1169" s="114" t="s">
        <v>257</v>
      </c>
      <c r="I1169" s="114" t="s">
        <v>200</v>
      </c>
      <c r="J1169" s="114">
        <v>0</v>
      </c>
      <c r="K1169" s="114">
        <v>0</v>
      </c>
      <c r="L1169" s="114">
        <v>0</v>
      </c>
      <c r="M1169" s="114">
        <v>0</v>
      </c>
      <c r="N1169" s="114">
        <v>0</v>
      </c>
      <c r="O1169" s="114">
        <v>0</v>
      </c>
      <c r="P1169" s="131">
        <v>0</v>
      </c>
      <c r="Q1169" s="114">
        <v>0</v>
      </c>
      <c r="R1169" s="189">
        <v>0</v>
      </c>
      <c r="S1169" s="184" t="s">
        <v>59</v>
      </c>
    </row>
    <row r="1170" spans="1:19">
      <c r="A1170" s="111">
        <v>1169</v>
      </c>
      <c r="B1170" s="195">
        <v>45331</v>
      </c>
      <c r="C1170" s="114">
        <f t="shared" si="8"/>
        <v>2024</v>
      </c>
      <c r="D1170" s="114">
        <f t="shared" si="9"/>
        <v>2</v>
      </c>
      <c r="E1170" s="114" t="s">
        <v>79</v>
      </c>
      <c r="F1170" s="114" t="s">
        <v>170</v>
      </c>
      <c r="G1170" s="114" t="s">
        <v>171</v>
      </c>
      <c r="H1170" s="114" t="s">
        <v>172</v>
      </c>
      <c r="I1170" s="114" t="s">
        <v>173</v>
      </c>
      <c r="J1170" s="114">
        <v>0</v>
      </c>
      <c r="K1170" s="114">
        <v>0</v>
      </c>
      <c r="L1170" s="114">
        <v>0</v>
      </c>
      <c r="M1170" s="114">
        <v>0</v>
      </c>
      <c r="N1170" s="114">
        <v>0</v>
      </c>
      <c r="O1170" s="114">
        <v>0</v>
      </c>
      <c r="P1170" s="131">
        <v>0</v>
      </c>
      <c r="Q1170" s="114">
        <v>0</v>
      </c>
      <c r="R1170" s="186">
        <v>0</v>
      </c>
      <c r="S1170" s="184" t="s">
        <v>59</v>
      </c>
    </row>
    <row r="1171" spans="1:19">
      <c r="A1171" s="111">
        <v>1170</v>
      </c>
      <c r="B1171" s="195">
        <v>45332</v>
      </c>
      <c r="C1171" s="114">
        <f t="shared" si="8"/>
        <v>2024</v>
      </c>
      <c r="D1171" s="114">
        <f t="shared" si="9"/>
        <v>2</v>
      </c>
      <c r="E1171" s="114" t="s">
        <v>79</v>
      </c>
      <c r="F1171" s="114" t="s">
        <v>174</v>
      </c>
      <c r="G1171" s="114" t="s">
        <v>175</v>
      </c>
      <c r="H1171" s="114" t="s">
        <v>176</v>
      </c>
      <c r="I1171" s="114" t="s">
        <v>173</v>
      </c>
      <c r="J1171" s="114">
        <v>0</v>
      </c>
      <c r="K1171" s="114">
        <v>0</v>
      </c>
      <c r="L1171" s="114">
        <v>0</v>
      </c>
      <c r="M1171" s="114">
        <v>0</v>
      </c>
      <c r="N1171" s="114">
        <v>0</v>
      </c>
      <c r="O1171" s="114">
        <v>0</v>
      </c>
      <c r="P1171" s="131">
        <v>0</v>
      </c>
      <c r="Q1171" s="114">
        <v>0</v>
      </c>
      <c r="R1171" s="186">
        <v>0</v>
      </c>
      <c r="S1171" s="184" t="s">
        <v>59</v>
      </c>
    </row>
    <row r="1172" spans="1:19">
      <c r="A1172" s="111">
        <v>1171</v>
      </c>
      <c r="B1172" s="195">
        <v>45333</v>
      </c>
      <c r="C1172" s="114">
        <f t="shared" si="8"/>
        <v>2024</v>
      </c>
      <c r="D1172" s="114">
        <f t="shared" si="9"/>
        <v>2</v>
      </c>
      <c r="E1172" s="114" t="s">
        <v>79</v>
      </c>
      <c r="F1172" s="114" t="s">
        <v>177</v>
      </c>
      <c r="G1172" s="114" t="s">
        <v>175</v>
      </c>
      <c r="H1172" s="114" t="s">
        <v>176</v>
      </c>
      <c r="I1172" s="114" t="s">
        <v>173</v>
      </c>
      <c r="J1172" s="114">
        <v>0</v>
      </c>
      <c r="K1172" s="114">
        <v>0</v>
      </c>
      <c r="L1172" s="114">
        <v>0</v>
      </c>
      <c r="M1172" s="114">
        <v>0</v>
      </c>
      <c r="N1172" s="114">
        <v>0</v>
      </c>
      <c r="O1172" s="114">
        <v>0</v>
      </c>
      <c r="P1172" s="131">
        <v>0</v>
      </c>
      <c r="Q1172" s="114">
        <v>0</v>
      </c>
      <c r="R1172" s="188">
        <v>0</v>
      </c>
      <c r="S1172" s="184" t="s">
        <v>59</v>
      </c>
    </row>
    <row r="1173" spans="1:19">
      <c r="A1173" s="111">
        <v>1172</v>
      </c>
      <c r="B1173" s="195">
        <v>45334</v>
      </c>
      <c r="C1173" s="114">
        <f t="shared" si="8"/>
        <v>2024</v>
      </c>
      <c r="D1173" s="114">
        <f t="shared" si="9"/>
        <v>2</v>
      </c>
      <c r="E1173" s="114" t="s">
        <v>79</v>
      </c>
      <c r="F1173" s="114" t="s">
        <v>242</v>
      </c>
      <c r="G1173" s="114" t="s">
        <v>243</v>
      </c>
      <c r="H1173" s="114" t="s">
        <v>244</v>
      </c>
      <c r="I1173" s="114" t="s">
        <v>184</v>
      </c>
      <c r="J1173" s="114">
        <v>1</v>
      </c>
      <c r="K1173" s="114">
        <v>49</v>
      </c>
      <c r="L1173" s="114">
        <v>22</v>
      </c>
      <c r="M1173" s="114">
        <v>2.2999999999999998</v>
      </c>
      <c r="N1173" s="114">
        <v>971</v>
      </c>
      <c r="O1173" s="114">
        <v>1491</v>
      </c>
      <c r="P1173" s="131">
        <v>0</v>
      </c>
      <c r="Q1173" s="114">
        <v>971</v>
      </c>
      <c r="R1173" s="186">
        <v>1491</v>
      </c>
      <c r="S1173" s="184" t="s">
        <v>59</v>
      </c>
    </row>
    <row r="1174" spans="1:19">
      <c r="A1174" s="111">
        <v>1173</v>
      </c>
      <c r="B1174" s="195">
        <v>45335</v>
      </c>
      <c r="C1174" s="114">
        <f t="shared" si="8"/>
        <v>2024</v>
      </c>
      <c r="D1174" s="114">
        <f t="shared" si="9"/>
        <v>2</v>
      </c>
      <c r="E1174" s="114" t="s">
        <v>79</v>
      </c>
      <c r="F1174" s="114" t="s">
        <v>255</v>
      </c>
      <c r="G1174" s="114" t="s">
        <v>256</v>
      </c>
      <c r="H1174" s="114" t="s">
        <v>257</v>
      </c>
      <c r="I1174" s="114" t="s">
        <v>173</v>
      </c>
      <c r="J1174" s="114">
        <v>2</v>
      </c>
      <c r="K1174" s="114">
        <v>77</v>
      </c>
      <c r="L1174" s="114">
        <v>25</v>
      </c>
      <c r="M1174" s="114">
        <v>3.1</v>
      </c>
      <c r="N1174" s="114">
        <v>2202</v>
      </c>
      <c r="O1174" s="114">
        <v>3351</v>
      </c>
      <c r="P1174" s="131">
        <v>1</v>
      </c>
      <c r="Q1174" s="114">
        <v>4404</v>
      </c>
      <c r="R1174" s="186">
        <v>6702</v>
      </c>
      <c r="S1174" s="184" t="s">
        <v>59</v>
      </c>
    </row>
    <row r="1175" spans="1:19">
      <c r="A1175" s="111">
        <v>1174</v>
      </c>
      <c r="B1175" s="195">
        <v>45336</v>
      </c>
      <c r="C1175" s="114">
        <f t="shared" si="8"/>
        <v>2024</v>
      </c>
      <c r="D1175" s="114">
        <f t="shared" si="9"/>
        <v>2</v>
      </c>
      <c r="E1175" s="114" t="s">
        <v>8</v>
      </c>
      <c r="F1175" s="114" t="s">
        <v>181</v>
      </c>
      <c r="G1175" s="114" t="s">
        <v>182</v>
      </c>
      <c r="H1175" s="114" t="s">
        <v>183</v>
      </c>
      <c r="I1175" s="114" t="s">
        <v>184</v>
      </c>
      <c r="J1175" s="114">
        <v>9</v>
      </c>
      <c r="K1175" s="114">
        <v>48</v>
      </c>
      <c r="L1175" s="114">
        <v>26</v>
      </c>
      <c r="M1175" s="114">
        <v>2.1</v>
      </c>
      <c r="N1175" s="114">
        <v>612</v>
      </c>
      <c r="O1175" s="114">
        <v>928</v>
      </c>
      <c r="P1175" s="131">
        <v>0.56000000000000005</v>
      </c>
      <c r="Q1175" s="114">
        <v>5509</v>
      </c>
      <c r="R1175" s="189">
        <v>8352</v>
      </c>
      <c r="S1175" s="184" t="s">
        <v>59</v>
      </c>
    </row>
    <row r="1176" spans="1:19">
      <c r="A1176" s="111">
        <v>1175</v>
      </c>
      <c r="B1176" s="195">
        <v>45337</v>
      </c>
      <c r="C1176" s="114">
        <f t="shared" si="8"/>
        <v>2024</v>
      </c>
      <c r="D1176" s="114">
        <f t="shared" si="9"/>
        <v>2</v>
      </c>
      <c r="E1176" s="114" t="s">
        <v>8</v>
      </c>
      <c r="F1176" s="114" t="s">
        <v>185</v>
      </c>
      <c r="G1176" s="114" t="s">
        <v>186</v>
      </c>
      <c r="H1176" s="114" t="s">
        <v>187</v>
      </c>
      <c r="I1176" s="114" t="s">
        <v>184</v>
      </c>
      <c r="J1176" s="114">
        <v>9</v>
      </c>
      <c r="K1176" s="114">
        <v>55</v>
      </c>
      <c r="L1176" s="114">
        <v>24</v>
      </c>
      <c r="M1176" s="114">
        <v>2.5</v>
      </c>
      <c r="N1176" s="114">
        <v>881</v>
      </c>
      <c r="O1176" s="114">
        <v>1321</v>
      </c>
      <c r="P1176" s="131">
        <v>0.11</v>
      </c>
      <c r="Q1176" s="114">
        <v>7933</v>
      </c>
      <c r="R1176" s="189">
        <v>11886</v>
      </c>
      <c r="S1176" s="184" t="s">
        <v>59</v>
      </c>
    </row>
    <row r="1177" spans="1:19">
      <c r="A1177" s="111">
        <v>1176</v>
      </c>
      <c r="B1177" s="195">
        <v>45338</v>
      </c>
      <c r="C1177" s="114">
        <f t="shared" si="8"/>
        <v>2024</v>
      </c>
      <c r="D1177" s="114">
        <f t="shared" si="9"/>
        <v>2</v>
      </c>
      <c r="E1177" s="114" t="s">
        <v>8</v>
      </c>
      <c r="F1177" s="114" t="s">
        <v>188</v>
      </c>
      <c r="G1177" s="114" t="s">
        <v>189</v>
      </c>
      <c r="H1177" s="114" t="s">
        <v>190</v>
      </c>
      <c r="I1177" s="114" t="s">
        <v>184</v>
      </c>
      <c r="J1177" s="114">
        <v>3</v>
      </c>
      <c r="K1177" s="114">
        <v>37</v>
      </c>
      <c r="L1177" s="114">
        <v>24</v>
      </c>
      <c r="M1177" s="114">
        <v>1.7</v>
      </c>
      <c r="N1177" s="114">
        <v>572</v>
      </c>
      <c r="O1177" s="114">
        <v>813</v>
      </c>
      <c r="P1177" s="131">
        <v>0.33</v>
      </c>
      <c r="Q1177" s="114">
        <v>1715</v>
      </c>
      <c r="R1177" s="189">
        <v>2438</v>
      </c>
      <c r="S1177" s="184" t="s">
        <v>59</v>
      </c>
    </row>
    <row r="1178" spans="1:19">
      <c r="A1178" s="111">
        <v>1177</v>
      </c>
      <c r="B1178" s="195">
        <v>45339</v>
      </c>
      <c r="C1178" s="114">
        <f t="shared" si="8"/>
        <v>2024</v>
      </c>
      <c r="D1178" s="114">
        <f t="shared" si="9"/>
        <v>2</v>
      </c>
      <c r="E1178" s="114" t="s">
        <v>8</v>
      </c>
      <c r="F1178" s="114" t="s">
        <v>191</v>
      </c>
      <c r="G1178" s="114" t="s">
        <v>192</v>
      </c>
      <c r="H1178" s="114" t="s">
        <v>193</v>
      </c>
      <c r="I1178" s="114" t="s">
        <v>173</v>
      </c>
      <c r="J1178" s="114">
        <v>0</v>
      </c>
      <c r="K1178" s="114">
        <v>0</v>
      </c>
      <c r="L1178" s="114">
        <v>0</v>
      </c>
      <c r="M1178" s="114">
        <v>0</v>
      </c>
      <c r="N1178" s="114">
        <v>0</v>
      </c>
      <c r="O1178" s="114">
        <v>0</v>
      </c>
      <c r="P1178" s="131">
        <v>0</v>
      </c>
      <c r="Q1178" s="114">
        <v>0</v>
      </c>
      <c r="R1178" s="189">
        <v>0</v>
      </c>
      <c r="S1178" s="184" t="s">
        <v>59</v>
      </c>
    </row>
    <row r="1179" spans="1:19">
      <c r="A1179" s="111">
        <v>1178</v>
      </c>
      <c r="B1179" s="195">
        <v>45340</v>
      </c>
      <c r="C1179" s="114">
        <f t="shared" si="8"/>
        <v>2024</v>
      </c>
      <c r="D1179" s="114">
        <f t="shared" si="9"/>
        <v>2</v>
      </c>
      <c r="E1179" s="114" t="s">
        <v>8</v>
      </c>
      <c r="F1179" s="114" t="s">
        <v>245</v>
      </c>
      <c r="G1179" s="114" t="s">
        <v>246</v>
      </c>
      <c r="H1179" s="114" t="s">
        <v>247</v>
      </c>
      <c r="I1179" s="114" t="s">
        <v>184</v>
      </c>
      <c r="J1179" s="114">
        <v>4</v>
      </c>
      <c r="K1179" s="114">
        <v>44</v>
      </c>
      <c r="L1179" s="114">
        <v>26</v>
      </c>
      <c r="M1179" s="114">
        <v>2</v>
      </c>
      <c r="N1179" s="114">
        <v>2125</v>
      </c>
      <c r="O1179" s="114">
        <v>2968</v>
      </c>
      <c r="P1179" s="131">
        <v>0.25</v>
      </c>
      <c r="Q1179" s="114">
        <v>2125</v>
      </c>
      <c r="R1179" s="189">
        <v>2968</v>
      </c>
      <c r="S1179" s="184" t="s">
        <v>59</v>
      </c>
    </row>
    <row r="1180" spans="1:19">
      <c r="A1180" s="111">
        <v>1179</v>
      </c>
      <c r="B1180" s="195">
        <v>45341</v>
      </c>
      <c r="C1180" s="114">
        <f t="shared" si="8"/>
        <v>2024</v>
      </c>
      <c r="D1180" s="114">
        <f t="shared" si="9"/>
        <v>2</v>
      </c>
      <c r="E1180" s="114" t="s">
        <v>20</v>
      </c>
      <c r="F1180" s="114" t="s">
        <v>178</v>
      </c>
      <c r="G1180" s="114" t="s">
        <v>179</v>
      </c>
      <c r="H1180" s="114" t="s">
        <v>180</v>
      </c>
      <c r="I1180" s="114" t="s">
        <v>173</v>
      </c>
      <c r="J1180" s="114">
        <v>2</v>
      </c>
      <c r="K1180" s="114">
        <v>45</v>
      </c>
      <c r="L1180" s="114">
        <v>26</v>
      </c>
      <c r="M1180" s="114">
        <v>1.9</v>
      </c>
      <c r="N1180" s="114">
        <v>1025</v>
      </c>
      <c r="O1180" s="114">
        <v>1383</v>
      </c>
      <c r="P1180" s="131">
        <v>0</v>
      </c>
      <c r="Q1180" s="114">
        <v>2049</v>
      </c>
      <c r="R1180" s="189">
        <v>2766</v>
      </c>
      <c r="S1180" s="184" t="s">
        <v>59</v>
      </c>
    </row>
    <row r="1181" spans="1:19">
      <c r="A1181" s="111">
        <v>1180</v>
      </c>
      <c r="B1181" s="195">
        <v>45342</v>
      </c>
      <c r="C1181" s="114">
        <f t="shared" si="8"/>
        <v>2024</v>
      </c>
      <c r="D1181" s="114">
        <f t="shared" si="9"/>
        <v>2</v>
      </c>
      <c r="E1181" s="114" t="s">
        <v>102</v>
      </c>
      <c r="F1181" s="114" t="s">
        <v>288</v>
      </c>
      <c r="G1181" s="114" t="s">
        <v>199</v>
      </c>
      <c r="H1181" s="114" t="s">
        <v>199</v>
      </c>
      <c r="I1181" s="114" t="s">
        <v>200</v>
      </c>
      <c r="J1181" s="114">
        <v>0</v>
      </c>
      <c r="K1181" s="114" t="e">
        <v>#DIV/0!</v>
      </c>
      <c r="L1181" s="114" t="e">
        <v>#DIV/0!</v>
      </c>
      <c r="M1181" s="114" t="e">
        <v>#DIV/0!</v>
      </c>
      <c r="N1181" s="114" t="e">
        <v>#DIV/0!</v>
      </c>
      <c r="O1181" s="114" t="e">
        <v>#DIV/0!</v>
      </c>
      <c r="P1181" s="131" t="e">
        <v>#DIV/0!</v>
      </c>
      <c r="Q1181" s="114">
        <v>0</v>
      </c>
      <c r="R1181" s="186">
        <v>0</v>
      </c>
      <c r="S1181" s="184" t="s">
        <v>59</v>
      </c>
    </row>
    <row r="1182" spans="1:19">
      <c r="A1182" s="111">
        <v>1181</v>
      </c>
      <c r="B1182" s="195">
        <v>45343</v>
      </c>
      <c r="C1182" s="114">
        <f t="shared" si="8"/>
        <v>2024</v>
      </c>
      <c r="D1182" s="114">
        <f t="shared" si="9"/>
        <v>2</v>
      </c>
      <c r="E1182" s="114" t="s">
        <v>104</v>
      </c>
      <c r="F1182" s="114" t="s">
        <v>198</v>
      </c>
      <c r="G1182" s="114" t="s">
        <v>199</v>
      </c>
      <c r="H1182" s="114" t="s">
        <v>199</v>
      </c>
      <c r="I1182" s="114" t="s">
        <v>200</v>
      </c>
      <c r="J1182" s="114">
        <v>0</v>
      </c>
      <c r="K1182" s="114">
        <v>0</v>
      </c>
      <c r="L1182" s="114">
        <v>0</v>
      </c>
      <c r="M1182" s="114">
        <v>0</v>
      </c>
      <c r="N1182" s="114">
        <v>0</v>
      </c>
      <c r="O1182" s="114">
        <v>0</v>
      </c>
      <c r="P1182" s="131">
        <v>0</v>
      </c>
      <c r="Q1182" s="114">
        <v>0</v>
      </c>
      <c r="R1182" s="189">
        <v>0</v>
      </c>
      <c r="S1182" s="184" t="s">
        <v>59</v>
      </c>
    </row>
    <row r="1183" spans="1:19">
      <c r="A1183" s="111">
        <v>1182</v>
      </c>
      <c r="B1183" s="195">
        <v>45344</v>
      </c>
      <c r="C1183" s="114">
        <f t="shared" si="8"/>
        <v>2024</v>
      </c>
      <c r="D1183" s="114">
        <f t="shared" si="9"/>
        <v>2</v>
      </c>
      <c r="E1183" s="114" t="s">
        <v>88</v>
      </c>
      <c r="F1183" s="114" t="s">
        <v>195</v>
      </c>
      <c r="G1183" s="114" t="s">
        <v>196</v>
      </c>
      <c r="H1183" s="114" t="s">
        <v>197</v>
      </c>
      <c r="I1183" s="114" t="s">
        <v>184</v>
      </c>
      <c r="J1183" s="114">
        <v>5</v>
      </c>
      <c r="K1183" s="114">
        <v>37</v>
      </c>
      <c r="L1183" s="114">
        <v>22</v>
      </c>
      <c r="M1183" s="114">
        <v>1.9</v>
      </c>
      <c r="N1183" s="114">
        <v>447</v>
      </c>
      <c r="O1183" s="114">
        <v>651</v>
      </c>
      <c r="P1183" s="131">
        <v>0</v>
      </c>
      <c r="Q1183" s="114">
        <v>2234</v>
      </c>
      <c r="R1183" s="189">
        <v>3253</v>
      </c>
      <c r="S1183" s="184" t="s">
        <v>59</v>
      </c>
    </row>
    <row r="1184" spans="1:19">
      <c r="A1184" s="111">
        <v>1183</v>
      </c>
      <c r="B1184" s="195">
        <v>45345</v>
      </c>
      <c r="C1184" s="114">
        <f t="shared" si="8"/>
        <v>2024</v>
      </c>
      <c r="D1184" s="114">
        <f t="shared" si="9"/>
        <v>2</v>
      </c>
      <c r="E1184" s="114" t="s">
        <v>30</v>
      </c>
      <c r="F1184" s="114" t="s">
        <v>205</v>
      </c>
      <c r="G1184" s="114" t="s">
        <v>206</v>
      </c>
      <c r="H1184" s="114" t="s">
        <v>207</v>
      </c>
      <c r="I1184" s="114" t="s">
        <v>184</v>
      </c>
      <c r="J1184" s="114">
        <v>0</v>
      </c>
      <c r="K1184" s="114">
        <v>0</v>
      </c>
      <c r="L1184" s="114">
        <v>0</v>
      </c>
      <c r="M1184" s="114">
        <v>0</v>
      </c>
      <c r="N1184" s="114">
        <v>0</v>
      </c>
      <c r="O1184" s="114">
        <v>0</v>
      </c>
      <c r="P1184" s="131">
        <v>0</v>
      </c>
      <c r="Q1184" s="114">
        <v>0</v>
      </c>
      <c r="R1184" s="186">
        <v>0</v>
      </c>
      <c r="S1184" s="184" t="s">
        <v>59</v>
      </c>
    </row>
    <row r="1185" spans="1:19">
      <c r="A1185" s="111">
        <v>1184</v>
      </c>
      <c r="B1185" s="195">
        <v>45346</v>
      </c>
      <c r="C1185" s="114">
        <f t="shared" si="8"/>
        <v>2024</v>
      </c>
      <c r="D1185" s="114">
        <f t="shared" si="9"/>
        <v>2</v>
      </c>
      <c r="E1185" s="114" t="s">
        <v>93</v>
      </c>
      <c r="F1185" s="114" t="s">
        <v>265</v>
      </c>
      <c r="G1185" s="114" t="s">
        <v>266</v>
      </c>
      <c r="H1185" s="114" t="s">
        <v>267</v>
      </c>
      <c r="I1185" s="114" t="s">
        <v>184</v>
      </c>
      <c r="J1185" s="114">
        <v>2</v>
      </c>
      <c r="K1185" s="114">
        <v>12</v>
      </c>
      <c r="L1185" s="114">
        <v>15</v>
      </c>
      <c r="M1185" s="114">
        <v>1</v>
      </c>
      <c r="N1185" s="114">
        <v>71</v>
      </c>
      <c r="O1185" s="114">
        <v>123</v>
      </c>
      <c r="P1185" s="131" t="e">
        <v>#DIV/0!</v>
      </c>
      <c r="Q1185" s="114">
        <v>141</v>
      </c>
      <c r="R1185" s="186">
        <v>245</v>
      </c>
      <c r="S1185" s="184" t="s">
        <v>59</v>
      </c>
    </row>
    <row r="1186" spans="1:19">
      <c r="A1186" s="111">
        <v>1185</v>
      </c>
      <c r="B1186" s="195">
        <v>45347</v>
      </c>
      <c r="C1186" s="114">
        <f t="shared" si="8"/>
        <v>2024</v>
      </c>
      <c r="D1186" s="114">
        <f t="shared" si="9"/>
        <v>2</v>
      </c>
      <c r="E1186" s="114" t="s">
        <v>201</v>
      </c>
      <c r="F1186" s="114" t="s">
        <v>248</v>
      </c>
      <c r="G1186" s="114" t="s">
        <v>199</v>
      </c>
      <c r="H1186" s="114" t="s">
        <v>199</v>
      </c>
      <c r="I1186" s="114" t="s">
        <v>200</v>
      </c>
      <c r="J1186" s="114">
        <v>0</v>
      </c>
      <c r="K1186" s="114">
        <v>0</v>
      </c>
      <c r="L1186" s="114">
        <v>0</v>
      </c>
      <c r="M1186" s="114">
        <v>0</v>
      </c>
      <c r="N1186" s="114">
        <v>0</v>
      </c>
      <c r="O1186" s="114">
        <v>0</v>
      </c>
      <c r="P1186" s="131">
        <v>0</v>
      </c>
      <c r="Q1186" s="114">
        <v>0</v>
      </c>
      <c r="R1186" s="188">
        <v>0</v>
      </c>
      <c r="S1186" s="184" t="s">
        <v>59</v>
      </c>
    </row>
    <row r="1187" spans="1:19">
      <c r="A1187" s="111">
        <v>1186</v>
      </c>
      <c r="B1187" s="195">
        <v>45348</v>
      </c>
      <c r="C1187" s="114">
        <f t="shared" si="8"/>
        <v>2024</v>
      </c>
      <c r="D1187" s="114">
        <f t="shared" si="9"/>
        <v>2</v>
      </c>
      <c r="E1187" s="114" t="s">
        <v>116</v>
      </c>
      <c r="F1187" s="114" t="s">
        <v>271</v>
      </c>
      <c r="G1187" s="114" t="s">
        <v>199</v>
      </c>
      <c r="H1187" s="114" t="s">
        <v>199</v>
      </c>
      <c r="I1187" s="114" t="s">
        <v>200</v>
      </c>
      <c r="J1187" s="114">
        <v>0</v>
      </c>
      <c r="K1187" s="114">
        <v>0</v>
      </c>
      <c r="L1187" s="114">
        <v>0</v>
      </c>
      <c r="M1187" s="114">
        <v>0</v>
      </c>
      <c r="N1187" s="114">
        <v>0</v>
      </c>
      <c r="O1187" s="114">
        <v>0</v>
      </c>
      <c r="P1187" s="131">
        <v>0</v>
      </c>
      <c r="Q1187" s="114">
        <v>0</v>
      </c>
      <c r="R1187" s="186">
        <v>0</v>
      </c>
      <c r="S1187" s="184" t="s">
        <v>59</v>
      </c>
    </row>
    <row r="1188" spans="1:19">
      <c r="A1188" s="111">
        <v>1187</v>
      </c>
      <c r="B1188" s="195">
        <v>45349</v>
      </c>
      <c r="C1188" s="114">
        <f t="shared" si="8"/>
        <v>2024</v>
      </c>
      <c r="D1188" s="114">
        <f t="shared" si="9"/>
        <v>2</v>
      </c>
      <c r="E1188" s="114" t="s">
        <v>10</v>
      </c>
      <c r="F1188" s="114" t="s">
        <v>208</v>
      </c>
      <c r="G1188" s="114" t="s">
        <v>209</v>
      </c>
      <c r="H1188" s="114" t="s">
        <v>210</v>
      </c>
      <c r="I1188" s="114" t="s">
        <v>173</v>
      </c>
      <c r="J1188" s="114">
        <v>0</v>
      </c>
      <c r="K1188" s="114">
        <v>0</v>
      </c>
      <c r="L1188" s="114">
        <v>0</v>
      </c>
      <c r="M1188" s="114">
        <v>0</v>
      </c>
      <c r="N1188" s="114">
        <v>0</v>
      </c>
      <c r="O1188" s="114">
        <v>0</v>
      </c>
      <c r="P1188" s="131">
        <v>0</v>
      </c>
      <c r="Q1188" s="114">
        <v>0</v>
      </c>
      <c r="R1188" s="189">
        <v>0</v>
      </c>
      <c r="S1188" s="184" t="s">
        <v>59</v>
      </c>
    </row>
    <row r="1189" spans="1:19">
      <c r="A1189" s="111">
        <v>1188</v>
      </c>
      <c r="B1189" s="195">
        <v>45350</v>
      </c>
      <c r="C1189" s="114">
        <f t="shared" si="8"/>
        <v>2024</v>
      </c>
      <c r="D1189" s="114">
        <f t="shared" si="9"/>
        <v>2</v>
      </c>
      <c r="E1189" s="114" t="s">
        <v>10</v>
      </c>
      <c r="F1189" s="114" t="s">
        <v>211</v>
      </c>
      <c r="G1189" s="114" t="s">
        <v>212</v>
      </c>
      <c r="H1189" s="114" t="s">
        <v>213</v>
      </c>
      <c r="I1189" s="114" t="s">
        <v>173</v>
      </c>
      <c r="J1189" s="114">
        <v>0</v>
      </c>
      <c r="K1189" s="114">
        <v>0</v>
      </c>
      <c r="L1189" s="114">
        <v>0</v>
      </c>
      <c r="M1189" s="114">
        <v>0</v>
      </c>
      <c r="N1189" s="114">
        <v>0</v>
      </c>
      <c r="O1189" s="114">
        <v>0</v>
      </c>
      <c r="P1189" s="131">
        <v>0</v>
      </c>
      <c r="Q1189" s="114">
        <v>0</v>
      </c>
      <c r="R1189" s="186">
        <v>0</v>
      </c>
      <c r="S1189" s="184" t="s">
        <v>59</v>
      </c>
    </row>
    <row r="1190" spans="1:19">
      <c r="A1190" s="111">
        <v>1189</v>
      </c>
      <c r="B1190" s="195">
        <v>45351</v>
      </c>
      <c r="C1190" s="114">
        <f t="shared" si="8"/>
        <v>2024</v>
      </c>
      <c r="D1190" s="114">
        <f t="shared" si="9"/>
        <v>2</v>
      </c>
      <c r="E1190" s="114" t="s">
        <v>10</v>
      </c>
      <c r="F1190" s="114" t="s">
        <v>214</v>
      </c>
      <c r="G1190" s="114" t="s">
        <v>215</v>
      </c>
      <c r="H1190" s="114" t="s">
        <v>216</v>
      </c>
      <c r="I1190" s="114" t="s">
        <v>184</v>
      </c>
      <c r="J1190" s="114">
        <v>4</v>
      </c>
      <c r="K1190" s="114">
        <v>44</v>
      </c>
      <c r="L1190" s="114">
        <v>19</v>
      </c>
      <c r="M1190" s="114">
        <v>2.5</v>
      </c>
      <c r="N1190" s="114">
        <v>789</v>
      </c>
      <c r="O1190" s="114">
        <v>1188</v>
      </c>
      <c r="P1190" s="131">
        <v>0.75</v>
      </c>
      <c r="Q1190" s="114">
        <v>3154</v>
      </c>
      <c r="R1190" s="189">
        <v>4753</v>
      </c>
      <c r="S1190" s="184" t="s">
        <v>59</v>
      </c>
    </row>
    <row r="1191" spans="1:19">
      <c r="A1191" s="111">
        <v>1190</v>
      </c>
      <c r="B1191" s="195">
        <v>45323</v>
      </c>
      <c r="C1191" s="114">
        <f t="shared" si="8"/>
        <v>2024</v>
      </c>
      <c r="D1191" s="114">
        <f t="shared" si="9"/>
        <v>2</v>
      </c>
      <c r="E1191" s="114" t="s">
        <v>10</v>
      </c>
      <c r="F1191" s="114" t="s">
        <v>268</v>
      </c>
      <c r="G1191" s="114" t="s">
        <v>269</v>
      </c>
      <c r="H1191" s="114" t="s">
        <v>270</v>
      </c>
      <c r="I1191" s="114" t="s">
        <v>184</v>
      </c>
      <c r="J1191" s="114">
        <v>4</v>
      </c>
      <c r="K1191" s="114">
        <v>58</v>
      </c>
      <c r="L1191" s="114">
        <v>26</v>
      </c>
      <c r="M1191" s="114">
        <v>2.5</v>
      </c>
      <c r="N1191" s="114">
        <v>854</v>
      </c>
      <c r="O1191" s="114">
        <v>1234</v>
      </c>
      <c r="P1191" s="131">
        <v>0</v>
      </c>
      <c r="Q1191" s="114">
        <v>3415</v>
      </c>
      <c r="R1191" s="189">
        <v>4936</v>
      </c>
      <c r="S1191" s="184" t="s">
        <v>59</v>
      </c>
    </row>
    <row r="1192" spans="1:19">
      <c r="A1192" s="111">
        <v>1191</v>
      </c>
      <c r="B1192" s="195">
        <v>45324</v>
      </c>
      <c r="C1192" s="114">
        <f t="shared" si="8"/>
        <v>2024</v>
      </c>
      <c r="D1192" s="114">
        <f t="shared" si="9"/>
        <v>2</v>
      </c>
      <c r="E1192" s="114" t="s">
        <v>9</v>
      </c>
      <c r="F1192" s="114" t="s">
        <v>217</v>
      </c>
      <c r="G1192" s="114" t="s">
        <v>218</v>
      </c>
      <c r="H1192" s="114" t="s">
        <v>219</v>
      </c>
      <c r="I1192" s="114" t="s">
        <v>184</v>
      </c>
      <c r="J1192" s="114">
        <v>4</v>
      </c>
      <c r="K1192" s="114">
        <v>76</v>
      </c>
      <c r="L1192" s="114">
        <v>27</v>
      </c>
      <c r="M1192" s="114">
        <v>2.6</v>
      </c>
      <c r="N1192" s="114">
        <v>2319</v>
      </c>
      <c r="O1192" s="114">
        <v>3765</v>
      </c>
      <c r="P1192" s="131">
        <v>0</v>
      </c>
      <c r="Q1192" s="114">
        <v>9274</v>
      </c>
      <c r="R1192" s="189">
        <v>15059</v>
      </c>
      <c r="S1192" s="184" t="s">
        <v>59</v>
      </c>
    </row>
    <row r="1193" spans="1:19">
      <c r="A1193" s="111">
        <v>1192</v>
      </c>
      <c r="B1193" s="195">
        <v>45325</v>
      </c>
      <c r="C1193" s="114">
        <f t="shared" si="8"/>
        <v>2024</v>
      </c>
      <c r="D1193" s="114">
        <f t="shared" si="9"/>
        <v>2</v>
      </c>
      <c r="E1193" s="114" t="s">
        <v>101</v>
      </c>
      <c r="F1193" s="114" t="s">
        <v>249</v>
      </c>
      <c r="G1193" s="114" t="s">
        <v>250</v>
      </c>
      <c r="H1193" s="114" t="s">
        <v>251</v>
      </c>
      <c r="I1193" s="114" t="s">
        <v>184</v>
      </c>
      <c r="J1193" s="114">
        <v>1</v>
      </c>
      <c r="K1193" s="114">
        <v>0</v>
      </c>
      <c r="L1193" s="114">
        <v>17</v>
      </c>
      <c r="M1193" s="114">
        <v>2.2000000000000002</v>
      </c>
      <c r="N1193" s="114">
        <v>670</v>
      </c>
      <c r="O1193" s="114">
        <v>991</v>
      </c>
      <c r="P1193" s="131">
        <v>0</v>
      </c>
      <c r="Q1193" s="114">
        <v>670</v>
      </c>
      <c r="R1193" s="186">
        <v>991</v>
      </c>
      <c r="S1193" s="184" t="s">
        <v>59</v>
      </c>
    </row>
    <row r="1194" spans="1:19">
      <c r="A1194" s="111">
        <v>1193</v>
      </c>
      <c r="B1194" s="195">
        <v>45326</v>
      </c>
      <c r="C1194" s="114">
        <f t="shared" si="8"/>
        <v>2024</v>
      </c>
      <c r="D1194" s="114">
        <f t="shared" si="9"/>
        <v>2</v>
      </c>
      <c r="E1194" s="114" t="s">
        <v>11</v>
      </c>
      <c r="F1194" s="114" t="s">
        <v>220</v>
      </c>
      <c r="G1194" s="114" t="s">
        <v>221</v>
      </c>
      <c r="H1194" s="114" t="s">
        <v>222</v>
      </c>
      <c r="I1194" s="114" t="s">
        <v>184</v>
      </c>
      <c r="J1194" s="114">
        <v>1</v>
      </c>
      <c r="K1194" s="114">
        <v>36</v>
      </c>
      <c r="L1194" s="114">
        <v>18</v>
      </c>
      <c r="M1194" s="114">
        <v>2</v>
      </c>
      <c r="N1194" s="114">
        <v>606</v>
      </c>
      <c r="O1194" s="114">
        <v>915</v>
      </c>
      <c r="P1194" s="131">
        <v>0</v>
      </c>
      <c r="Q1194" s="114">
        <v>606</v>
      </c>
      <c r="R1194" s="186">
        <v>915</v>
      </c>
      <c r="S1194" s="184" t="s">
        <v>59</v>
      </c>
    </row>
    <row r="1195" spans="1:19">
      <c r="A1195" s="111">
        <v>1194</v>
      </c>
      <c r="B1195" s="195">
        <v>45327</v>
      </c>
      <c r="C1195" s="114">
        <f t="shared" si="8"/>
        <v>2024</v>
      </c>
      <c r="D1195" s="114">
        <f t="shared" si="9"/>
        <v>2</v>
      </c>
      <c r="E1195" s="114" t="s">
        <v>11</v>
      </c>
      <c r="F1195" s="114" t="s">
        <v>249</v>
      </c>
      <c r="G1195" s="114" t="s">
        <v>250</v>
      </c>
      <c r="H1195" s="114" t="s">
        <v>251</v>
      </c>
      <c r="I1195" s="114" t="s">
        <v>184</v>
      </c>
      <c r="J1195" s="114">
        <v>1</v>
      </c>
      <c r="K1195" s="114">
        <v>0</v>
      </c>
      <c r="L1195" s="114">
        <v>0</v>
      </c>
      <c r="M1195" s="114">
        <v>0</v>
      </c>
      <c r="N1195" s="114">
        <v>742</v>
      </c>
      <c r="O1195" s="114">
        <v>1125</v>
      </c>
      <c r="P1195" s="131">
        <v>0</v>
      </c>
      <c r="Q1195" s="114">
        <v>742</v>
      </c>
      <c r="R1195" s="186">
        <v>1125</v>
      </c>
      <c r="S1195" s="184" t="s">
        <v>59</v>
      </c>
    </row>
    <row r="1196" spans="1:19">
      <c r="A1196" s="111">
        <v>1195</v>
      </c>
      <c r="B1196" s="195">
        <v>45328</v>
      </c>
      <c r="C1196" s="114">
        <f t="shared" si="8"/>
        <v>2024</v>
      </c>
      <c r="D1196" s="114">
        <f t="shared" si="9"/>
        <v>2</v>
      </c>
      <c r="E1196" s="114" t="s">
        <v>91</v>
      </c>
      <c r="F1196" s="114" t="s">
        <v>178</v>
      </c>
      <c r="G1196" s="114" t="s">
        <v>179</v>
      </c>
      <c r="H1196" s="114" t="s">
        <v>180</v>
      </c>
      <c r="I1196" s="114" t="s">
        <v>173</v>
      </c>
      <c r="J1196" s="114">
        <v>1</v>
      </c>
      <c r="K1196" s="114">
        <v>61</v>
      </c>
      <c r="L1196" s="114">
        <v>25</v>
      </c>
      <c r="M1196" s="114">
        <v>2.2000000000000002</v>
      </c>
      <c r="N1196" s="114">
        <v>995</v>
      </c>
      <c r="O1196" s="114">
        <v>1365</v>
      </c>
      <c r="P1196" s="131">
        <v>1</v>
      </c>
      <c r="Q1196" s="114">
        <v>995</v>
      </c>
      <c r="R1196" s="189">
        <v>1365</v>
      </c>
      <c r="S1196" s="184" t="s">
        <v>59</v>
      </c>
    </row>
    <row r="1197" spans="1:19">
      <c r="A1197" s="111">
        <v>1196</v>
      </c>
      <c r="B1197" s="195">
        <v>45329</v>
      </c>
      <c r="C1197" s="114">
        <f t="shared" si="8"/>
        <v>2024</v>
      </c>
      <c r="D1197" s="114">
        <f t="shared" si="9"/>
        <v>2</v>
      </c>
      <c r="E1197" s="114" t="s">
        <v>91</v>
      </c>
      <c r="F1197" s="114" t="s">
        <v>289</v>
      </c>
      <c r="G1197" s="114" t="s">
        <v>240</v>
      </c>
      <c r="H1197" s="114" t="s">
        <v>241</v>
      </c>
      <c r="I1197" s="114" t="s">
        <v>184</v>
      </c>
      <c r="J1197" s="114">
        <v>1</v>
      </c>
      <c r="K1197" s="114">
        <v>77</v>
      </c>
      <c r="L1197" s="114">
        <v>30</v>
      </c>
      <c r="M1197" s="114">
        <v>3</v>
      </c>
      <c r="N1197" s="114">
        <v>1315</v>
      </c>
      <c r="O1197" s="114">
        <v>1991</v>
      </c>
      <c r="P1197" s="131">
        <v>0</v>
      </c>
      <c r="Q1197" s="114">
        <v>1315</v>
      </c>
      <c r="R1197" s="189">
        <v>1991</v>
      </c>
      <c r="S1197" s="184" t="s">
        <v>59</v>
      </c>
    </row>
    <row r="1198" spans="1:19">
      <c r="A1198" s="111">
        <v>1197</v>
      </c>
      <c r="B1198" s="195">
        <v>45330</v>
      </c>
      <c r="C1198" s="114">
        <f t="shared" si="8"/>
        <v>2024</v>
      </c>
      <c r="D1198" s="114">
        <f t="shared" si="9"/>
        <v>2</v>
      </c>
      <c r="E1198" s="114" t="s">
        <v>23</v>
      </c>
      <c r="F1198" s="114" t="s">
        <v>223</v>
      </c>
      <c r="G1198" s="114" t="s">
        <v>175</v>
      </c>
      <c r="H1198" s="114" t="s">
        <v>176</v>
      </c>
      <c r="I1198" s="114" t="s">
        <v>173</v>
      </c>
      <c r="J1198" s="114">
        <v>0</v>
      </c>
      <c r="K1198" s="114">
        <v>0</v>
      </c>
      <c r="L1198" s="114">
        <v>0</v>
      </c>
      <c r="M1198" s="114">
        <v>0</v>
      </c>
      <c r="N1198" s="114">
        <v>0</v>
      </c>
      <c r="O1198" s="114">
        <v>0</v>
      </c>
      <c r="P1198" s="131">
        <v>0</v>
      </c>
      <c r="Q1198" s="114">
        <v>0</v>
      </c>
      <c r="R1198" s="186">
        <v>0</v>
      </c>
      <c r="S1198" s="184" t="s">
        <v>59</v>
      </c>
    </row>
    <row r="1199" spans="1:19">
      <c r="A1199" s="111">
        <v>1198</v>
      </c>
      <c r="B1199" s="195">
        <v>45331</v>
      </c>
      <c r="C1199" s="114">
        <f t="shared" si="8"/>
        <v>2024</v>
      </c>
      <c r="D1199" s="114">
        <f t="shared" si="9"/>
        <v>2</v>
      </c>
      <c r="E1199" s="114" t="s">
        <v>23</v>
      </c>
      <c r="F1199" s="114" t="s">
        <v>224</v>
      </c>
      <c r="G1199" s="114" t="s">
        <v>107</v>
      </c>
      <c r="H1199" s="114" t="s">
        <v>107</v>
      </c>
      <c r="I1199" s="114" t="s">
        <v>107</v>
      </c>
      <c r="J1199" s="114">
        <v>0</v>
      </c>
      <c r="K1199" s="114">
        <v>0</v>
      </c>
      <c r="L1199" s="114">
        <v>0</v>
      </c>
      <c r="M1199" s="114">
        <v>0</v>
      </c>
      <c r="N1199" s="114">
        <v>0</v>
      </c>
      <c r="O1199" s="114">
        <v>0</v>
      </c>
      <c r="P1199" s="131">
        <v>0</v>
      </c>
      <c r="Q1199" s="114">
        <v>0</v>
      </c>
      <c r="R1199" s="186">
        <v>0</v>
      </c>
      <c r="S1199" s="184" t="s">
        <v>59</v>
      </c>
    </row>
    <row r="1200" spans="1:19">
      <c r="A1200" s="111">
        <v>1199</v>
      </c>
      <c r="B1200" s="195">
        <v>45332</v>
      </c>
      <c r="C1200" s="114">
        <f t="shared" si="8"/>
        <v>2024</v>
      </c>
      <c r="D1200" s="114">
        <f t="shared" si="9"/>
        <v>2</v>
      </c>
      <c r="E1200" s="114" t="s">
        <v>15</v>
      </c>
      <c r="F1200" s="114" t="s">
        <v>225</v>
      </c>
      <c r="G1200" s="114" t="s">
        <v>226</v>
      </c>
      <c r="H1200" s="114" t="s">
        <v>227</v>
      </c>
      <c r="I1200" s="114" t="s">
        <v>173</v>
      </c>
      <c r="J1200" s="114">
        <v>0</v>
      </c>
      <c r="K1200" s="114">
        <v>0</v>
      </c>
      <c r="L1200" s="114">
        <v>0</v>
      </c>
      <c r="M1200" s="114">
        <v>0</v>
      </c>
      <c r="N1200" s="114">
        <v>0</v>
      </c>
      <c r="O1200" s="114">
        <v>0</v>
      </c>
      <c r="P1200" s="131">
        <v>0</v>
      </c>
      <c r="Q1200" s="114">
        <v>0</v>
      </c>
      <c r="R1200" s="186">
        <v>0</v>
      </c>
      <c r="S1200" s="184" t="s">
        <v>59</v>
      </c>
    </row>
    <row r="1201" spans="1:19">
      <c r="A1201" s="111">
        <v>1200</v>
      </c>
      <c r="B1201" s="195">
        <v>45333</v>
      </c>
      <c r="C1201" s="114">
        <f t="shared" si="8"/>
        <v>2024</v>
      </c>
      <c r="D1201" s="114">
        <f t="shared" si="9"/>
        <v>2</v>
      </c>
      <c r="E1201" s="114" t="s">
        <v>15</v>
      </c>
      <c r="F1201" s="114" t="s">
        <v>220</v>
      </c>
      <c r="G1201" s="114" t="s">
        <v>221</v>
      </c>
      <c r="H1201" s="114" t="s">
        <v>222</v>
      </c>
      <c r="I1201" s="114" t="s">
        <v>184</v>
      </c>
      <c r="J1201" s="114">
        <v>2</v>
      </c>
      <c r="K1201" s="114">
        <v>28</v>
      </c>
      <c r="L1201" s="114">
        <v>17</v>
      </c>
      <c r="M1201" s="114">
        <v>2</v>
      </c>
      <c r="N1201" s="114">
        <v>501</v>
      </c>
      <c r="O1201" s="114">
        <v>669</v>
      </c>
      <c r="P1201" s="131">
        <v>0.5</v>
      </c>
      <c r="Q1201" s="114">
        <v>1001</v>
      </c>
      <c r="R1201" s="186">
        <v>1337</v>
      </c>
      <c r="S1201" s="184" t="s">
        <v>59</v>
      </c>
    </row>
    <row r="1202" spans="1:19">
      <c r="A1202" s="111">
        <v>1201</v>
      </c>
      <c r="B1202" s="195">
        <v>45334</v>
      </c>
      <c r="C1202" s="114">
        <f t="shared" si="8"/>
        <v>2024</v>
      </c>
      <c r="D1202" s="114">
        <f t="shared" si="9"/>
        <v>2</v>
      </c>
      <c r="E1202" s="114" t="s">
        <v>84</v>
      </c>
      <c r="F1202" s="114" t="s">
        <v>228</v>
      </c>
      <c r="G1202" s="114" t="s">
        <v>229</v>
      </c>
      <c r="H1202" s="114" t="s">
        <v>230</v>
      </c>
      <c r="I1202" s="114" t="s">
        <v>184</v>
      </c>
      <c r="J1202" s="114">
        <v>4</v>
      </c>
      <c r="K1202" s="114">
        <v>34</v>
      </c>
      <c r="L1202" s="114">
        <v>23</v>
      </c>
      <c r="M1202" s="114">
        <v>1.7</v>
      </c>
      <c r="N1202" s="114">
        <v>397</v>
      </c>
      <c r="O1202" s="114">
        <v>587</v>
      </c>
      <c r="P1202" s="131">
        <v>0</v>
      </c>
      <c r="Q1202" s="114">
        <v>1589</v>
      </c>
      <c r="R1202" s="189">
        <v>2349</v>
      </c>
      <c r="S1202" s="184" t="s">
        <v>59</v>
      </c>
    </row>
    <row r="1203" spans="1:19">
      <c r="A1203" s="111">
        <v>1202</v>
      </c>
      <c r="B1203" s="195">
        <v>45335</v>
      </c>
      <c r="C1203" s="114">
        <f t="shared" si="8"/>
        <v>2024</v>
      </c>
      <c r="D1203" s="114">
        <f t="shared" si="9"/>
        <v>2</v>
      </c>
      <c r="E1203" s="114" t="s">
        <v>84</v>
      </c>
      <c r="F1203" s="114" t="s">
        <v>231</v>
      </c>
      <c r="G1203" s="114" t="s">
        <v>232</v>
      </c>
      <c r="H1203" s="114" t="s">
        <v>233</v>
      </c>
      <c r="I1203" s="114" t="s">
        <v>184</v>
      </c>
      <c r="J1203" s="114">
        <v>0</v>
      </c>
      <c r="K1203" s="114">
        <v>0</v>
      </c>
      <c r="L1203" s="114">
        <v>0</v>
      </c>
      <c r="M1203" s="114">
        <v>0</v>
      </c>
      <c r="N1203" s="114">
        <v>0</v>
      </c>
      <c r="O1203" s="114">
        <v>0</v>
      </c>
      <c r="P1203" s="131">
        <v>0</v>
      </c>
      <c r="Q1203" s="114">
        <v>0</v>
      </c>
      <c r="R1203" s="186">
        <v>0</v>
      </c>
      <c r="S1203" s="184" t="s">
        <v>59</v>
      </c>
    </row>
    <row r="1204" spans="1:19">
      <c r="A1204" s="111">
        <v>1203</v>
      </c>
      <c r="B1204" s="195">
        <v>45336</v>
      </c>
      <c r="C1204" s="114">
        <f t="shared" si="8"/>
        <v>2024</v>
      </c>
      <c r="D1204" s="114">
        <f t="shared" si="9"/>
        <v>2</v>
      </c>
      <c r="E1204" s="114" t="s">
        <v>84</v>
      </c>
      <c r="F1204" s="114" t="s">
        <v>249</v>
      </c>
      <c r="G1204" s="114" t="s">
        <v>250</v>
      </c>
      <c r="H1204" s="114" t="s">
        <v>251</v>
      </c>
      <c r="I1204" s="114" t="s">
        <v>184</v>
      </c>
      <c r="J1204" s="114">
        <v>1</v>
      </c>
      <c r="K1204" s="114">
        <v>36</v>
      </c>
      <c r="L1204" s="114">
        <v>22</v>
      </c>
      <c r="M1204" s="114">
        <v>1.6</v>
      </c>
      <c r="N1204" s="114">
        <v>741</v>
      </c>
      <c r="O1204" s="114">
        <v>1059</v>
      </c>
      <c r="P1204" s="131">
        <v>0</v>
      </c>
      <c r="Q1204" s="114">
        <v>741</v>
      </c>
      <c r="R1204" s="189">
        <v>1059</v>
      </c>
      <c r="S1204" s="184" t="s">
        <v>59</v>
      </c>
    </row>
    <row r="1205" spans="1:19">
      <c r="A1205" s="111">
        <v>1204</v>
      </c>
      <c r="B1205" s="195">
        <v>45337</v>
      </c>
      <c r="C1205" s="114">
        <f t="shared" si="8"/>
        <v>2024</v>
      </c>
      <c r="D1205" s="114">
        <f t="shared" si="9"/>
        <v>2</v>
      </c>
      <c r="E1205" s="114" t="s">
        <v>22</v>
      </c>
      <c r="F1205" s="114" t="s">
        <v>174</v>
      </c>
      <c r="G1205" s="114" t="s">
        <v>175</v>
      </c>
      <c r="H1205" s="114" t="s">
        <v>176</v>
      </c>
      <c r="I1205" s="114" t="s">
        <v>173</v>
      </c>
      <c r="J1205" s="114">
        <v>4</v>
      </c>
      <c r="K1205" s="114">
        <v>66</v>
      </c>
      <c r="L1205" s="114">
        <v>29</v>
      </c>
      <c r="M1205" s="114">
        <v>2.2999999999999998</v>
      </c>
      <c r="N1205" s="114">
        <v>1775</v>
      </c>
      <c r="O1205" s="114">
        <v>2696</v>
      </c>
      <c r="P1205" s="131">
        <v>0</v>
      </c>
      <c r="Q1205" s="114">
        <v>7099</v>
      </c>
      <c r="R1205" s="189">
        <v>10785</v>
      </c>
      <c r="S1205" s="184" t="s">
        <v>59</v>
      </c>
    </row>
    <row r="1206" spans="1:19">
      <c r="A1206" s="111">
        <v>1205</v>
      </c>
      <c r="B1206" s="195">
        <v>45338</v>
      </c>
      <c r="C1206" s="114">
        <f t="shared" si="8"/>
        <v>2024</v>
      </c>
      <c r="D1206" s="114">
        <f t="shared" si="9"/>
        <v>2</v>
      </c>
      <c r="E1206" s="114" t="s">
        <v>22</v>
      </c>
      <c r="F1206" s="114" t="s">
        <v>177</v>
      </c>
      <c r="G1206" s="114" t="s">
        <v>175</v>
      </c>
      <c r="H1206" s="114" t="s">
        <v>176</v>
      </c>
      <c r="I1206" s="114" t="s">
        <v>173</v>
      </c>
      <c r="J1206" s="114">
        <v>4</v>
      </c>
      <c r="K1206" s="114">
        <v>71</v>
      </c>
      <c r="L1206" s="114">
        <v>29</v>
      </c>
      <c r="M1206" s="114">
        <v>2</v>
      </c>
      <c r="N1206" s="114">
        <v>1600</v>
      </c>
      <c r="O1206" s="114">
        <v>2303</v>
      </c>
      <c r="P1206" s="131">
        <v>0.75</v>
      </c>
      <c r="Q1206" s="114">
        <v>6400</v>
      </c>
      <c r="R1206" s="189">
        <v>9210</v>
      </c>
      <c r="S1206" s="184" t="s">
        <v>59</v>
      </c>
    </row>
    <row r="1207" spans="1:19">
      <c r="A1207" s="111">
        <v>1206</v>
      </c>
      <c r="B1207" s="195">
        <v>45339</v>
      </c>
      <c r="C1207" s="114">
        <f t="shared" si="8"/>
        <v>2024</v>
      </c>
      <c r="D1207" s="114">
        <f t="shared" si="9"/>
        <v>2</v>
      </c>
      <c r="E1207" s="114" t="s">
        <v>22</v>
      </c>
      <c r="F1207" s="114" t="s">
        <v>223</v>
      </c>
      <c r="G1207" s="114" t="s">
        <v>175</v>
      </c>
      <c r="H1207" s="114" t="s">
        <v>176</v>
      </c>
      <c r="I1207" s="114" t="s">
        <v>173</v>
      </c>
      <c r="J1207" s="114">
        <v>0</v>
      </c>
      <c r="K1207" s="114">
        <v>0</v>
      </c>
      <c r="L1207" s="114">
        <v>0</v>
      </c>
      <c r="M1207" s="114">
        <v>0</v>
      </c>
      <c r="N1207" s="114">
        <v>0</v>
      </c>
      <c r="O1207" s="114">
        <v>0</v>
      </c>
      <c r="P1207" s="131">
        <v>0</v>
      </c>
      <c r="Q1207" s="114">
        <v>0</v>
      </c>
      <c r="R1207" s="186">
        <v>0</v>
      </c>
      <c r="S1207" s="184" t="s">
        <v>59</v>
      </c>
    </row>
    <row r="1208" spans="1:19">
      <c r="A1208" s="111">
        <v>1207</v>
      </c>
      <c r="B1208" s="195">
        <v>45340</v>
      </c>
      <c r="C1208" s="114">
        <f t="shared" si="8"/>
        <v>2024</v>
      </c>
      <c r="D1208" s="114">
        <f t="shared" si="9"/>
        <v>2</v>
      </c>
      <c r="E1208" s="114" t="s">
        <v>22</v>
      </c>
      <c r="F1208" s="114" t="s">
        <v>290</v>
      </c>
      <c r="G1208" s="114" t="s">
        <v>199</v>
      </c>
      <c r="H1208" s="114" t="s">
        <v>199</v>
      </c>
      <c r="I1208" s="114" t="s">
        <v>200</v>
      </c>
      <c r="J1208" s="114">
        <v>1</v>
      </c>
      <c r="K1208" s="114">
        <v>60</v>
      </c>
      <c r="L1208" s="114">
        <v>28</v>
      </c>
      <c r="M1208" s="114">
        <v>3</v>
      </c>
      <c r="N1208" s="114">
        <v>790</v>
      </c>
      <c r="O1208" s="114">
        <v>1448</v>
      </c>
      <c r="P1208" s="131">
        <v>1</v>
      </c>
      <c r="Q1208" s="114">
        <v>790</v>
      </c>
      <c r="R1208" s="186">
        <v>1448</v>
      </c>
      <c r="S1208" s="184" t="s">
        <v>59</v>
      </c>
    </row>
    <row r="1209" spans="1:19">
      <c r="A1209" s="111">
        <v>1208</v>
      </c>
      <c r="B1209" s="195">
        <v>45341</v>
      </c>
      <c r="C1209" s="114">
        <f t="shared" si="8"/>
        <v>2024</v>
      </c>
      <c r="D1209" s="114">
        <f t="shared" si="9"/>
        <v>2</v>
      </c>
      <c r="E1209" s="114" t="s">
        <v>32</v>
      </c>
      <c r="F1209" s="114" t="s">
        <v>249</v>
      </c>
      <c r="G1209" s="114" t="s">
        <v>250</v>
      </c>
      <c r="H1209" s="114" t="s">
        <v>251</v>
      </c>
      <c r="I1209" s="114" t="s">
        <v>184</v>
      </c>
      <c r="J1209" s="114">
        <v>1</v>
      </c>
      <c r="K1209" s="114">
        <v>34</v>
      </c>
      <c r="L1209" s="114">
        <v>16</v>
      </c>
      <c r="M1209" s="114">
        <v>2.2000000000000002</v>
      </c>
      <c r="N1209" s="114">
        <v>708</v>
      </c>
      <c r="O1209" s="114">
        <v>1032</v>
      </c>
      <c r="P1209" s="131">
        <v>0</v>
      </c>
      <c r="Q1209" s="114">
        <v>708</v>
      </c>
      <c r="R1209" s="186">
        <v>1032</v>
      </c>
      <c r="S1209" s="184" t="s">
        <v>59</v>
      </c>
    </row>
    <row r="1210" spans="1:19">
      <c r="A1210" s="111">
        <v>1209</v>
      </c>
      <c r="B1210" s="195">
        <v>45342</v>
      </c>
      <c r="C1210" s="114">
        <f t="shared" si="8"/>
        <v>2024</v>
      </c>
      <c r="D1210" s="114">
        <f t="shared" si="9"/>
        <v>2</v>
      </c>
      <c r="E1210" s="114" t="s">
        <v>12</v>
      </c>
      <c r="F1210" s="114" t="s">
        <v>220</v>
      </c>
      <c r="G1210" s="114" t="s">
        <v>221</v>
      </c>
      <c r="H1210" s="114" t="s">
        <v>222</v>
      </c>
      <c r="I1210" s="114" t="s">
        <v>184</v>
      </c>
      <c r="J1210" s="114">
        <v>0</v>
      </c>
      <c r="K1210" s="114">
        <v>0</v>
      </c>
      <c r="L1210" s="114">
        <v>0</v>
      </c>
      <c r="M1210" s="114">
        <v>0</v>
      </c>
      <c r="N1210" s="114">
        <v>0</v>
      </c>
      <c r="O1210" s="114">
        <v>0</v>
      </c>
      <c r="P1210" s="131">
        <v>0</v>
      </c>
      <c r="Q1210" s="114">
        <v>0</v>
      </c>
      <c r="R1210" s="186">
        <v>0</v>
      </c>
      <c r="S1210" s="184" t="s">
        <v>59</v>
      </c>
    </row>
    <row r="1211" spans="1:19">
      <c r="A1211" s="111">
        <v>1210</v>
      </c>
      <c r="B1211" s="195">
        <v>45343</v>
      </c>
      <c r="C1211" s="114">
        <f t="shared" si="8"/>
        <v>2024</v>
      </c>
      <c r="D1211" s="114">
        <f t="shared" si="9"/>
        <v>2</v>
      </c>
      <c r="E1211" s="114" t="s">
        <v>12</v>
      </c>
      <c r="F1211" s="114" t="s">
        <v>234</v>
      </c>
      <c r="G1211" s="114" t="s">
        <v>235</v>
      </c>
      <c r="H1211" s="114" t="s">
        <v>236</v>
      </c>
      <c r="I1211" s="114" t="s">
        <v>184</v>
      </c>
      <c r="J1211" s="114">
        <v>4</v>
      </c>
      <c r="K1211" s="114">
        <v>49</v>
      </c>
      <c r="L1211" s="114">
        <v>20</v>
      </c>
      <c r="M1211" s="114">
        <v>2.4</v>
      </c>
      <c r="N1211" s="114">
        <v>908</v>
      </c>
      <c r="O1211" s="114">
        <v>1380</v>
      </c>
      <c r="P1211" s="131">
        <v>0.25</v>
      </c>
      <c r="Q1211" s="114">
        <v>3633</v>
      </c>
      <c r="R1211" s="189">
        <v>5521</v>
      </c>
      <c r="S1211" s="184" t="s">
        <v>59</v>
      </c>
    </row>
    <row r="1212" spans="1:19">
      <c r="A1212" s="111">
        <v>1211</v>
      </c>
      <c r="B1212" s="195">
        <v>45344</v>
      </c>
      <c r="C1212" s="114">
        <f t="shared" si="8"/>
        <v>2024</v>
      </c>
      <c r="D1212" s="114">
        <f t="shared" si="9"/>
        <v>2</v>
      </c>
      <c r="E1212" s="114" t="s">
        <v>12</v>
      </c>
      <c r="F1212" s="114" t="s">
        <v>237</v>
      </c>
      <c r="G1212" s="114" t="s">
        <v>199</v>
      </c>
      <c r="H1212" s="114" t="s">
        <v>199</v>
      </c>
      <c r="I1212" s="114" t="s">
        <v>200</v>
      </c>
      <c r="J1212" s="114">
        <v>0</v>
      </c>
      <c r="K1212" s="114">
        <v>0</v>
      </c>
      <c r="L1212" s="114">
        <v>0</v>
      </c>
      <c r="M1212" s="114">
        <v>0</v>
      </c>
      <c r="N1212" s="114">
        <v>0</v>
      </c>
      <c r="O1212" s="114">
        <v>0</v>
      </c>
      <c r="P1212" s="131">
        <v>0</v>
      </c>
      <c r="Q1212" s="114">
        <v>0</v>
      </c>
      <c r="R1212" s="186">
        <v>0</v>
      </c>
      <c r="S1212" s="184" t="s">
        <v>59</v>
      </c>
    </row>
    <row r="1213" spans="1:19">
      <c r="A1213" s="111">
        <v>1212</v>
      </c>
      <c r="B1213" s="195">
        <v>45345</v>
      </c>
      <c r="C1213" s="114">
        <f t="shared" si="8"/>
        <v>2024</v>
      </c>
      <c r="D1213" s="114">
        <f t="shared" si="9"/>
        <v>2</v>
      </c>
      <c r="E1213" s="114" t="s">
        <v>12</v>
      </c>
      <c r="F1213" s="114" t="s">
        <v>252</v>
      </c>
      <c r="G1213" s="114" t="s">
        <v>253</v>
      </c>
      <c r="H1213" s="114" t="s">
        <v>254</v>
      </c>
      <c r="I1213" s="114" t="s">
        <v>184</v>
      </c>
      <c r="J1213" s="114">
        <v>0</v>
      </c>
      <c r="K1213" s="114">
        <v>0</v>
      </c>
      <c r="L1213" s="114">
        <v>0</v>
      </c>
      <c r="M1213" s="114">
        <v>0</v>
      </c>
      <c r="N1213" s="114">
        <v>0</v>
      </c>
      <c r="O1213" s="114">
        <v>0</v>
      </c>
      <c r="P1213" s="131">
        <v>0</v>
      </c>
      <c r="Q1213" s="114">
        <v>0</v>
      </c>
      <c r="R1213" s="186">
        <v>0</v>
      </c>
      <c r="S1213" s="184" t="s">
        <v>59</v>
      </c>
    </row>
    <row r="1214" spans="1:19">
      <c r="A1214" s="111">
        <v>1213</v>
      </c>
      <c r="B1214" s="195">
        <v>45346</v>
      </c>
      <c r="C1214" s="114">
        <f t="shared" si="8"/>
        <v>2024</v>
      </c>
      <c r="D1214" s="114">
        <f t="shared" si="9"/>
        <v>2</v>
      </c>
      <c r="E1214" s="114" t="s">
        <v>26</v>
      </c>
      <c r="F1214" s="114" t="s">
        <v>238</v>
      </c>
      <c r="G1214" s="114" t="s">
        <v>175</v>
      </c>
      <c r="H1214" s="114" t="s">
        <v>176</v>
      </c>
      <c r="I1214" s="114" t="s">
        <v>173</v>
      </c>
      <c r="J1214" s="114">
        <v>0</v>
      </c>
      <c r="K1214" s="114">
        <v>0</v>
      </c>
      <c r="L1214" s="114">
        <v>0</v>
      </c>
      <c r="M1214" s="114">
        <v>0</v>
      </c>
      <c r="N1214" s="114">
        <v>0</v>
      </c>
      <c r="O1214" s="114">
        <v>0</v>
      </c>
      <c r="P1214" s="131">
        <v>0</v>
      </c>
      <c r="Q1214" s="114">
        <v>0</v>
      </c>
      <c r="R1214" s="186">
        <v>0</v>
      </c>
      <c r="S1214" s="184" t="s">
        <v>59</v>
      </c>
    </row>
    <row r="1215" spans="1:19">
      <c r="A1215" s="111">
        <v>1214</v>
      </c>
      <c r="B1215" s="195">
        <v>45347</v>
      </c>
      <c r="C1215" s="114">
        <f t="shared" si="8"/>
        <v>2024</v>
      </c>
      <c r="D1215" s="114">
        <f t="shared" si="9"/>
        <v>2</v>
      </c>
      <c r="E1215" s="114" t="s">
        <v>19</v>
      </c>
      <c r="F1215" s="114" t="s">
        <v>178</v>
      </c>
      <c r="G1215" s="114" t="s">
        <v>179</v>
      </c>
      <c r="H1215" s="114" t="s">
        <v>180</v>
      </c>
      <c r="I1215" s="114" t="s">
        <v>173</v>
      </c>
      <c r="J1215" s="114">
        <v>1</v>
      </c>
      <c r="K1215" s="114">
        <v>49</v>
      </c>
      <c r="L1215" s="114">
        <v>23</v>
      </c>
      <c r="M1215" s="114">
        <v>2.4</v>
      </c>
      <c r="N1215" s="114">
        <v>414</v>
      </c>
      <c r="O1215" s="114">
        <v>560</v>
      </c>
      <c r="P1215" s="131">
        <v>0</v>
      </c>
      <c r="Q1215" s="114">
        <v>414</v>
      </c>
      <c r="R1215" s="186">
        <v>560</v>
      </c>
      <c r="S1215" s="184" t="s">
        <v>59</v>
      </c>
    </row>
    <row r="1216" spans="1:19">
      <c r="B1216" s="196" t="s">
        <v>31</v>
      </c>
      <c r="C1216" s="119">
        <f t="shared" si="8"/>
        <v>2024</v>
      </c>
      <c r="D1216" s="132">
        <f t="shared" si="9"/>
        <v>3</v>
      </c>
      <c r="E1216" s="132" t="s">
        <v>24</v>
      </c>
      <c r="F1216" s="132" t="s">
        <v>259</v>
      </c>
      <c r="G1216" s="133" t="s">
        <v>260</v>
      </c>
      <c r="H1216" s="184" t="s">
        <v>261</v>
      </c>
      <c r="I1216" s="184" t="s">
        <v>184</v>
      </c>
      <c r="J1216" s="186">
        <v>1</v>
      </c>
      <c r="K1216" s="186">
        <v>9</v>
      </c>
      <c r="L1216" s="186">
        <v>15</v>
      </c>
      <c r="M1216" s="186">
        <v>0.7</v>
      </c>
      <c r="N1216" s="186">
        <v>59</v>
      </c>
      <c r="O1216" s="186">
        <v>94</v>
      </c>
      <c r="P1216" s="188">
        <v>0</v>
      </c>
      <c r="Q1216" s="186">
        <v>59</v>
      </c>
      <c r="R1216" s="186">
        <v>94</v>
      </c>
      <c r="S1216" s="184" t="s">
        <v>59</v>
      </c>
    </row>
    <row r="1217" spans="2:19">
      <c r="B1217" s="196" t="s">
        <v>31</v>
      </c>
      <c r="C1217" s="119">
        <f t="shared" si="8"/>
        <v>2024</v>
      </c>
      <c r="D1217" s="132">
        <f t="shared" si="9"/>
        <v>3</v>
      </c>
      <c r="E1217" s="132" t="s">
        <v>24</v>
      </c>
      <c r="F1217" s="132" t="s">
        <v>262</v>
      </c>
      <c r="G1217" s="133" t="s">
        <v>263</v>
      </c>
      <c r="H1217" s="184" t="s">
        <v>264</v>
      </c>
      <c r="I1217" s="184" t="s">
        <v>184</v>
      </c>
      <c r="J1217" s="186">
        <v>3</v>
      </c>
      <c r="K1217" s="186">
        <v>19</v>
      </c>
      <c r="L1217" s="186">
        <v>26</v>
      </c>
      <c r="M1217" s="186">
        <v>1.1000000000000001</v>
      </c>
      <c r="N1217" s="186">
        <v>103</v>
      </c>
      <c r="O1217" s="186">
        <v>170</v>
      </c>
      <c r="P1217" s="188">
        <v>1</v>
      </c>
      <c r="Q1217" s="186">
        <v>308</v>
      </c>
      <c r="R1217" s="186">
        <v>509</v>
      </c>
      <c r="S1217" s="184" t="s">
        <v>59</v>
      </c>
    </row>
    <row r="1218" spans="2:19">
      <c r="B1218" s="184" t="s">
        <v>31</v>
      </c>
      <c r="C1218" s="119">
        <f t="shared" si="8"/>
        <v>2024</v>
      </c>
      <c r="D1218" s="132">
        <f t="shared" si="9"/>
        <v>3</v>
      </c>
      <c r="E1218" s="132" t="s">
        <v>28</v>
      </c>
      <c r="F1218" s="132" t="s">
        <v>265</v>
      </c>
      <c r="G1218" s="133" t="s">
        <v>266</v>
      </c>
      <c r="H1218" s="184" t="s">
        <v>267</v>
      </c>
      <c r="I1218" s="184" t="s">
        <v>184</v>
      </c>
      <c r="J1218" s="186">
        <v>2</v>
      </c>
      <c r="K1218" s="186">
        <v>11</v>
      </c>
      <c r="L1218" s="186">
        <v>17</v>
      </c>
      <c r="M1218" s="186">
        <v>1</v>
      </c>
      <c r="N1218" s="186">
        <v>72</v>
      </c>
      <c r="O1218" s="186">
        <v>123</v>
      </c>
      <c r="P1218" s="188">
        <v>1</v>
      </c>
      <c r="Q1218" s="186">
        <v>144</v>
      </c>
      <c r="R1218" s="186">
        <v>245</v>
      </c>
      <c r="S1218" s="184" t="s">
        <v>59</v>
      </c>
    </row>
    <row r="1219" spans="2:19">
      <c r="B1219" s="184" t="s">
        <v>31</v>
      </c>
      <c r="C1219" s="119">
        <f t="shared" si="8"/>
        <v>2024</v>
      </c>
      <c r="D1219" s="132">
        <f t="shared" si="9"/>
        <v>3</v>
      </c>
      <c r="E1219" s="132" t="s">
        <v>7</v>
      </c>
      <c r="F1219" s="132" t="s">
        <v>239</v>
      </c>
      <c r="G1219" s="133" t="s">
        <v>240</v>
      </c>
      <c r="H1219" s="184" t="s">
        <v>241</v>
      </c>
      <c r="I1219" s="184" t="s">
        <v>184</v>
      </c>
      <c r="J1219" s="186">
        <v>1</v>
      </c>
      <c r="K1219" s="186">
        <v>48</v>
      </c>
      <c r="L1219" s="186">
        <v>24</v>
      </c>
      <c r="M1219" s="186">
        <v>2</v>
      </c>
      <c r="N1219" s="186">
        <v>1139</v>
      </c>
      <c r="O1219" s="186">
        <v>1810</v>
      </c>
      <c r="P1219" s="188">
        <v>0</v>
      </c>
      <c r="Q1219" s="189">
        <v>1139</v>
      </c>
      <c r="R1219" s="189">
        <v>1810</v>
      </c>
      <c r="S1219" s="184" t="s">
        <v>59</v>
      </c>
    </row>
    <row r="1220" spans="2:19">
      <c r="B1220" s="184" t="s">
        <v>31</v>
      </c>
      <c r="C1220" s="119">
        <f t="shared" si="8"/>
        <v>2024</v>
      </c>
      <c r="D1220" s="132">
        <f t="shared" si="9"/>
        <v>3</v>
      </c>
      <c r="E1220" s="132" t="s">
        <v>7</v>
      </c>
      <c r="F1220" s="132" t="s">
        <v>220</v>
      </c>
      <c r="G1220" s="133" t="s">
        <v>221</v>
      </c>
      <c r="H1220" s="184" t="s">
        <v>222</v>
      </c>
      <c r="I1220" s="184" t="s">
        <v>184</v>
      </c>
      <c r="J1220" s="186">
        <v>1</v>
      </c>
      <c r="K1220" s="186">
        <v>48</v>
      </c>
      <c r="L1220" s="186">
        <v>31</v>
      </c>
      <c r="M1220" s="186">
        <v>1.7</v>
      </c>
      <c r="N1220" s="186">
        <v>677</v>
      </c>
      <c r="O1220" s="186">
        <v>1020</v>
      </c>
      <c r="P1220" s="188">
        <v>1</v>
      </c>
      <c r="Q1220" s="186">
        <v>677</v>
      </c>
      <c r="R1220" s="189">
        <v>1020</v>
      </c>
      <c r="S1220" s="184" t="s">
        <v>59</v>
      </c>
    </row>
    <row r="1221" spans="2:19">
      <c r="B1221" s="184" t="s">
        <v>31</v>
      </c>
      <c r="C1221" s="119">
        <f t="shared" si="8"/>
        <v>2024</v>
      </c>
      <c r="D1221" s="132">
        <f t="shared" si="9"/>
        <v>3</v>
      </c>
      <c r="E1221" s="132" t="s">
        <v>7</v>
      </c>
      <c r="F1221" s="132" t="s">
        <v>242</v>
      </c>
      <c r="G1221" s="133" t="s">
        <v>243</v>
      </c>
      <c r="H1221" s="184" t="s">
        <v>244</v>
      </c>
      <c r="I1221" s="184" t="s">
        <v>184</v>
      </c>
      <c r="J1221" s="186">
        <v>4</v>
      </c>
      <c r="K1221" s="186">
        <v>71</v>
      </c>
      <c r="L1221" s="186">
        <v>32</v>
      </c>
      <c r="M1221" s="186">
        <v>2.4</v>
      </c>
      <c r="N1221" s="186">
        <v>1662</v>
      </c>
      <c r="O1221" s="186">
        <v>2797</v>
      </c>
      <c r="P1221" s="188">
        <v>0</v>
      </c>
      <c r="Q1221" s="189">
        <v>6648</v>
      </c>
      <c r="R1221" s="189">
        <v>11188</v>
      </c>
      <c r="S1221" s="184" t="s">
        <v>59</v>
      </c>
    </row>
    <row r="1222" spans="2:19">
      <c r="B1222" s="184" t="s">
        <v>31</v>
      </c>
      <c r="C1222" s="119">
        <f t="shared" si="8"/>
        <v>2024</v>
      </c>
      <c r="D1222" s="132">
        <f t="shared" si="9"/>
        <v>3</v>
      </c>
      <c r="E1222" s="132" t="s">
        <v>7</v>
      </c>
      <c r="F1222" s="132" t="s">
        <v>255</v>
      </c>
      <c r="G1222" s="133" t="s">
        <v>256</v>
      </c>
      <c r="H1222" s="184" t="s">
        <v>257</v>
      </c>
      <c r="I1222" s="184" t="s">
        <v>173</v>
      </c>
      <c r="J1222" s="186">
        <v>2</v>
      </c>
      <c r="K1222" s="186">
        <v>72</v>
      </c>
      <c r="L1222" s="186">
        <v>34</v>
      </c>
      <c r="M1222" s="186">
        <v>2.1</v>
      </c>
      <c r="N1222" s="186">
        <v>2296</v>
      </c>
      <c r="O1222" s="186">
        <v>3397</v>
      </c>
      <c r="P1222" s="188">
        <v>0.5</v>
      </c>
      <c r="Q1222" s="189">
        <v>4591</v>
      </c>
      <c r="R1222" s="189">
        <v>6794</v>
      </c>
      <c r="S1222" s="184" t="s">
        <v>59</v>
      </c>
    </row>
    <row r="1223" spans="2:19">
      <c r="B1223" s="184" t="s">
        <v>31</v>
      </c>
      <c r="C1223" s="119">
        <f t="shared" si="8"/>
        <v>2024</v>
      </c>
      <c r="D1223" s="132">
        <f t="shared" si="9"/>
        <v>3</v>
      </c>
      <c r="E1223" s="132" t="s">
        <v>7</v>
      </c>
      <c r="F1223" s="132" t="s">
        <v>258</v>
      </c>
      <c r="G1223" s="133" t="s">
        <v>256</v>
      </c>
      <c r="H1223" s="184" t="s">
        <v>257</v>
      </c>
      <c r="I1223" s="184" t="s">
        <v>200</v>
      </c>
      <c r="J1223" s="186">
        <v>0</v>
      </c>
      <c r="K1223" s="186">
        <v>0</v>
      </c>
      <c r="L1223" s="186">
        <v>0</v>
      </c>
      <c r="M1223" s="186">
        <v>0</v>
      </c>
      <c r="N1223" s="186">
        <v>0</v>
      </c>
      <c r="O1223" s="186">
        <v>0</v>
      </c>
      <c r="P1223" s="188">
        <v>0</v>
      </c>
      <c r="Q1223" s="186">
        <v>0</v>
      </c>
      <c r="R1223" s="186">
        <v>0</v>
      </c>
      <c r="S1223" s="184" t="s">
        <v>59</v>
      </c>
    </row>
    <row r="1224" spans="2:19">
      <c r="B1224" s="184" t="s">
        <v>31</v>
      </c>
      <c r="C1224" s="119">
        <f t="shared" si="8"/>
        <v>2024</v>
      </c>
      <c r="D1224" s="132">
        <f t="shared" si="9"/>
        <v>3</v>
      </c>
      <c r="E1224" s="132" t="s">
        <v>79</v>
      </c>
      <c r="F1224" s="132" t="s">
        <v>170</v>
      </c>
      <c r="G1224" s="133" t="s">
        <v>171</v>
      </c>
      <c r="H1224" s="184" t="s">
        <v>172</v>
      </c>
      <c r="I1224" s="184" t="s">
        <v>173</v>
      </c>
      <c r="J1224" s="186">
        <v>0</v>
      </c>
      <c r="K1224" s="186">
        <v>0</v>
      </c>
      <c r="L1224" s="186">
        <v>0</v>
      </c>
      <c r="M1224" s="186">
        <v>0</v>
      </c>
      <c r="N1224" s="186">
        <v>0</v>
      </c>
      <c r="O1224" s="186">
        <v>0</v>
      </c>
      <c r="P1224" s="188">
        <v>0</v>
      </c>
      <c r="Q1224" s="186">
        <v>0</v>
      </c>
      <c r="R1224" s="186">
        <v>0</v>
      </c>
      <c r="S1224" s="184" t="s">
        <v>59</v>
      </c>
    </row>
    <row r="1225" spans="2:19">
      <c r="B1225" s="184" t="s">
        <v>31</v>
      </c>
      <c r="C1225" s="119">
        <f t="shared" si="8"/>
        <v>2024</v>
      </c>
      <c r="D1225" s="132">
        <f t="shared" si="9"/>
        <v>3</v>
      </c>
      <c r="E1225" s="132" t="s">
        <v>79</v>
      </c>
      <c r="F1225" s="132" t="s">
        <v>174</v>
      </c>
      <c r="G1225" s="133" t="s">
        <v>175</v>
      </c>
      <c r="H1225" s="184" t="s">
        <v>176</v>
      </c>
      <c r="I1225" s="184" t="s">
        <v>173</v>
      </c>
      <c r="J1225" s="186">
        <v>0</v>
      </c>
      <c r="K1225" s="186">
        <v>0</v>
      </c>
      <c r="L1225" s="186">
        <v>0</v>
      </c>
      <c r="M1225" s="186">
        <v>0</v>
      </c>
      <c r="N1225" s="186">
        <v>0</v>
      </c>
      <c r="O1225" s="186">
        <v>0</v>
      </c>
      <c r="P1225" s="188">
        <v>0</v>
      </c>
      <c r="Q1225" s="186">
        <v>0</v>
      </c>
      <c r="R1225" s="186">
        <v>0</v>
      </c>
      <c r="S1225" s="184" t="s">
        <v>59</v>
      </c>
    </row>
    <row r="1226" spans="2:19">
      <c r="B1226" s="184" t="s">
        <v>31</v>
      </c>
      <c r="C1226" s="119">
        <f t="shared" si="8"/>
        <v>2024</v>
      </c>
      <c r="D1226" s="132">
        <f t="shared" si="9"/>
        <v>3</v>
      </c>
      <c r="E1226" s="132" t="s">
        <v>79</v>
      </c>
      <c r="F1226" s="132" t="s">
        <v>177</v>
      </c>
      <c r="G1226" s="133" t="s">
        <v>175</v>
      </c>
      <c r="H1226" s="184" t="s">
        <v>176</v>
      </c>
      <c r="I1226" s="184" t="s">
        <v>173</v>
      </c>
      <c r="J1226" s="186">
        <v>0</v>
      </c>
      <c r="K1226" s="186">
        <v>0</v>
      </c>
      <c r="L1226" s="186">
        <v>0</v>
      </c>
      <c r="M1226" s="186">
        <v>0</v>
      </c>
      <c r="N1226" s="186">
        <v>0</v>
      </c>
      <c r="O1226" s="186">
        <v>0</v>
      </c>
      <c r="P1226" s="188">
        <v>0</v>
      </c>
      <c r="Q1226" s="186">
        <v>0</v>
      </c>
      <c r="R1226" s="186">
        <v>0</v>
      </c>
      <c r="S1226" s="184" t="s">
        <v>59</v>
      </c>
    </row>
    <row r="1227" spans="2:19">
      <c r="B1227" s="184" t="s">
        <v>31</v>
      </c>
      <c r="C1227" s="119">
        <f t="shared" si="8"/>
        <v>2024</v>
      </c>
      <c r="D1227" s="132">
        <f t="shared" si="9"/>
        <v>3</v>
      </c>
      <c r="E1227" s="132" t="s">
        <v>79</v>
      </c>
      <c r="F1227" s="132" t="s">
        <v>242</v>
      </c>
      <c r="G1227" s="133" t="s">
        <v>243</v>
      </c>
      <c r="H1227" s="184" t="s">
        <v>244</v>
      </c>
      <c r="I1227" s="184" t="s">
        <v>184</v>
      </c>
      <c r="J1227" s="186">
        <v>0</v>
      </c>
      <c r="K1227" s="186" t="e">
        <v>#DIV/0!</v>
      </c>
      <c r="L1227" s="186" t="e">
        <v>#DIV/0!</v>
      </c>
      <c r="M1227" s="186" t="e">
        <v>#DIV/0!</v>
      </c>
      <c r="N1227" s="186" t="e">
        <v>#DIV/0!</v>
      </c>
      <c r="O1227" s="186" t="e">
        <v>#DIV/0!</v>
      </c>
      <c r="P1227" s="186" t="e">
        <v>#DIV/0!</v>
      </c>
      <c r="Q1227" s="186">
        <v>0</v>
      </c>
      <c r="R1227" s="186">
        <v>0</v>
      </c>
      <c r="S1227" s="184" t="s">
        <v>59</v>
      </c>
    </row>
    <row r="1228" spans="2:19">
      <c r="B1228" s="184" t="s">
        <v>31</v>
      </c>
      <c r="C1228" s="119">
        <f t="shared" si="8"/>
        <v>2024</v>
      </c>
      <c r="D1228" s="132">
        <f t="shared" si="9"/>
        <v>3</v>
      </c>
      <c r="E1228" s="132" t="s">
        <v>79</v>
      </c>
      <c r="F1228" s="132" t="s">
        <v>255</v>
      </c>
      <c r="G1228" s="133" t="s">
        <v>256</v>
      </c>
      <c r="H1228" s="184" t="s">
        <v>257</v>
      </c>
      <c r="I1228" s="184" t="s">
        <v>173</v>
      </c>
      <c r="J1228" s="186">
        <v>2</v>
      </c>
      <c r="K1228" s="186">
        <v>91</v>
      </c>
      <c r="L1228" s="186">
        <v>35</v>
      </c>
      <c r="M1228" s="186">
        <v>2.8</v>
      </c>
      <c r="N1228" s="186">
        <v>2656</v>
      </c>
      <c r="O1228" s="186">
        <v>3787</v>
      </c>
      <c r="P1228" s="188">
        <v>1</v>
      </c>
      <c r="Q1228" s="186">
        <v>5311</v>
      </c>
      <c r="R1228" s="186">
        <v>7573</v>
      </c>
      <c r="S1228" s="184" t="s">
        <v>59</v>
      </c>
    </row>
    <row r="1229" spans="2:19">
      <c r="B1229" s="184" t="s">
        <v>31</v>
      </c>
      <c r="C1229" s="119">
        <f t="shared" si="8"/>
        <v>2024</v>
      </c>
      <c r="D1229" s="132">
        <f t="shared" si="9"/>
        <v>3</v>
      </c>
      <c r="E1229" s="132" t="s">
        <v>79</v>
      </c>
      <c r="F1229" s="132" t="s">
        <v>239</v>
      </c>
      <c r="G1229" s="133" t="s">
        <v>240</v>
      </c>
      <c r="H1229" s="184"/>
      <c r="I1229" s="184"/>
      <c r="J1229" s="186">
        <v>1</v>
      </c>
      <c r="K1229" s="186">
        <v>62</v>
      </c>
      <c r="L1229" s="186">
        <v>35</v>
      </c>
      <c r="M1229" s="186">
        <v>2</v>
      </c>
      <c r="N1229" s="186">
        <v>1300</v>
      </c>
      <c r="O1229" s="186">
        <v>2032</v>
      </c>
      <c r="P1229" s="188">
        <v>0</v>
      </c>
      <c r="Q1229" s="186">
        <v>1300</v>
      </c>
      <c r="R1229" s="186">
        <v>2032</v>
      </c>
      <c r="S1229" s="184" t="s">
        <v>59</v>
      </c>
    </row>
    <row r="1230" spans="2:19">
      <c r="B1230" s="184" t="s">
        <v>31</v>
      </c>
      <c r="C1230" s="119">
        <f t="shared" si="8"/>
        <v>2024</v>
      </c>
      <c r="D1230" s="132">
        <f t="shared" si="9"/>
        <v>3</v>
      </c>
      <c r="E1230" s="132" t="s">
        <v>8</v>
      </c>
      <c r="F1230" s="132" t="s">
        <v>181</v>
      </c>
      <c r="G1230" s="133" t="s">
        <v>182</v>
      </c>
      <c r="H1230" s="184" t="s">
        <v>183</v>
      </c>
      <c r="I1230" s="184" t="s">
        <v>184</v>
      </c>
      <c r="J1230" s="186">
        <v>3</v>
      </c>
      <c r="K1230" s="186">
        <v>56</v>
      </c>
      <c r="L1230" s="186">
        <v>34</v>
      </c>
      <c r="M1230" s="186">
        <v>1.9</v>
      </c>
      <c r="N1230" s="186">
        <v>607</v>
      </c>
      <c r="O1230" s="186">
        <v>972</v>
      </c>
      <c r="P1230" s="188">
        <v>0.67</v>
      </c>
      <c r="Q1230" s="189">
        <v>1820</v>
      </c>
      <c r="R1230" s="189">
        <v>2917</v>
      </c>
      <c r="S1230" s="184" t="s">
        <v>59</v>
      </c>
    </row>
    <row r="1231" spans="2:19">
      <c r="B1231" s="184" t="s">
        <v>31</v>
      </c>
      <c r="C1231" s="119">
        <f t="shared" si="8"/>
        <v>2024</v>
      </c>
      <c r="D1231" s="132">
        <f t="shared" si="9"/>
        <v>3</v>
      </c>
      <c r="E1231" s="132" t="s">
        <v>8</v>
      </c>
      <c r="F1231" s="132" t="s">
        <v>185</v>
      </c>
      <c r="G1231" s="133" t="s">
        <v>186</v>
      </c>
      <c r="H1231" s="184" t="s">
        <v>187</v>
      </c>
      <c r="I1231" s="184" t="s">
        <v>184</v>
      </c>
      <c r="J1231" s="186">
        <v>4</v>
      </c>
      <c r="K1231" s="186">
        <v>64</v>
      </c>
      <c r="L1231" s="186">
        <v>29</v>
      </c>
      <c r="M1231" s="186">
        <v>2.5</v>
      </c>
      <c r="N1231" s="186">
        <v>986</v>
      </c>
      <c r="O1231" s="186">
        <v>1507</v>
      </c>
      <c r="P1231" s="188">
        <v>0.5</v>
      </c>
      <c r="Q1231" s="189">
        <v>3942</v>
      </c>
      <c r="R1231" s="189">
        <v>6026</v>
      </c>
      <c r="S1231" s="184" t="s">
        <v>59</v>
      </c>
    </row>
    <row r="1232" spans="2:19">
      <c r="B1232" s="184" t="s">
        <v>31</v>
      </c>
      <c r="C1232" s="119">
        <f t="shared" si="8"/>
        <v>2024</v>
      </c>
      <c r="D1232" s="132">
        <f t="shared" si="9"/>
        <v>3</v>
      </c>
      <c r="E1232" s="132" t="s">
        <v>8</v>
      </c>
      <c r="F1232" s="132" t="s">
        <v>188</v>
      </c>
      <c r="G1232" s="133" t="s">
        <v>189</v>
      </c>
      <c r="H1232" s="184" t="s">
        <v>190</v>
      </c>
      <c r="I1232" s="184" t="s">
        <v>184</v>
      </c>
      <c r="J1232" s="186">
        <v>5</v>
      </c>
      <c r="K1232" s="186">
        <v>42</v>
      </c>
      <c r="L1232" s="186">
        <v>22</v>
      </c>
      <c r="M1232" s="186">
        <v>2.1</v>
      </c>
      <c r="N1232" s="186">
        <v>637</v>
      </c>
      <c r="O1232" s="186">
        <v>1034</v>
      </c>
      <c r="P1232" s="188">
        <v>0.4</v>
      </c>
      <c r="Q1232" s="189">
        <v>3183</v>
      </c>
      <c r="R1232" s="189">
        <v>5170</v>
      </c>
      <c r="S1232" s="184" t="s">
        <v>59</v>
      </c>
    </row>
    <row r="1233" spans="2:19">
      <c r="B1233" s="184" t="s">
        <v>31</v>
      </c>
      <c r="C1233" s="119">
        <f t="shared" si="8"/>
        <v>2024</v>
      </c>
      <c r="D1233" s="132">
        <f t="shared" si="9"/>
        <v>3</v>
      </c>
      <c r="E1233" s="132" t="s">
        <v>8</v>
      </c>
      <c r="F1233" s="132" t="s">
        <v>191</v>
      </c>
      <c r="G1233" s="133" t="s">
        <v>192</v>
      </c>
      <c r="H1233" s="184" t="s">
        <v>193</v>
      </c>
      <c r="I1233" s="184" t="s">
        <v>173</v>
      </c>
      <c r="J1233" s="186">
        <v>0</v>
      </c>
      <c r="K1233" s="186">
        <v>0</v>
      </c>
      <c r="L1233" s="186">
        <v>0</v>
      </c>
      <c r="M1233" s="186">
        <v>0</v>
      </c>
      <c r="N1233" s="186">
        <v>0</v>
      </c>
      <c r="O1233" s="186">
        <v>0</v>
      </c>
      <c r="P1233" s="188">
        <v>0</v>
      </c>
      <c r="Q1233" s="186">
        <v>0</v>
      </c>
      <c r="R1233" s="186">
        <v>0</v>
      </c>
      <c r="S1233" s="184" t="s">
        <v>59</v>
      </c>
    </row>
    <row r="1234" spans="2:19">
      <c r="B1234" s="184" t="s">
        <v>31</v>
      </c>
      <c r="C1234" s="119">
        <f t="shared" si="8"/>
        <v>2024</v>
      </c>
      <c r="D1234" s="132">
        <f t="shared" si="9"/>
        <v>3</v>
      </c>
      <c r="E1234" s="132" t="s">
        <v>8</v>
      </c>
      <c r="F1234" s="132" t="s">
        <v>245</v>
      </c>
      <c r="G1234" s="133" t="s">
        <v>246</v>
      </c>
      <c r="H1234" s="184" t="s">
        <v>247</v>
      </c>
      <c r="I1234" s="184" t="s">
        <v>184</v>
      </c>
      <c r="J1234" s="186">
        <v>4</v>
      </c>
      <c r="K1234" s="186">
        <v>49</v>
      </c>
      <c r="L1234" s="186">
        <v>28</v>
      </c>
      <c r="M1234" s="186">
        <v>2</v>
      </c>
      <c r="N1234" s="186">
        <v>2583</v>
      </c>
      <c r="O1234" s="186">
        <v>3546</v>
      </c>
      <c r="P1234" s="188">
        <v>0</v>
      </c>
      <c r="Q1234" s="189">
        <v>2583</v>
      </c>
      <c r="R1234" s="189">
        <v>3546</v>
      </c>
      <c r="S1234" s="184" t="s">
        <v>59</v>
      </c>
    </row>
    <row r="1235" spans="2:19">
      <c r="B1235" s="184" t="s">
        <v>31</v>
      </c>
      <c r="C1235" s="119">
        <f t="shared" si="8"/>
        <v>2024</v>
      </c>
      <c r="D1235" s="132">
        <f t="shared" si="9"/>
        <v>3</v>
      </c>
      <c r="E1235" s="132" t="s">
        <v>20</v>
      </c>
      <c r="F1235" s="132" t="s">
        <v>178</v>
      </c>
      <c r="G1235" s="133" t="s">
        <v>179</v>
      </c>
      <c r="H1235" s="184" t="s">
        <v>180</v>
      </c>
      <c r="I1235" s="184" t="s">
        <v>173</v>
      </c>
      <c r="J1235" s="186">
        <v>1</v>
      </c>
      <c r="K1235" s="186">
        <v>39</v>
      </c>
      <c r="L1235" s="186">
        <v>21</v>
      </c>
      <c r="M1235" s="186">
        <v>1.9</v>
      </c>
      <c r="N1235" s="186">
        <v>893</v>
      </c>
      <c r="O1235" s="186">
        <v>1225</v>
      </c>
      <c r="P1235" s="188">
        <v>0</v>
      </c>
      <c r="Q1235" s="186">
        <v>893</v>
      </c>
      <c r="R1235" s="189">
        <v>1225</v>
      </c>
      <c r="S1235" s="184" t="s">
        <v>59</v>
      </c>
    </row>
    <row r="1236" spans="2:19">
      <c r="B1236" s="184" t="s">
        <v>31</v>
      </c>
      <c r="C1236" s="119">
        <f t="shared" si="8"/>
        <v>2024</v>
      </c>
      <c r="D1236" s="132">
        <f t="shared" si="9"/>
        <v>3</v>
      </c>
      <c r="E1236" s="132" t="s">
        <v>102</v>
      </c>
      <c r="F1236" s="132" t="s">
        <v>288</v>
      </c>
      <c r="G1236" s="133" t="s">
        <v>199</v>
      </c>
      <c r="H1236" s="184" t="s">
        <v>199</v>
      </c>
      <c r="I1236" s="184" t="s">
        <v>200</v>
      </c>
      <c r="J1236" s="186">
        <v>0</v>
      </c>
      <c r="K1236" s="186" t="e">
        <v>#DIV/0!</v>
      </c>
      <c r="L1236" s="186" t="e">
        <v>#DIV/0!</v>
      </c>
      <c r="M1236" s="186" t="e">
        <v>#DIV/0!</v>
      </c>
      <c r="N1236" s="186" t="e">
        <v>#DIV/0!</v>
      </c>
      <c r="O1236" s="186" t="e">
        <v>#DIV/0!</v>
      </c>
      <c r="P1236" s="186" t="e">
        <v>#DIV/0!</v>
      </c>
      <c r="Q1236" s="186">
        <v>0</v>
      </c>
      <c r="R1236" s="186">
        <v>0</v>
      </c>
      <c r="S1236" s="184" t="s">
        <v>59</v>
      </c>
    </row>
    <row r="1237" spans="2:19">
      <c r="B1237" s="184" t="s">
        <v>31</v>
      </c>
      <c r="C1237" s="119">
        <f t="shared" si="8"/>
        <v>2024</v>
      </c>
      <c r="D1237" s="132">
        <f t="shared" si="9"/>
        <v>3</v>
      </c>
      <c r="E1237" s="132" t="s">
        <v>104</v>
      </c>
      <c r="F1237" s="132" t="s">
        <v>198</v>
      </c>
      <c r="G1237" s="133" t="s">
        <v>199</v>
      </c>
      <c r="H1237" s="184" t="s">
        <v>199</v>
      </c>
      <c r="I1237" s="184" t="s">
        <v>200</v>
      </c>
      <c r="J1237" s="186">
        <v>0</v>
      </c>
      <c r="K1237" s="186">
        <v>0</v>
      </c>
      <c r="L1237" s="186">
        <v>0</v>
      </c>
      <c r="M1237" s="186">
        <v>0</v>
      </c>
      <c r="N1237" s="186">
        <v>0</v>
      </c>
      <c r="O1237" s="186">
        <v>0</v>
      </c>
      <c r="P1237" s="188">
        <v>0</v>
      </c>
      <c r="Q1237" s="186">
        <v>0</v>
      </c>
      <c r="R1237" s="186">
        <v>0</v>
      </c>
      <c r="S1237" s="184" t="s">
        <v>59</v>
      </c>
    </row>
    <row r="1238" spans="2:19">
      <c r="B1238" s="184" t="s">
        <v>31</v>
      </c>
      <c r="C1238" s="119">
        <f t="shared" si="8"/>
        <v>2024</v>
      </c>
      <c r="D1238" s="132">
        <f t="shared" si="9"/>
        <v>3</v>
      </c>
      <c r="E1238" s="132" t="s">
        <v>88</v>
      </c>
      <c r="F1238" s="132" t="s">
        <v>195</v>
      </c>
      <c r="G1238" s="133" t="s">
        <v>196</v>
      </c>
      <c r="H1238" s="184" t="s">
        <v>197</v>
      </c>
      <c r="I1238" s="184" t="s">
        <v>184</v>
      </c>
      <c r="J1238" s="186">
        <v>4</v>
      </c>
      <c r="K1238" s="186">
        <v>37</v>
      </c>
      <c r="L1238" s="186">
        <v>26</v>
      </c>
      <c r="M1238" s="186">
        <v>1.6</v>
      </c>
      <c r="N1238" s="186">
        <v>399</v>
      </c>
      <c r="O1238" s="186">
        <v>571</v>
      </c>
      <c r="P1238" s="188">
        <v>0</v>
      </c>
      <c r="Q1238" s="189">
        <v>1597</v>
      </c>
      <c r="R1238" s="189">
        <v>2284</v>
      </c>
      <c r="S1238" s="184" t="s">
        <v>59</v>
      </c>
    </row>
    <row r="1239" spans="2:19">
      <c r="B1239" s="184" t="s">
        <v>31</v>
      </c>
      <c r="C1239" s="119">
        <f t="shared" si="8"/>
        <v>2024</v>
      </c>
      <c r="D1239" s="132">
        <f t="shared" si="9"/>
        <v>3</v>
      </c>
      <c r="E1239" s="132" t="s">
        <v>30</v>
      </c>
      <c r="F1239" s="132" t="s">
        <v>205</v>
      </c>
      <c r="G1239" s="133" t="s">
        <v>206</v>
      </c>
      <c r="H1239" s="184" t="s">
        <v>207</v>
      </c>
      <c r="I1239" s="184" t="s">
        <v>184</v>
      </c>
      <c r="J1239" s="186">
        <v>0</v>
      </c>
      <c r="K1239" s="186">
        <v>0</v>
      </c>
      <c r="L1239" s="186">
        <v>0</v>
      </c>
      <c r="M1239" s="186">
        <v>0</v>
      </c>
      <c r="N1239" s="186">
        <v>0</v>
      </c>
      <c r="O1239" s="186">
        <v>0</v>
      </c>
      <c r="P1239" s="188">
        <v>0</v>
      </c>
      <c r="Q1239" s="186">
        <v>0</v>
      </c>
      <c r="R1239" s="186">
        <v>0</v>
      </c>
      <c r="S1239" s="184" t="s">
        <v>59</v>
      </c>
    </row>
    <row r="1240" spans="2:19">
      <c r="B1240" s="184" t="s">
        <v>31</v>
      </c>
      <c r="C1240" s="119">
        <f t="shared" si="8"/>
        <v>2024</v>
      </c>
      <c r="D1240" s="132">
        <f t="shared" si="9"/>
        <v>3</v>
      </c>
      <c r="E1240" s="132" t="s">
        <v>93</v>
      </c>
      <c r="F1240" s="132" t="s">
        <v>265</v>
      </c>
      <c r="G1240" s="133" t="s">
        <v>266</v>
      </c>
      <c r="H1240" s="184" t="s">
        <v>267</v>
      </c>
      <c r="I1240" s="184" t="s">
        <v>184</v>
      </c>
      <c r="J1240" s="186">
        <v>1</v>
      </c>
      <c r="K1240" s="186">
        <v>17</v>
      </c>
      <c r="L1240" s="186">
        <v>26</v>
      </c>
      <c r="M1240" s="186">
        <v>0.9</v>
      </c>
      <c r="N1240" s="186">
        <v>72</v>
      </c>
      <c r="O1240" s="186">
        <v>133</v>
      </c>
      <c r="P1240" s="188">
        <v>1</v>
      </c>
      <c r="Q1240" s="186">
        <v>72</v>
      </c>
      <c r="R1240" s="186">
        <v>133</v>
      </c>
      <c r="S1240" s="184" t="s">
        <v>59</v>
      </c>
    </row>
    <row r="1241" spans="2:19">
      <c r="B1241" s="184" t="s">
        <v>31</v>
      </c>
      <c r="C1241" s="119">
        <f t="shared" si="8"/>
        <v>2024</v>
      </c>
      <c r="D1241" s="132">
        <f t="shared" si="9"/>
        <v>3</v>
      </c>
      <c r="E1241" s="132" t="s">
        <v>201</v>
      </c>
      <c r="F1241" s="132" t="s">
        <v>248</v>
      </c>
      <c r="G1241" s="133" t="s">
        <v>199</v>
      </c>
      <c r="H1241" s="184" t="s">
        <v>199</v>
      </c>
      <c r="I1241" s="184" t="s">
        <v>200</v>
      </c>
      <c r="J1241" s="186">
        <v>0</v>
      </c>
      <c r="K1241" s="186">
        <v>0</v>
      </c>
      <c r="L1241" s="186">
        <v>0</v>
      </c>
      <c r="M1241" s="186">
        <v>0</v>
      </c>
      <c r="N1241" s="186">
        <v>0</v>
      </c>
      <c r="O1241" s="186">
        <v>0</v>
      </c>
      <c r="P1241" s="188">
        <v>0</v>
      </c>
      <c r="Q1241" s="188">
        <v>0</v>
      </c>
      <c r="R1241" s="188">
        <v>0</v>
      </c>
      <c r="S1241" s="184" t="s">
        <v>59</v>
      </c>
    </row>
    <row r="1242" spans="2:19">
      <c r="B1242" s="184" t="s">
        <v>31</v>
      </c>
      <c r="C1242" s="119">
        <f t="shared" si="8"/>
        <v>2024</v>
      </c>
      <c r="D1242" s="132">
        <f t="shared" si="9"/>
        <v>3</v>
      </c>
      <c r="E1242" s="132" t="s">
        <v>116</v>
      </c>
      <c r="F1242" s="132" t="s">
        <v>271</v>
      </c>
      <c r="G1242" s="133"/>
      <c r="H1242" s="184" t="s">
        <v>199</v>
      </c>
      <c r="I1242" s="184" t="s">
        <v>200</v>
      </c>
      <c r="J1242" s="186">
        <v>0</v>
      </c>
      <c r="K1242" s="186">
        <v>0</v>
      </c>
      <c r="L1242" s="186">
        <v>0</v>
      </c>
      <c r="M1242" s="186">
        <v>0</v>
      </c>
      <c r="N1242" s="186">
        <v>0</v>
      </c>
      <c r="O1242" s="186">
        <v>0</v>
      </c>
      <c r="P1242" s="188">
        <v>0</v>
      </c>
      <c r="Q1242" s="186">
        <v>0</v>
      </c>
      <c r="R1242" s="186">
        <v>0</v>
      </c>
      <c r="S1242" s="184" t="s">
        <v>59</v>
      </c>
    </row>
    <row r="1243" spans="2:19">
      <c r="B1243" s="184" t="s">
        <v>31</v>
      </c>
      <c r="C1243" s="119">
        <f t="shared" si="8"/>
        <v>2024</v>
      </c>
      <c r="D1243" s="132">
        <f t="shared" si="9"/>
        <v>3</v>
      </c>
      <c r="E1243" s="132" t="s">
        <v>10</v>
      </c>
      <c r="F1243" s="132" t="s">
        <v>208</v>
      </c>
      <c r="G1243" s="133" t="s">
        <v>209</v>
      </c>
      <c r="H1243" s="184" t="s">
        <v>210</v>
      </c>
      <c r="I1243" s="184" t="s">
        <v>173</v>
      </c>
      <c r="J1243" s="186">
        <v>0</v>
      </c>
      <c r="K1243" s="186">
        <v>0</v>
      </c>
      <c r="L1243" s="186">
        <v>0</v>
      </c>
      <c r="M1243" s="186">
        <v>0</v>
      </c>
      <c r="N1243" s="186">
        <v>0</v>
      </c>
      <c r="O1243" s="186">
        <v>0</v>
      </c>
      <c r="P1243" s="188">
        <v>0</v>
      </c>
      <c r="Q1243" s="186">
        <v>0</v>
      </c>
      <c r="R1243" s="186">
        <v>0</v>
      </c>
      <c r="S1243" s="184" t="s">
        <v>59</v>
      </c>
    </row>
    <row r="1244" spans="2:19">
      <c r="B1244" s="184" t="s">
        <v>31</v>
      </c>
      <c r="C1244" s="119">
        <f t="shared" si="8"/>
        <v>2024</v>
      </c>
      <c r="D1244" s="132">
        <f t="shared" si="9"/>
        <v>3</v>
      </c>
      <c r="E1244" s="132" t="s">
        <v>10</v>
      </c>
      <c r="F1244" s="132" t="s">
        <v>211</v>
      </c>
      <c r="G1244" s="133" t="s">
        <v>212</v>
      </c>
      <c r="H1244" s="184" t="s">
        <v>213</v>
      </c>
      <c r="I1244" s="184" t="s">
        <v>173</v>
      </c>
      <c r="J1244" s="186">
        <v>0</v>
      </c>
      <c r="K1244" s="186">
        <v>0</v>
      </c>
      <c r="L1244" s="186">
        <v>0</v>
      </c>
      <c r="M1244" s="186">
        <v>0</v>
      </c>
      <c r="N1244" s="186">
        <v>0</v>
      </c>
      <c r="O1244" s="186">
        <v>0</v>
      </c>
      <c r="P1244" s="188">
        <v>0</v>
      </c>
      <c r="Q1244" s="186">
        <v>0</v>
      </c>
      <c r="R1244" s="186">
        <v>0</v>
      </c>
      <c r="S1244" s="184" t="s">
        <v>59</v>
      </c>
    </row>
    <row r="1245" spans="2:19">
      <c r="B1245" s="184" t="s">
        <v>31</v>
      </c>
      <c r="C1245" s="119">
        <f t="shared" si="8"/>
        <v>2024</v>
      </c>
      <c r="D1245" s="132">
        <f t="shared" si="9"/>
        <v>3</v>
      </c>
      <c r="E1245" s="132" t="s">
        <v>10</v>
      </c>
      <c r="F1245" s="132" t="s">
        <v>214</v>
      </c>
      <c r="G1245" s="133" t="s">
        <v>215</v>
      </c>
      <c r="H1245" s="184" t="s">
        <v>216</v>
      </c>
      <c r="I1245" s="184" t="s">
        <v>184</v>
      </c>
      <c r="J1245" s="186">
        <v>5</v>
      </c>
      <c r="K1245" s="186">
        <v>45</v>
      </c>
      <c r="L1245" s="186">
        <v>21</v>
      </c>
      <c r="M1245" s="186">
        <v>2.2000000000000002</v>
      </c>
      <c r="N1245" s="186">
        <v>1009</v>
      </c>
      <c r="O1245" s="186">
        <v>1519</v>
      </c>
      <c r="P1245" s="188">
        <v>1</v>
      </c>
      <c r="Q1245" s="189">
        <v>5044</v>
      </c>
      <c r="R1245" s="189">
        <v>7593</v>
      </c>
      <c r="S1245" s="184" t="s">
        <v>59</v>
      </c>
    </row>
    <row r="1246" spans="2:19">
      <c r="B1246" s="184" t="s">
        <v>31</v>
      </c>
      <c r="C1246" s="119">
        <f t="shared" si="8"/>
        <v>2024</v>
      </c>
      <c r="D1246" s="132">
        <f t="shared" si="9"/>
        <v>3</v>
      </c>
      <c r="E1246" s="132" t="s">
        <v>10</v>
      </c>
      <c r="F1246" s="132" t="s">
        <v>268</v>
      </c>
      <c r="G1246" s="133" t="s">
        <v>269</v>
      </c>
      <c r="H1246" s="184" t="s">
        <v>270</v>
      </c>
      <c r="I1246" s="184" t="s">
        <v>184</v>
      </c>
      <c r="J1246" s="186">
        <v>6</v>
      </c>
      <c r="K1246" s="186">
        <v>48</v>
      </c>
      <c r="L1246" s="186">
        <v>28</v>
      </c>
      <c r="M1246" s="186">
        <v>2</v>
      </c>
      <c r="N1246" s="186">
        <v>788</v>
      </c>
      <c r="O1246" s="186">
        <v>1155</v>
      </c>
      <c r="P1246" s="188">
        <v>0.33</v>
      </c>
      <c r="Q1246" s="186">
        <v>4730</v>
      </c>
      <c r="R1246" s="186">
        <v>6929</v>
      </c>
      <c r="S1246" s="184" t="s">
        <v>59</v>
      </c>
    </row>
    <row r="1247" spans="2:19">
      <c r="B1247" s="184" t="s">
        <v>31</v>
      </c>
      <c r="C1247" s="119">
        <f t="shared" si="8"/>
        <v>2024</v>
      </c>
      <c r="D1247" s="132">
        <f t="shared" si="9"/>
        <v>3</v>
      </c>
      <c r="E1247" s="132" t="s">
        <v>9</v>
      </c>
      <c r="F1247" s="132" t="s">
        <v>217</v>
      </c>
      <c r="G1247" s="133" t="s">
        <v>218</v>
      </c>
      <c r="H1247" s="184" t="s">
        <v>219</v>
      </c>
      <c r="I1247" s="184" t="s">
        <v>184</v>
      </c>
      <c r="J1247" s="186">
        <v>5</v>
      </c>
      <c r="K1247" s="186">
        <v>60</v>
      </c>
      <c r="L1247" s="186">
        <v>28</v>
      </c>
      <c r="M1247" s="186">
        <v>2.2000000000000002</v>
      </c>
      <c r="N1247" s="186">
        <v>1697</v>
      </c>
      <c r="O1247" s="186">
        <v>2772</v>
      </c>
      <c r="P1247" s="188">
        <v>0.6</v>
      </c>
      <c r="Q1247" s="189">
        <v>8485</v>
      </c>
      <c r="R1247" s="189">
        <v>13858</v>
      </c>
      <c r="S1247" s="184" t="s">
        <v>59</v>
      </c>
    </row>
    <row r="1248" spans="2:19">
      <c r="B1248" s="184" t="s">
        <v>31</v>
      </c>
      <c r="C1248" s="119">
        <f t="shared" si="8"/>
        <v>2024</v>
      </c>
      <c r="D1248" s="132">
        <f t="shared" si="9"/>
        <v>3</v>
      </c>
      <c r="E1248" s="132" t="s">
        <v>101</v>
      </c>
      <c r="F1248" s="132" t="s">
        <v>249</v>
      </c>
      <c r="G1248" s="133" t="s">
        <v>250</v>
      </c>
      <c r="H1248" s="184" t="s">
        <v>251</v>
      </c>
      <c r="I1248" s="184" t="s">
        <v>184</v>
      </c>
      <c r="J1248" s="186">
        <v>1</v>
      </c>
      <c r="K1248" s="186">
        <v>0</v>
      </c>
      <c r="L1248" s="186">
        <v>23</v>
      </c>
      <c r="M1248" s="186">
        <v>2</v>
      </c>
      <c r="N1248" s="186">
        <v>774</v>
      </c>
      <c r="O1248" s="186">
        <v>1207</v>
      </c>
      <c r="P1248" s="188">
        <v>0</v>
      </c>
      <c r="Q1248" s="186">
        <v>774</v>
      </c>
      <c r="R1248" s="186">
        <v>1207</v>
      </c>
      <c r="S1248" s="184" t="s">
        <v>59</v>
      </c>
    </row>
    <row r="1249" spans="2:19">
      <c r="B1249" s="184" t="s">
        <v>31</v>
      </c>
      <c r="C1249" s="119">
        <f t="shared" si="8"/>
        <v>2024</v>
      </c>
      <c r="D1249" s="132">
        <f t="shared" si="9"/>
        <v>3</v>
      </c>
      <c r="E1249" s="132" t="s">
        <v>11</v>
      </c>
      <c r="F1249" s="132" t="s">
        <v>220</v>
      </c>
      <c r="G1249" s="133" t="s">
        <v>221</v>
      </c>
      <c r="H1249" s="184" t="s">
        <v>222</v>
      </c>
      <c r="I1249" s="184" t="s">
        <v>184</v>
      </c>
      <c r="J1249" s="186">
        <v>2</v>
      </c>
      <c r="K1249" s="186">
        <v>44</v>
      </c>
      <c r="L1249" s="186">
        <v>23</v>
      </c>
      <c r="M1249" s="186">
        <v>2</v>
      </c>
      <c r="N1249" s="186">
        <v>794</v>
      </c>
      <c r="O1249" s="186">
        <v>1213</v>
      </c>
      <c r="P1249" s="188">
        <v>0</v>
      </c>
      <c r="Q1249" s="189">
        <v>1587</v>
      </c>
      <c r="R1249" s="189">
        <v>2426</v>
      </c>
      <c r="S1249" s="184" t="s">
        <v>59</v>
      </c>
    </row>
    <row r="1250" spans="2:19">
      <c r="B1250" s="184" t="s">
        <v>31</v>
      </c>
      <c r="C1250" s="119">
        <f t="shared" si="8"/>
        <v>2024</v>
      </c>
      <c r="D1250" s="132">
        <f t="shared" si="9"/>
        <v>3</v>
      </c>
      <c r="E1250" s="132" t="s">
        <v>11</v>
      </c>
      <c r="F1250" s="132" t="s">
        <v>249</v>
      </c>
      <c r="G1250" s="133" t="s">
        <v>250</v>
      </c>
      <c r="H1250" s="184" t="s">
        <v>251</v>
      </c>
      <c r="I1250" s="184" t="s">
        <v>184</v>
      </c>
      <c r="J1250" s="186">
        <v>1</v>
      </c>
      <c r="K1250" s="186">
        <v>0</v>
      </c>
      <c r="L1250" s="186">
        <v>0</v>
      </c>
      <c r="M1250" s="186">
        <v>0</v>
      </c>
      <c r="N1250" s="186">
        <v>990</v>
      </c>
      <c r="O1250" s="186">
        <v>1412</v>
      </c>
      <c r="P1250" s="186">
        <v>0</v>
      </c>
      <c r="Q1250" s="186">
        <v>990</v>
      </c>
      <c r="R1250" s="186">
        <v>1412</v>
      </c>
      <c r="S1250" s="184" t="s">
        <v>59</v>
      </c>
    </row>
    <row r="1251" spans="2:19">
      <c r="B1251" s="184" t="s">
        <v>31</v>
      </c>
      <c r="C1251" s="119">
        <f t="shared" si="8"/>
        <v>2024</v>
      </c>
      <c r="D1251" s="132">
        <f t="shared" si="9"/>
        <v>3</v>
      </c>
      <c r="E1251" s="132" t="s">
        <v>91</v>
      </c>
      <c r="F1251" s="132" t="s">
        <v>178</v>
      </c>
      <c r="G1251" s="133" t="s">
        <v>179</v>
      </c>
      <c r="H1251" s="184" t="s">
        <v>180</v>
      </c>
      <c r="I1251" s="184" t="s">
        <v>173</v>
      </c>
      <c r="J1251" s="186">
        <v>2</v>
      </c>
      <c r="K1251" s="186">
        <v>44</v>
      </c>
      <c r="L1251" s="186">
        <v>18</v>
      </c>
      <c r="M1251" s="186">
        <v>2.5</v>
      </c>
      <c r="N1251" s="186">
        <v>946</v>
      </c>
      <c r="O1251" s="186" t="e">
        <v>#DIV/0!</v>
      </c>
      <c r="P1251" s="188">
        <v>0</v>
      </c>
      <c r="Q1251" s="189">
        <v>1892</v>
      </c>
      <c r="R1251" s="189">
        <v>2604</v>
      </c>
      <c r="S1251" s="184" t="s">
        <v>59</v>
      </c>
    </row>
    <row r="1252" spans="2:19">
      <c r="B1252" s="184" t="s">
        <v>31</v>
      </c>
      <c r="C1252" s="119">
        <f t="shared" si="8"/>
        <v>2024</v>
      </c>
      <c r="D1252" s="132">
        <f t="shared" si="9"/>
        <v>3</v>
      </c>
      <c r="E1252" s="132" t="s">
        <v>91</v>
      </c>
      <c r="F1252" s="132" t="s">
        <v>289</v>
      </c>
      <c r="G1252" s="133" t="s">
        <v>240</v>
      </c>
      <c r="H1252" s="184" t="s">
        <v>241</v>
      </c>
      <c r="I1252" s="184" t="s">
        <v>184</v>
      </c>
      <c r="J1252" s="186">
        <v>1</v>
      </c>
      <c r="K1252" s="186">
        <v>69</v>
      </c>
      <c r="L1252" s="186">
        <v>30</v>
      </c>
      <c r="M1252" s="186">
        <v>2</v>
      </c>
      <c r="N1252" s="186">
        <v>1154</v>
      </c>
      <c r="O1252" s="186">
        <v>1667</v>
      </c>
      <c r="P1252" s="188">
        <v>0</v>
      </c>
      <c r="Q1252" s="186">
        <v>1154</v>
      </c>
      <c r="R1252" s="186">
        <v>1667</v>
      </c>
      <c r="S1252" s="184" t="s">
        <v>59</v>
      </c>
    </row>
    <row r="1253" spans="2:19">
      <c r="B1253" s="184" t="s">
        <v>31</v>
      </c>
      <c r="C1253" s="119">
        <f t="shared" si="8"/>
        <v>2024</v>
      </c>
      <c r="D1253" s="132">
        <f t="shared" si="9"/>
        <v>3</v>
      </c>
      <c r="E1253" s="132" t="s">
        <v>23</v>
      </c>
      <c r="F1253" s="132" t="s">
        <v>223</v>
      </c>
      <c r="G1253" s="133" t="s">
        <v>175</v>
      </c>
      <c r="H1253" s="184" t="s">
        <v>176</v>
      </c>
      <c r="I1253" s="184" t="s">
        <v>173</v>
      </c>
      <c r="J1253" s="186">
        <v>0</v>
      </c>
      <c r="K1253" s="186">
        <v>0</v>
      </c>
      <c r="L1253" s="186">
        <v>0</v>
      </c>
      <c r="M1253" s="186">
        <v>0</v>
      </c>
      <c r="N1253" s="186">
        <v>0</v>
      </c>
      <c r="O1253" s="186">
        <v>0</v>
      </c>
      <c r="P1253" s="188">
        <v>0</v>
      </c>
      <c r="Q1253" s="186">
        <v>0</v>
      </c>
      <c r="R1253" s="186">
        <v>0</v>
      </c>
      <c r="S1253" s="184" t="s">
        <v>59</v>
      </c>
    </row>
    <row r="1254" spans="2:19">
      <c r="B1254" s="184" t="s">
        <v>31</v>
      </c>
      <c r="C1254" s="119">
        <f t="shared" si="8"/>
        <v>2024</v>
      </c>
      <c r="D1254" s="132">
        <f t="shared" si="9"/>
        <v>3</v>
      </c>
      <c r="E1254" s="132" t="s">
        <v>23</v>
      </c>
      <c r="F1254" s="132" t="s">
        <v>224</v>
      </c>
      <c r="G1254" s="133" t="s">
        <v>107</v>
      </c>
      <c r="H1254" s="184" t="s">
        <v>107</v>
      </c>
      <c r="I1254" s="184" t="s">
        <v>107</v>
      </c>
      <c r="J1254" s="186">
        <v>0</v>
      </c>
      <c r="K1254" s="186">
        <v>0</v>
      </c>
      <c r="L1254" s="186">
        <v>0</v>
      </c>
      <c r="M1254" s="186">
        <v>0</v>
      </c>
      <c r="N1254" s="186">
        <v>0</v>
      </c>
      <c r="O1254" s="186">
        <v>0</v>
      </c>
      <c r="P1254" s="188">
        <v>0</v>
      </c>
      <c r="Q1254" s="186">
        <v>0</v>
      </c>
      <c r="R1254" s="186">
        <v>0</v>
      </c>
      <c r="S1254" s="184" t="s">
        <v>59</v>
      </c>
    </row>
    <row r="1255" spans="2:19">
      <c r="B1255" s="184" t="s">
        <v>31</v>
      </c>
      <c r="C1255" s="119">
        <f t="shared" si="8"/>
        <v>2024</v>
      </c>
      <c r="D1255" s="132">
        <f t="shared" si="9"/>
        <v>3</v>
      </c>
      <c r="E1255" s="132" t="s">
        <v>15</v>
      </c>
      <c r="F1255" s="132" t="s">
        <v>225</v>
      </c>
      <c r="G1255" s="133" t="s">
        <v>226</v>
      </c>
      <c r="H1255" s="184" t="s">
        <v>227</v>
      </c>
      <c r="I1255" s="184" t="s">
        <v>173</v>
      </c>
      <c r="J1255" s="186">
        <v>0</v>
      </c>
      <c r="K1255" s="186">
        <v>0</v>
      </c>
      <c r="L1255" s="186">
        <v>0</v>
      </c>
      <c r="M1255" s="186">
        <v>0</v>
      </c>
      <c r="N1255" s="186">
        <v>0</v>
      </c>
      <c r="O1255" s="186">
        <v>0</v>
      </c>
      <c r="P1255" s="188">
        <v>0</v>
      </c>
      <c r="Q1255" s="186">
        <v>0</v>
      </c>
      <c r="R1255" s="186">
        <v>0</v>
      </c>
      <c r="S1255" s="184" t="s">
        <v>59</v>
      </c>
    </row>
    <row r="1256" spans="2:19">
      <c r="B1256" s="184" t="s">
        <v>31</v>
      </c>
      <c r="C1256" s="119">
        <f t="shared" si="8"/>
        <v>2024</v>
      </c>
      <c r="D1256" s="132">
        <f t="shared" si="9"/>
        <v>3</v>
      </c>
      <c r="E1256" s="132" t="s">
        <v>15</v>
      </c>
      <c r="F1256" s="132" t="s">
        <v>220</v>
      </c>
      <c r="G1256" s="133" t="s">
        <v>221</v>
      </c>
      <c r="H1256" s="184" t="s">
        <v>222</v>
      </c>
      <c r="I1256" s="184" t="s">
        <v>184</v>
      </c>
      <c r="J1256" s="186">
        <v>1</v>
      </c>
      <c r="K1256" s="186">
        <v>31</v>
      </c>
      <c r="L1256" s="186">
        <v>20</v>
      </c>
      <c r="M1256" s="186">
        <v>1</v>
      </c>
      <c r="N1256" s="186">
        <v>815</v>
      </c>
      <c r="O1256" s="186">
        <v>1195</v>
      </c>
      <c r="P1256" s="188">
        <v>0</v>
      </c>
      <c r="Q1256" s="186">
        <v>815</v>
      </c>
      <c r="R1256" s="186">
        <v>1195</v>
      </c>
      <c r="S1256" s="184" t="s">
        <v>59</v>
      </c>
    </row>
    <row r="1257" spans="2:19">
      <c r="B1257" s="184" t="s">
        <v>31</v>
      </c>
      <c r="C1257" s="119">
        <f t="shared" si="8"/>
        <v>2024</v>
      </c>
      <c r="D1257" s="132">
        <f t="shared" si="9"/>
        <v>3</v>
      </c>
      <c r="E1257" s="132" t="s">
        <v>84</v>
      </c>
      <c r="F1257" s="132" t="s">
        <v>228</v>
      </c>
      <c r="G1257" s="133" t="s">
        <v>229</v>
      </c>
      <c r="H1257" s="184" t="s">
        <v>230</v>
      </c>
      <c r="I1257" s="184" t="s">
        <v>184</v>
      </c>
      <c r="J1257" s="186">
        <v>5</v>
      </c>
      <c r="K1257" s="186">
        <v>31</v>
      </c>
      <c r="L1257" s="186">
        <v>24</v>
      </c>
      <c r="M1257" s="186">
        <v>1.6</v>
      </c>
      <c r="N1257" s="186">
        <v>314</v>
      </c>
      <c r="O1257" s="186">
        <v>479</v>
      </c>
      <c r="P1257" s="188">
        <v>0.4</v>
      </c>
      <c r="Q1257" s="189">
        <v>1569</v>
      </c>
      <c r="R1257" s="189">
        <v>2397</v>
      </c>
      <c r="S1257" s="184" t="s">
        <v>59</v>
      </c>
    </row>
    <row r="1258" spans="2:19">
      <c r="B1258" s="184" t="s">
        <v>31</v>
      </c>
      <c r="C1258" s="119">
        <f t="shared" si="8"/>
        <v>2024</v>
      </c>
      <c r="D1258" s="132">
        <f t="shared" si="9"/>
        <v>3</v>
      </c>
      <c r="E1258" s="132" t="s">
        <v>84</v>
      </c>
      <c r="F1258" s="132" t="s">
        <v>231</v>
      </c>
      <c r="G1258" s="133" t="s">
        <v>232</v>
      </c>
      <c r="H1258" s="184" t="s">
        <v>233</v>
      </c>
      <c r="I1258" s="184" t="s">
        <v>184</v>
      </c>
      <c r="J1258" s="186">
        <v>0</v>
      </c>
      <c r="K1258" s="186">
        <v>0</v>
      </c>
      <c r="L1258" s="186">
        <v>0</v>
      </c>
      <c r="M1258" s="186">
        <v>0</v>
      </c>
      <c r="N1258" s="186">
        <v>0</v>
      </c>
      <c r="O1258" s="186">
        <v>0</v>
      </c>
      <c r="P1258" s="188">
        <v>0</v>
      </c>
      <c r="Q1258" s="186">
        <v>0</v>
      </c>
      <c r="R1258" s="186">
        <v>0</v>
      </c>
      <c r="S1258" s="184" t="s">
        <v>59</v>
      </c>
    </row>
    <row r="1259" spans="2:19">
      <c r="B1259" s="184" t="s">
        <v>31</v>
      </c>
      <c r="C1259" s="119">
        <f t="shared" si="8"/>
        <v>2024</v>
      </c>
      <c r="D1259" s="132">
        <f t="shared" si="9"/>
        <v>3</v>
      </c>
      <c r="E1259" s="132" t="s">
        <v>84</v>
      </c>
      <c r="F1259" s="132" t="s">
        <v>249</v>
      </c>
      <c r="G1259" s="133" t="s">
        <v>250</v>
      </c>
      <c r="H1259" s="184" t="s">
        <v>251</v>
      </c>
      <c r="I1259" s="184" t="s">
        <v>184</v>
      </c>
      <c r="J1259" s="186">
        <v>1</v>
      </c>
      <c r="K1259" s="186">
        <v>40</v>
      </c>
      <c r="L1259" s="186">
        <v>22</v>
      </c>
      <c r="M1259" s="186">
        <v>1.6</v>
      </c>
      <c r="N1259" s="186">
        <v>866</v>
      </c>
      <c r="O1259" s="186">
        <v>1258</v>
      </c>
      <c r="P1259" s="188">
        <v>0</v>
      </c>
      <c r="Q1259" s="186">
        <v>866</v>
      </c>
      <c r="R1259" s="189">
        <v>1258</v>
      </c>
      <c r="S1259" s="184" t="s">
        <v>59</v>
      </c>
    </row>
    <row r="1260" spans="2:19">
      <c r="B1260" s="184" t="s">
        <v>31</v>
      </c>
      <c r="C1260" s="119">
        <f t="shared" si="8"/>
        <v>2024</v>
      </c>
      <c r="D1260" s="132">
        <f t="shared" si="9"/>
        <v>3</v>
      </c>
      <c r="E1260" s="132" t="s">
        <v>22</v>
      </c>
      <c r="F1260" s="132" t="s">
        <v>174</v>
      </c>
      <c r="G1260" s="133" t="s">
        <v>175</v>
      </c>
      <c r="H1260" s="184" t="s">
        <v>176</v>
      </c>
      <c r="I1260" s="184" t="s">
        <v>173</v>
      </c>
      <c r="J1260" s="186">
        <v>4</v>
      </c>
      <c r="K1260" s="186">
        <v>86</v>
      </c>
      <c r="L1260" s="186">
        <v>36</v>
      </c>
      <c r="M1260" s="186">
        <v>2.2999999999999998</v>
      </c>
      <c r="N1260" s="186">
        <v>1900</v>
      </c>
      <c r="O1260" s="186">
        <v>2854</v>
      </c>
      <c r="P1260" s="188">
        <v>0</v>
      </c>
      <c r="Q1260" s="189">
        <v>7601</v>
      </c>
      <c r="R1260" s="189">
        <v>11414</v>
      </c>
      <c r="S1260" s="184" t="s">
        <v>59</v>
      </c>
    </row>
    <row r="1261" spans="2:19">
      <c r="B1261" s="184" t="s">
        <v>31</v>
      </c>
      <c r="C1261" s="119">
        <f t="shared" si="8"/>
        <v>2024</v>
      </c>
      <c r="D1261" s="132">
        <f t="shared" si="9"/>
        <v>3</v>
      </c>
      <c r="E1261" s="132" t="s">
        <v>22</v>
      </c>
      <c r="F1261" s="132" t="s">
        <v>177</v>
      </c>
      <c r="G1261" s="133" t="s">
        <v>175</v>
      </c>
      <c r="H1261" s="184" t="s">
        <v>176</v>
      </c>
      <c r="I1261" s="184" t="s">
        <v>173</v>
      </c>
      <c r="J1261" s="186">
        <v>4</v>
      </c>
      <c r="K1261" s="186">
        <v>68</v>
      </c>
      <c r="L1261" s="186">
        <v>30</v>
      </c>
      <c r="M1261" s="186">
        <v>2</v>
      </c>
      <c r="N1261" s="186">
        <v>1519</v>
      </c>
      <c r="O1261" s="186">
        <v>2263</v>
      </c>
      <c r="P1261" s="188">
        <v>0</v>
      </c>
      <c r="Q1261" s="189">
        <v>6074</v>
      </c>
      <c r="R1261" s="189">
        <v>9051</v>
      </c>
      <c r="S1261" s="184" t="s">
        <v>59</v>
      </c>
    </row>
    <row r="1262" spans="2:19">
      <c r="B1262" s="184" t="s">
        <v>31</v>
      </c>
      <c r="C1262" s="119">
        <f t="shared" si="8"/>
        <v>2024</v>
      </c>
      <c r="D1262" s="132">
        <f t="shared" si="9"/>
        <v>3</v>
      </c>
      <c r="E1262" s="132" t="s">
        <v>22</v>
      </c>
      <c r="F1262" s="132" t="s">
        <v>223</v>
      </c>
      <c r="G1262" s="133" t="s">
        <v>175</v>
      </c>
      <c r="H1262" s="184" t="s">
        <v>176</v>
      </c>
      <c r="I1262" s="184" t="s">
        <v>173</v>
      </c>
      <c r="J1262" s="186">
        <v>0</v>
      </c>
      <c r="K1262" s="186">
        <v>0</v>
      </c>
      <c r="L1262" s="186">
        <v>0</v>
      </c>
      <c r="M1262" s="186">
        <v>0</v>
      </c>
      <c r="N1262" s="186">
        <v>0</v>
      </c>
      <c r="O1262" s="186">
        <v>0</v>
      </c>
      <c r="P1262" s="188">
        <v>0</v>
      </c>
      <c r="Q1262" s="186">
        <v>0</v>
      </c>
      <c r="R1262" s="186">
        <v>0</v>
      </c>
      <c r="S1262" s="184" t="s">
        <v>59</v>
      </c>
    </row>
    <row r="1263" spans="2:19">
      <c r="B1263" s="184" t="s">
        <v>31</v>
      </c>
      <c r="C1263" s="119">
        <f t="shared" si="8"/>
        <v>2024</v>
      </c>
      <c r="D1263" s="132">
        <f t="shared" si="9"/>
        <v>3</v>
      </c>
      <c r="E1263" s="132" t="s">
        <v>22</v>
      </c>
      <c r="F1263" s="132" t="s">
        <v>290</v>
      </c>
      <c r="G1263" s="133" t="s">
        <v>199</v>
      </c>
      <c r="H1263" s="184" t="s">
        <v>199</v>
      </c>
      <c r="I1263" s="184" t="s">
        <v>200</v>
      </c>
      <c r="J1263" s="186">
        <v>0</v>
      </c>
      <c r="K1263" s="186" t="e">
        <v>#DIV/0!</v>
      </c>
      <c r="L1263" s="186" t="e">
        <v>#DIV/0!</v>
      </c>
      <c r="M1263" s="186" t="e">
        <v>#DIV/0!</v>
      </c>
      <c r="N1263" s="186" t="e">
        <v>#DIV/0!</v>
      </c>
      <c r="O1263" s="186" t="e">
        <v>#DIV/0!</v>
      </c>
      <c r="P1263" s="186" t="e">
        <v>#DIV/0!</v>
      </c>
      <c r="Q1263" s="186">
        <v>0</v>
      </c>
      <c r="R1263" s="186">
        <v>0</v>
      </c>
      <c r="S1263" s="184" t="s">
        <v>59</v>
      </c>
    </row>
    <row r="1264" spans="2:19">
      <c r="B1264" s="184" t="s">
        <v>31</v>
      </c>
      <c r="C1264" s="119">
        <f t="shared" si="8"/>
        <v>2024</v>
      </c>
      <c r="D1264" s="132">
        <f t="shared" si="9"/>
        <v>3</v>
      </c>
      <c r="E1264" s="132" t="s">
        <v>32</v>
      </c>
      <c r="F1264" s="132" t="s">
        <v>249</v>
      </c>
      <c r="G1264" s="133" t="s">
        <v>250</v>
      </c>
      <c r="H1264" s="184" t="s">
        <v>251</v>
      </c>
      <c r="I1264" s="184" t="s">
        <v>184</v>
      </c>
      <c r="J1264" s="186">
        <v>1</v>
      </c>
      <c r="K1264" s="186">
        <v>34</v>
      </c>
      <c r="L1264" s="186">
        <v>18</v>
      </c>
      <c r="M1264" s="186">
        <v>2</v>
      </c>
      <c r="N1264" s="186">
        <v>876</v>
      </c>
      <c r="O1264" s="186">
        <v>1333</v>
      </c>
      <c r="P1264" s="188">
        <v>0</v>
      </c>
      <c r="Q1264" s="186">
        <v>876</v>
      </c>
      <c r="R1264" s="186">
        <v>1333</v>
      </c>
      <c r="S1264" s="184" t="s">
        <v>59</v>
      </c>
    </row>
    <row r="1265" spans="2:19">
      <c r="B1265" s="184" t="s">
        <v>31</v>
      </c>
      <c r="C1265" s="119">
        <f t="shared" si="8"/>
        <v>2024</v>
      </c>
      <c r="D1265" s="132">
        <f t="shared" si="9"/>
        <v>3</v>
      </c>
      <c r="E1265" s="132" t="s">
        <v>12</v>
      </c>
      <c r="F1265" s="132" t="s">
        <v>220</v>
      </c>
      <c r="G1265" s="133" t="s">
        <v>221</v>
      </c>
      <c r="H1265" s="184" t="s">
        <v>222</v>
      </c>
      <c r="I1265" s="184" t="s">
        <v>184</v>
      </c>
      <c r="J1265" s="186">
        <v>0</v>
      </c>
      <c r="K1265" s="186">
        <v>0</v>
      </c>
      <c r="L1265" s="186">
        <v>0</v>
      </c>
      <c r="M1265" s="186">
        <v>0</v>
      </c>
      <c r="N1265" s="186">
        <v>0</v>
      </c>
      <c r="O1265" s="186">
        <v>0</v>
      </c>
      <c r="P1265" s="188">
        <v>0</v>
      </c>
      <c r="Q1265" s="186">
        <v>0</v>
      </c>
      <c r="R1265" s="186">
        <v>0</v>
      </c>
      <c r="S1265" s="184" t="s">
        <v>59</v>
      </c>
    </row>
    <row r="1266" spans="2:19">
      <c r="B1266" s="184" t="s">
        <v>31</v>
      </c>
      <c r="C1266" s="119">
        <f t="shared" si="8"/>
        <v>2024</v>
      </c>
      <c r="D1266" s="132">
        <f t="shared" si="9"/>
        <v>3</v>
      </c>
      <c r="E1266" s="132" t="s">
        <v>12</v>
      </c>
      <c r="F1266" s="132" t="s">
        <v>234</v>
      </c>
      <c r="G1266" s="133" t="s">
        <v>235</v>
      </c>
      <c r="H1266" s="184" t="s">
        <v>236</v>
      </c>
      <c r="I1266" s="184" t="s">
        <v>184</v>
      </c>
      <c r="J1266" s="186">
        <v>5</v>
      </c>
      <c r="K1266" s="186">
        <v>39</v>
      </c>
      <c r="L1266" s="186">
        <v>19</v>
      </c>
      <c r="M1266" s="186">
        <v>2.1</v>
      </c>
      <c r="N1266" s="186">
        <v>1047</v>
      </c>
      <c r="O1266" s="186">
        <v>1638</v>
      </c>
      <c r="P1266" s="188">
        <v>0.6</v>
      </c>
      <c r="Q1266" s="189">
        <v>5235</v>
      </c>
      <c r="R1266" s="189">
        <v>8192</v>
      </c>
      <c r="S1266" s="184" t="s">
        <v>59</v>
      </c>
    </row>
    <row r="1267" spans="2:19">
      <c r="B1267" s="184" t="s">
        <v>31</v>
      </c>
      <c r="C1267" s="119">
        <f t="shared" si="8"/>
        <v>2024</v>
      </c>
      <c r="D1267" s="132">
        <f t="shared" si="9"/>
        <v>3</v>
      </c>
      <c r="E1267" s="132" t="s">
        <v>12</v>
      </c>
      <c r="F1267" s="132" t="s">
        <v>237</v>
      </c>
      <c r="G1267" s="133" t="s">
        <v>199</v>
      </c>
      <c r="H1267" s="184" t="s">
        <v>199</v>
      </c>
      <c r="I1267" s="184" t="s">
        <v>200</v>
      </c>
      <c r="J1267" s="186">
        <v>0</v>
      </c>
      <c r="K1267" s="186">
        <v>0</v>
      </c>
      <c r="L1267" s="186">
        <v>0</v>
      </c>
      <c r="M1267" s="186">
        <v>0</v>
      </c>
      <c r="N1267" s="186">
        <v>0</v>
      </c>
      <c r="O1267" s="186">
        <v>0</v>
      </c>
      <c r="P1267" s="188">
        <v>0</v>
      </c>
      <c r="Q1267" s="186">
        <v>0</v>
      </c>
      <c r="R1267" s="186">
        <v>0</v>
      </c>
      <c r="S1267" s="184" t="s">
        <v>59</v>
      </c>
    </row>
    <row r="1268" spans="2:19">
      <c r="B1268" s="184" t="s">
        <v>31</v>
      </c>
      <c r="C1268" s="119">
        <f t="shared" si="8"/>
        <v>2024</v>
      </c>
      <c r="D1268" s="132">
        <f t="shared" si="9"/>
        <v>3</v>
      </c>
      <c r="E1268" s="132" t="s">
        <v>12</v>
      </c>
      <c r="F1268" s="132" t="s">
        <v>252</v>
      </c>
      <c r="G1268" s="133" t="s">
        <v>253</v>
      </c>
      <c r="H1268" s="184" t="s">
        <v>254</v>
      </c>
      <c r="I1268" s="184" t="s">
        <v>184</v>
      </c>
      <c r="J1268" s="186">
        <v>0</v>
      </c>
      <c r="K1268" s="186">
        <v>0</v>
      </c>
      <c r="L1268" s="186">
        <v>0</v>
      </c>
      <c r="M1268" s="186">
        <v>0</v>
      </c>
      <c r="N1268" s="186">
        <v>0</v>
      </c>
      <c r="O1268" s="186">
        <v>0</v>
      </c>
      <c r="P1268" s="188">
        <v>0</v>
      </c>
      <c r="Q1268" s="186">
        <v>0</v>
      </c>
      <c r="R1268" s="186">
        <v>0</v>
      </c>
      <c r="S1268" s="184" t="s">
        <v>59</v>
      </c>
    </row>
    <row r="1269" spans="2:19">
      <c r="B1269" s="184" t="s">
        <v>31</v>
      </c>
      <c r="C1269" s="119">
        <f t="shared" si="8"/>
        <v>2024</v>
      </c>
      <c r="D1269" s="132">
        <f t="shared" si="9"/>
        <v>3</v>
      </c>
      <c r="E1269" s="132" t="s">
        <v>26</v>
      </c>
      <c r="F1269" s="132" t="s">
        <v>238</v>
      </c>
      <c r="G1269" s="133" t="s">
        <v>175</v>
      </c>
      <c r="H1269" s="184" t="s">
        <v>176</v>
      </c>
      <c r="I1269" s="184" t="s">
        <v>173</v>
      </c>
      <c r="J1269" s="186">
        <v>0</v>
      </c>
      <c r="K1269" s="186">
        <v>0</v>
      </c>
      <c r="L1269" s="186">
        <v>0</v>
      </c>
      <c r="M1269" s="186">
        <v>0</v>
      </c>
      <c r="N1269" s="186">
        <v>0</v>
      </c>
      <c r="O1269" s="186">
        <v>0</v>
      </c>
      <c r="P1269" s="188">
        <v>0</v>
      </c>
      <c r="Q1269" s="186">
        <v>0</v>
      </c>
      <c r="R1269" s="186">
        <v>0</v>
      </c>
      <c r="S1269" s="184" t="s">
        <v>59</v>
      </c>
    </row>
    <row r="1270" spans="2:19">
      <c r="B1270" s="184" t="s">
        <v>31</v>
      </c>
      <c r="C1270" s="119">
        <f t="shared" si="8"/>
        <v>2024</v>
      </c>
      <c r="D1270" s="132">
        <f t="shared" si="9"/>
        <v>3</v>
      </c>
      <c r="E1270" s="132" t="s">
        <v>19</v>
      </c>
      <c r="F1270" s="132" t="s">
        <v>178</v>
      </c>
      <c r="G1270" s="133" t="s">
        <v>179</v>
      </c>
      <c r="H1270" s="184" t="s">
        <v>180</v>
      </c>
      <c r="I1270" s="184" t="s">
        <v>173</v>
      </c>
      <c r="J1270" s="186">
        <v>0</v>
      </c>
      <c r="K1270" s="186" t="e">
        <v>#DIV/0!</v>
      </c>
      <c r="L1270" s="186" t="e">
        <v>#DIV/0!</v>
      </c>
      <c r="M1270" s="186" t="e">
        <v>#DIV/0!</v>
      </c>
      <c r="N1270" s="186" t="e">
        <v>#DIV/0!</v>
      </c>
      <c r="O1270" s="186" t="e">
        <v>#DIV/0!</v>
      </c>
      <c r="P1270" s="186" t="e">
        <v>#DIV/0!</v>
      </c>
      <c r="Q1270" s="186">
        <v>0</v>
      </c>
      <c r="R1270" s="186">
        <v>0</v>
      </c>
      <c r="S1270" s="184" t="s">
        <v>59</v>
      </c>
    </row>
    <row r="1271" spans="2:19">
      <c r="B1271" s="184" t="s">
        <v>31</v>
      </c>
      <c r="C1271" s="119">
        <f t="shared" si="8"/>
        <v>2024</v>
      </c>
      <c r="D1271" s="132">
        <f t="shared" si="9"/>
        <v>3</v>
      </c>
      <c r="E1271" s="132" t="s">
        <v>7</v>
      </c>
      <c r="F1271" s="132" t="s">
        <v>272</v>
      </c>
      <c r="G1271" s="133" t="s">
        <v>256</v>
      </c>
      <c r="H1271" s="184" t="s">
        <v>274</v>
      </c>
      <c r="I1271" s="184" t="s">
        <v>173</v>
      </c>
      <c r="J1271" s="186" t="s">
        <v>107</v>
      </c>
      <c r="K1271" s="186" t="s">
        <v>107</v>
      </c>
      <c r="L1271" s="186" t="s">
        <v>107</v>
      </c>
      <c r="M1271" s="186" t="s">
        <v>107</v>
      </c>
      <c r="N1271" s="186" t="s">
        <v>107</v>
      </c>
      <c r="O1271" s="186" t="s">
        <v>107</v>
      </c>
      <c r="P1271" s="188">
        <v>0</v>
      </c>
      <c r="Q1271" s="186" t="s">
        <v>107</v>
      </c>
      <c r="R1271" s="186" t="s">
        <v>107</v>
      </c>
      <c r="S1271" s="184" t="s">
        <v>278</v>
      </c>
    </row>
    <row r="1272" spans="2:19">
      <c r="B1272" s="184" t="s">
        <v>31</v>
      </c>
      <c r="C1272" s="119">
        <f t="shared" si="8"/>
        <v>2024</v>
      </c>
      <c r="D1272" s="132">
        <f t="shared" si="9"/>
        <v>3</v>
      </c>
      <c r="E1272" s="132" t="s">
        <v>111</v>
      </c>
      <c r="F1272" s="132" t="s">
        <v>275</v>
      </c>
      <c r="G1272" s="133" t="s">
        <v>276</v>
      </c>
      <c r="H1272" s="184" t="s">
        <v>277</v>
      </c>
      <c r="I1272" s="184" t="s">
        <v>184</v>
      </c>
      <c r="J1272" s="186">
        <v>6</v>
      </c>
      <c r="K1272" s="186">
        <v>20</v>
      </c>
      <c r="L1272" s="186">
        <v>20</v>
      </c>
      <c r="M1272" s="186">
        <v>1.1599999999999999</v>
      </c>
      <c r="N1272" s="186">
        <v>373</v>
      </c>
      <c r="O1272" s="186">
        <v>407</v>
      </c>
      <c r="P1272" s="188">
        <v>1</v>
      </c>
      <c r="Q1272" s="189">
        <v>2237</v>
      </c>
      <c r="R1272" s="189">
        <v>2439</v>
      </c>
      <c r="S1272" s="184" t="s">
        <v>278</v>
      </c>
    </row>
    <row r="1273" spans="2:19">
      <c r="B1273" s="184" t="s">
        <v>31</v>
      </c>
      <c r="C1273" s="119">
        <f t="shared" si="8"/>
        <v>2024</v>
      </c>
      <c r="D1273" s="132">
        <f t="shared" si="9"/>
        <v>3</v>
      </c>
      <c r="E1273" s="132" t="s">
        <v>113</v>
      </c>
      <c r="F1273" s="132" t="s">
        <v>279</v>
      </c>
      <c r="G1273" s="133" t="s">
        <v>280</v>
      </c>
      <c r="H1273" s="184" t="s">
        <v>280</v>
      </c>
      <c r="I1273" s="184" t="s">
        <v>184</v>
      </c>
      <c r="J1273" s="186">
        <v>14</v>
      </c>
      <c r="K1273" s="186">
        <v>18</v>
      </c>
      <c r="L1273" s="186">
        <v>28</v>
      </c>
      <c r="M1273" s="186">
        <v>0.79</v>
      </c>
      <c r="N1273" s="186">
        <v>355</v>
      </c>
      <c r="O1273" s="186">
        <v>400</v>
      </c>
      <c r="P1273" s="188">
        <v>0.98</v>
      </c>
      <c r="Q1273" s="189">
        <v>4976</v>
      </c>
      <c r="R1273" s="189">
        <v>5601</v>
      </c>
      <c r="S1273" s="184" t="s">
        <v>278</v>
      </c>
    </row>
    <row r="1274" spans="2:19">
      <c r="B1274" s="184" t="s">
        <v>31</v>
      </c>
      <c r="C1274" s="119">
        <f t="shared" si="8"/>
        <v>2024</v>
      </c>
      <c r="D1274" s="132">
        <f t="shared" si="9"/>
        <v>3</v>
      </c>
      <c r="E1274" s="132" t="s">
        <v>153</v>
      </c>
      <c r="F1274" s="132" t="s">
        <v>281</v>
      </c>
      <c r="G1274" s="133" t="s">
        <v>282</v>
      </c>
      <c r="H1274" s="184" t="s">
        <v>283</v>
      </c>
      <c r="I1274" s="184" t="s">
        <v>173</v>
      </c>
      <c r="J1274" s="186" t="s">
        <v>107</v>
      </c>
      <c r="K1274" s="186" t="s">
        <v>107</v>
      </c>
      <c r="L1274" s="186" t="s">
        <v>107</v>
      </c>
      <c r="M1274" s="186" t="s">
        <v>107</v>
      </c>
      <c r="N1274" s="186" t="s">
        <v>107</v>
      </c>
      <c r="O1274" s="186" t="s">
        <v>107</v>
      </c>
      <c r="P1274" s="188">
        <v>0</v>
      </c>
      <c r="Q1274" s="186" t="s">
        <v>107</v>
      </c>
      <c r="R1274" s="186" t="s">
        <v>107</v>
      </c>
      <c r="S1274" s="184" t="s">
        <v>278</v>
      </c>
    </row>
    <row r="1275" spans="2:19">
      <c r="B1275" s="184" t="s">
        <v>31</v>
      </c>
      <c r="C1275" s="119">
        <f t="shared" si="8"/>
        <v>2024</v>
      </c>
      <c r="D1275" s="132">
        <f t="shared" si="9"/>
        <v>3</v>
      </c>
      <c r="E1275" s="132" t="s">
        <v>117</v>
      </c>
      <c r="F1275" s="132" t="s">
        <v>117</v>
      </c>
      <c r="G1275" s="133"/>
      <c r="H1275" s="184"/>
      <c r="I1275" s="184" t="s">
        <v>184</v>
      </c>
      <c r="J1275" s="186">
        <v>2</v>
      </c>
      <c r="K1275" s="186">
        <v>15</v>
      </c>
      <c r="L1275" s="186">
        <v>23</v>
      </c>
      <c r="M1275" s="186">
        <v>0.87</v>
      </c>
      <c r="N1275" s="186">
        <v>169</v>
      </c>
      <c r="O1275" s="186">
        <v>200</v>
      </c>
      <c r="P1275" s="188">
        <v>1</v>
      </c>
      <c r="Q1275" s="186">
        <v>338</v>
      </c>
      <c r="R1275" s="186">
        <v>399</v>
      </c>
      <c r="S1275" s="184" t="s">
        <v>278</v>
      </c>
    </row>
    <row r="1276" spans="2:19">
      <c r="B1276" s="184" t="s">
        <v>31</v>
      </c>
      <c r="C1276" s="119">
        <f t="shared" si="8"/>
        <v>2024</v>
      </c>
      <c r="D1276" s="132">
        <f t="shared" si="9"/>
        <v>3</v>
      </c>
      <c r="E1276" s="132" t="s">
        <v>152</v>
      </c>
      <c r="F1276" s="132" t="s">
        <v>284</v>
      </c>
      <c r="G1276" s="133" t="s">
        <v>285</v>
      </c>
      <c r="H1276" s="184" t="s">
        <v>286</v>
      </c>
      <c r="I1276" s="184" t="s">
        <v>184</v>
      </c>
      <c r="J1276" s="186">
        <v>1</v>
      </c>
      <c r="K1276" s="186">
        <v>12</v>
      </c>
      <c r="L1276" s="186">
        <v>23</v>
      </c>
      <c r="M1276" s="186">
        <v>1</v>
      </c>
      <c r="N1276" s="186">
        <v>35</v>
      </c>
      <c r="O1276" s="186">
        <v>54</v>
      </c>
      <c r="P1276" s="188">
        <v>1</v>
      </c>
      <c r="Q1276" s="186">
        <v>35</v>
      </c>
      <c r="R1276" s="186">
        <v>54</v>
      </c>
      <c r="S1276" s="184" t="s">
        <v>278</v>
      </c>
    </row>
    <row r="1277" spans="2:19">
      <c r="B1277" s="184" t="s">
        <v>31</v>
      </c>
      <c r="C1277" s="119">
        <f t="shared" ref="C1277:C1383" si="10">YEAR(B1277)</f>
        <v>2024</v>
      </c>
      <c r="D1277" s="132">
        <f t="shared" ref="D1277:D1383" si="11">MONTH(B1277)</f>
        <v>3</v>
      </c>
      <c r="E1277" s="132" t="s">
        <v>118</v>
      </c>
      <c r="F1277" s="132" t="s">
        <v>287</v>
      </c>
      <c r="G1277" s="133" t="s">
        <v>282</v>
      </c>
      <c r="H1277" s="184" t="s">
        <v>283</v>
      </c>
      <c r="I1277" s="184"/>
      <c r="J1277" s="186">
        <v>2</v>
      </c>
      <c r="K1277" s="186">
        <v>11</v>
      </c>
      <c r="L1277" s="186">
        <v>24</v>
      </c>
      <c r="M1277" s="186">
        <v>1</v>
      </c>
      <c r="N1277" s="186">
        <v>71</v>
      </c>
      <c r="O1277" s="186">
        <v>77</v>
      </c>
      <c r="P1277" s="188">
        <v>0</v>
      </c>
      <c r="Q1277" s="186">
        <v>141</v>
      </c>
      <c r="R1277" s="186">
        <v>154</v>
      </c>
      <c r="S1277" s="184" t="s">
        <v>278</v>
      </c>
    </row>
    <row r="1278" spans="2:19">
      <c r="B1278" s="196" t="s">
        <v>60</v>
      </c>
      <c r="C1278" s="119">
        <f t="shared" si="10"/>
        <v>2024</v>
      </c>
      <c r="D1278" s="132">
        <f t="shared" si="11"/>
        <v>4</v>
      </c>
      <c r="E1278" s="132" t="s">
        <v>24</v>
      </c>
      <c r="F1278" s="132" t="s">
        <v>259</v>
      </c>
      <c r="G1278" s="133" t="str">
        <f t="shared" ref="G1278:G1383" si="12">VLOOKUP(E1278,$E$1216:$G$1277,3,FALSE)</f>
        <v>MYKLA-SGSIN-IDJKT-IDSUB-PGLAE-PGKIM-PGMTK- AUTSV-MYKLA</v>
      </c>
      <c r="H1278" s="184" t="s">
        <v>261</v>
      </c>
      <c r="I1278" s="184" t="s">
        <v>184</v>
      </c>
      <c r="J1278" s="186">
        <v>2</v>
      </c>
      <c r="K1278" s="186">
        <v>5</v>
      </c>
      <c r="L1278" s="186">
        <v>25</v>
      </c>
      <c r="M1278" s="186" t="s">
        <v>291</v>
      </c>
      <c r="N1278" s="186">
        <v>39</v>
      </c>
      <c r="O1278" s="186">
        <v>62</v>
      </c>
      <c r="P1278" s="188">
        <v>0</v>
      </c>
      <c r="Q1278" s="186">
        <v>77</v>
      </c>
      <c r="R1278" s="186">
        <v>123</v>
      </c>
      <c r="S1278" s="184"/>
    </row>
    <row r="1279" spans="2:19">
      <c r="B1279" s="196" t="s">
        <v>60</v>
      </c>
      <c r="C1279" s="119">
        <f t="shared" si="10"/>
        <v>2024</v>
      </c>
      <c r="D1279" s="132">
        <f t="shared" si="11"/>
        <v>4</v>
      </c>
      <c r="E1279" s="132" t="s">
        <v>24</v>
      </c>
      <c r="F1279" s="132" t="s">
        <v>262</v>
      </c>
      <c r="G1279" s="133" t="str">
        <f t="shared" si="12"/>
        <v>MYKLA-SGSIN-IDJKT-IDSUB-PGLAE-PGKIM-PGMTK- AUTSV-MYKLA</v>
      </c>
      <c r="H1279" s="184" t="s">
        <v>264</v>
      </c>
      <c r="I1279" s="184" t="s">
        <v>184</v>
      </c>
      <c r="J1279" s="186">
        <v>2</v>
      </c>
      <c r="K1279" s="186" t="e">
        <v>#DIV/0!</v>
      </c>
      <c r="L1279" s="186" t="e">
        <v>#DIV/0!</v>
      </c>
      <c r="M1279" s="186" t="e">
        <v>#DIV/0!</v>
      </c>
      <c r="N1279" s="186" t="e">
        <v>#DIV/0!</v>
      </c>
      <c r="O1279" s="186">
        <v>48</v>
      </c>
      <c r="P1279" s="188">
        <v>0.5</v>
      </c>
      <c r="Q1279" s="189">
        <v>81</v>
      </c>
      <c r="R1279" s="189">
        <v>96</v>
      </c>
      <c r="S1279" s="184"/>
    </row>
    <row r="1280" spans="2:19">
      <c r="B1280" s="184" t="s">
        <v>60</v>
      </c>
      <c r="C1280" s="119">
        <f t="shared" si="10"/>
        <v>2024</v>
      </c>
      <c r="D1280" s="132">
        <f t="shared" si="11"/>
        <v>4</v>
      </c>
      <c r="E1280" s="132" t="s">
        <v>28</v>
      </c>
      <c r="F1280" s="132" t="s">
        <v>265</v>
      </c>
      <c r="G1280" s="133" t="str">
        <f t="shared" si="12"/>
        <v>SGSIN-IDSUB-TLDIL</v>
      </c>
      <c r="H1280" s="184" t="s">
        <v>267</v>
      </c>
      <c r="I1280" s="184" t="s">
        <v>184</v>
      </c>
      <c r="J1280" s="186">
        <v>0</v>
      </c>
      <c r="K1280" s="186" t="e">
        <v>#DIV/0!</v>
      </c>
      <c r="L1280" s="186" t="e">
        <v>#DIV/0!</v>
      </c>
      <c r="M1280" s="186" t="e">
        <v>#DIV/0!</v>
      </c>
      <c r="N1280" s="186" t="e">
        <v>#DIV/0!</v>
      </c>
      <c r="O1280" s="186" t="e">
        <v>#DIV/0!</v>
      </c>
      <c r="P1280" s="186" t="e">
        <v>#DIV/0!</v>
      </c>
      <c r="Q1280" s="186">
        <v>0</v>
      </c>
      <c r="R1280" s="186">
        <v>0</v>
      </c>
      <c r="S1280" s="184"/>
    </row>
    <row r="1281" spans="2:18">
      <c r="B1281" s="184" t="s">
        <v>60</v>
      </c>
      <c r="C1281" s="119">
        <f t="shared" si="10"/>
        <v>2024</v>
      </c>
      <c r="D1281" s="132">
        <f t="shared" si="11"/>
        <v>4</v>
      </c>
      <c r="E1281" s="132" t="s">
        <v>7</v>
      </c>
      <c r="F1281" s="132" t="s">
        <v>239</v>
      </c>
      <c r="G1281" s="133" t="str">
        <f t="shared" si="12"/>
        <v>CNSGH-CNNBO-CNSTG-CNSHK-IDJKT-IDSUB-PHMNL South-PHMNL North-CNSGH</v>
      </c>
      <c r="H1281" s="184" t="s">
        <v>241</v>
      </c>
      <c r="I1281" s="184" t="s">
        <v>184</v>
      </c>
      <c r="J1281" s="186">
        <v>2</v>
      </c>
      <c r="K1281" s="186">
        <v>66</v>
      </c>
      <c r="L1281" s="186">
        <v>28</v>
      </c>
      <c r="M1281" s="197">
        <v>45384</v>
      </c>
      <c r="N1281" s="186">
        <v>1284</v>
      </c>
      <c r="O1281" s="186">
        <v>2048</v>
      </c>
      <c r="P1281" s="188">
        <v>0</v>
      </c>
      <c r="Q1281" s="186">
        <v>2.5670000000000002</v>
      </c>
      <c r="R1281" s="186">
        <v>4.0960000000000001</v>
      </c>
    </row>
    <row r="1282" spans="2:18">
      <c r="B1282" s="184" t="s">
        <v>60</v>
      </c>
      <c r="C1282" s="119">
        <f t="shared" si="10"/>
        <v>2024</v>
      </c>
      <c r="D1282" s="132">
        <f t="shared" si="11"/>
        <v>4</v>
      </c>
      <c r="E1282" s="132" t="s">
        <v>7</v>
      </c>
      <c r="F1282" s="132" t="s">
        <v>220</v>
      </c>
      <c r="G1282" s="133" t="str">
        <f t="shared" si="12"/>
        <v>CNSGH-CNNBO-CNSTG-CNSHK-IDJKT-IDSUB-PHMNL South-PHMNL North-CNSGH</v>
      </c>
      <c r="H1282" s="184" t="s">
        <v>222</v>
      </c>
      <c r="I1282" s="184" t="s">
        <v>184</v>
      </c>
      <c r="J1282" s="186">
        <v>2</v>
      </c>
      <c r="K1282" s="186">
        <v>26</v>
      </c>
      <c r="L1282" s="186">
        <v>15</v>
      </c>
      <c r="M1282" s="186" t="s">
        <v>110</v>
      </c>
      <c r="N1282" s="186">
        <v>467</v>
      </c>
      <c r="O1282" s="186">
        <v>675</v>
      </c>
      <c r="P1282" s="188">
        <v>1</v>
      </c>
      <c r="Q1282" s="186">
        <v>934</v>
      </c>
      <c r="R1282" s="186">
        <v>1.349</v>
      </c>
    </row>
    <row r="1283" spans="2:18">
      <c r="B1283" s="184" t="s">
        <v>60</v>
      </c>
      <c r="C1283" s="119">
        <f t="shared" si="10"/>
        <v>2024</v>
      </c>
      <c r="D1283" s="132">
        <f t="shared" si="11"/>
        <v>4</v>
      </c>
      <c r="E1283" s="132" t="s">
        <v>7</v>
      </c>
      <c r="F1283" s="132" t="s">
        <v>242</v>
      </c>
      <c r="G1283" s="133" t="str">
        <f t="shared" si="12"/>
        <v>CNSGH-CNNBO-CNSTG-CNSHK-IDJKT-IDSUB-PHMNL South-PHMNL North-CNSGH</v>
      </c>
      <c r="H1283" s="184" t="s">
        <v>244</v>
      </c>
      <c r="I1283" s="184" t="s">
        <v>184</v>
      </c>
      <c r="J1283" s="186">
        <v>4</v>
      </c>
      <c r="K1283" s="186">
        <v>67</v>
      </c>
      <c r="L1283" s="186">
        <v>26</v>
      </c>
      <c r="M1283" s="197">
        <v>45475</v>
      </c>
      <c r="N1283" s="186">
        <v>1640</v>
      </c>
      <c r="O1283" s="186">
        <v>2732</v>
      </c>
      <c r="P1283" s="188">
        <v>0</v>
      </c>
      <c r="Q1283" s="186">
        <v>6.5579999999999998</v>
      </c>
      <c r="R1283" s="189">
        <v>10.926</v>
      </c>
    </row>
    <row r="1284" spans="2:18">
      <c r="B1284" s="184" t="s">
        <v>60</v>
      </c>
      <c r="C1284" s="119">
        <f t="shared" si="10"/>
        <v>2024</v>
      </c>
      <c r="D1284" s="132">
        <f t="shared" si="11"/>
        <v>4</v>
      </c>
      <c r="E1284" s="132" t="s">
        <v>7</v>
      </c>
      <c r="F1284" s="132" t="s">
        <v>255</v>
      </c>
      <c r="G1284" s="133" t="str">
        <f t="shared" si="12"/>
        <v>CNSGH-CNNBO-CNSTG-CNSHK-IDJKT-IDSUB-PHMNL South-PHMNL North-CNSGH</v>
      </c>
      <c r="H1284" s="184" t="s">
        <v>257</v>
      </c>
      <c r="I1284" s="184" t="s">
        <v>173</v>
      </c>
      <c r="J1284" s="186">
        <v>2</v>
      </c>
      <c r="K1284" s="186">
        <v>66</v>
      </c>
      <c r="L1284" s="186">
        <v>28</v>
      </c>
      <c r="M1284" s="197">
        <v>45414</v>
      </c>
      <c r="N1284" s="186">
        <v>2037</v>
      </c>
      <c r="O1284" s="186">
        <v>3092</v>
      </c>
      <c r="P1284" s="188">
        <v>0</v>
      </c>
      <c r="Q1284" s="186">
        <v>4.0730000000000004</v>
      </c>
      <c r="R1284" s="186">
        <v>6.1829999999999998</v>
      </c>
    </row>
    <row r="1285" spans="2:18">
      <c r="B1285" s="184" t="s">
        <v>60</v>
      </c>
      <c r="C1285" s="119">
        <f t="shared" si="10"/>
        <v>2024</v>
      </c>
      <c r="D1285" s="132">
        <f t="shared" si="11"/>
        <v>4</v>
      </c>
      <c r="E1285" s="132" t="s">
        <v>7</v>
      </c>
      <c r="F1285" s="132" t="s">
        <v>258</v>
      </c>
      <c r="G1285" s="133" t="str">
        <f t="shared" si="12"/>
        <v>CNSGH-CNNBO-CNSTG-CNSHK-IDJKT-IDSUB-PHMNL South-PHMNL North-CNSGH</v>
      </c>
      <c r="H1285" s="184" t="s">
        <v>257</v>
      </c>
      <c r="I1285" s="184" t="s">
        <v>200</v>
      </c>
      <c r="J1285" s="186">
        <v>0</v>
      </c>
      <c r="K1285" s="186">
        <v>0</v>
      </c>
      <c r="L1285" s="186">
        <v>0</v>
      </c>
      <c r="M1285" s="186" t="s">
        <v>292</v>
      </c>
      <c r="N1285" s="186">
        <v>0</v>
      </c>
      <c r="O1285" s="186">
        <v>0</v>
      </c>
      <c r="P1285" s="188">
        <v>0</v>
      </c>
      <c r="Q1285" s="186">
        <v>0</v>
      </c>
      <c r="R1285" s="186">
        <v>0</v>
      </c>
    </row>
    <row r="1286" spans="2:18">
      <c r="B1286" s="184" t="s">
        <v>60</v>
      </c>
      <c r="C1286" s="119">
        <f t="shared" si="10"/>
        <v>2024</v>
      </c>
      <c r="D1286" s="132">
        <f t="shared" si="11"/>
        <v>4</v>
      </c>
      <c r="E1286" s="132" t="s">
        <v>79</v>
      </c>
      <c r="F1286" s="132" t="s">
        <v>170</v>
      </c>
      <c r="G1286" s="133" t="str">
        <f t="shared" si="12"/>
        <v>IDJKT-IDSUB-SGSIN-MYPGU-SGSIN-MYKLA</v>
      </c>
      <c r="H1286" s="184" t="s">
        <v>172</v>
      </c>
      <c r="I1286" s="184" t="s">
        <v>173</v>
      </c>
      <c r="J1286" s="186">
        <v>0</v>
      </c>
      <c r="K1286" s="186">
        <v>0</v>
      </c>
      <c r="L1286" s="186">
        <v>0</v>
      </c>
      <c r="M1286" s="186" t="s">
        <v>292</v>
      </c>
      <c r="N1286" s="186">
        <v>0</v>
      </c>
      <c r="O1286" s="186">
        <v>0</v>
      </c>
      <c r="P1286" s="188">
        <v>0</v>
      </c>
      <c r="Q1286" s="186">
        <v>0</v>
      </c>
      <c r="R1286" s="186">
        <v>0</v>
      </c>
    </row>
    <row r="1287" spans="2:18">
      <c r="B1287" s="184" t="s">
        <v>60</v>
      </c>
      <c r="C1287" s="119">
        <f t="shared" si="10"/>
        <v>2024</v>
      </c>
      <c r="D1287" s="132">
        <f t="shared" si="11"/>
        <v>4</v>
      </c>
      <c r="E1287" s="132" t="s">
        <v>79</v>
      </c>
      <c r="F1287" s="132" t="s">
        <v>174</v>
      </c>
      <c r="G1287" s="133" t="str">
        <f t="shared" si="12"/>
        <v>IDJKT-IDSUB-SGSIN-MYPGU-SGSIN-MYKLA</v>
      </c>
      <c r="H1287" s="184" t="s">
        <v>176</v>
      </c>
      <c r="I1287" s="184" t="s">
        <v>173</v>
      </c>
      <c r="J1287" s="186">
        <v>0</v>
      </c>
      <c r="K1287" s="186">
        <v>0</v>
      </c>
      <c r="L1287" s="186">
        <v>0</v>
      </c>
      <c r="M1287" s="186" t="s">
        <v>292</v>
      </c>
      <c r="N1287" s="186">
        <v>0</v>
      </c>
      <c r="O1287" s="186">
        <v>0</v>
      </c>
      <c r="P1287" s="188">
        <v>0</v>
      </c>
      <c r="Q1287" s="186">
        <v>0</v>
      </c>
      <c r="R1287" s="189">
        <v>0</v>
      </c>
    </row>
    <row r="1288" spans="2:18">
      <c r="B1288" s="184" t="s">
        <v>60</v>
      </c>
      <c r="C1288" s="119">
        <f t="shared" si="10"/>
        <v>2024</v>
      </c>
      <c r="D1288" s="132">
        <f t="shared" si="11"/>
        <v>4</v>
      </c>
      <c r="E1288" s="132" t="s">
        <v>79</v>
      </c>
      <c r="F1288" s="132" t="s">
        <v>177</v>
      </c>
      <c r="G1288" s="133" t="str">
        <f t="shared" si="12"/>
        <v>IDJKT-IDSUB-SGSIN-MYPGU-SGSIN-MYKLA</v>
      </c>
      <c r="H1288" s="184" t="s">
        <v>176</v>
      </c>
      <c r="I1288" s="184" t="s">
        <v>173</v>
      </c>
      <c r="J1288" s="186">
        <v>0</v>
      </c>
      <c r="K1288" s="186">
        <v>0</v>
      </c>
      <c r="L1288" s="186">
        <v>0</v>
      </c>
      <c r="M1288" s="186">
        <v>0</v>
      </c>
      <c r="N1288" s="186">
        <v>0</v>
      </c>
      <c r="O1288" s="186">
        <v>0</v>
      </c>
      <c r="P1288" s="188">
        <v>0</v>
      </c>
      <c r="Q1288" s="186">
        <v>0</v>
      </c>
      <c r="R1288" s="189">
        <v>0</v>
      </c>
    </row>
    <row r="1289" spans="2:18">
      <c r="B1289" s="184" t="s">
        <v>60</v>
      </c>
      <c r="C1289" s="119">
        <f t="shared" si="10"/>
        <v>2024</v>
      </c>
      <c r="D1289" s="132">
        <f t="shared" si="11"/>
        <v>4</v>
      </c>
      <c r="E1289" s="132" t="s">
        <v>79</v>
      </c>
      <c r="F1289" s="132" t="s">
        <v>242</v>
      </c>
      <c r="G1289" s="133" t="str">
        <f t="shared" si="12"/>
        <v>IDJKT-IDSUB-SGSIN-MYPGU-SGSIN-MYKLA</v>
      </c>
      <c r="H1289" s="184" t="s">
        <v>244</v>
      </c>
      <c r="I1289" s="184" t="s">
        <v>184</v>
      </c>
      <c r="J1289" s="186">
        <v>0</v>
      </c>
      <c r="K1289" s="186" t="e">
        <v>#DIV/0!</v>
      </c>
      <c r="L1289" s="186" t="e">
        <v>#DIV/0!</v>
      </c>
      <c r="M1289" s="186" t="e">
        <v>#DIV/0!</v>
      </c>
      <c r="N1289" s="186" t="e">
        <v>#DIV/0!</v>
      </c>
      <c r="O1289" s="186" t="e">
        <v>#DIV/0!</v>
      </c>
      <c r="P1289" s="186" t="e">
        <v>#DIV/0!</v>
      </c>
      <c r="Q1289" s="186">
        <v>0</v>
      </c>
      <c r="R1289" s="189">
        <v>0</v>
      </c>
    </row>
    <row r="1290" spans="2:18">
      <c r="B1290" s="184" t="s">
        <v>60</v>
      </c>
      <c r="C1290" s="119">
        <f t="shared" si="10"/>
        <v>2024</v>
      </c>
      <c r="D1290" s="132">
        <f t="shared" si="11"/>
        <v>4</v>
      </c>
      <c r="E1290" s="132" t="s">
        <v>79</v>
      </c>
      <c r="F1290" s="132" t="s">
        <v>255</v>
      </c>
      <c r="G1290" s="133" t="str">
        <f t="shared" si="12"/>
        <v>IDJKT-IDSUB-SGSIN-MYPGU-SGSIN-MYKLA</v>
      </c>
      <c r="H1290" s="184" t="s">
        <v>257</v>
      </c>
      <c r="I1290" s="184" t="s">
        <v>173</v>
      </c>
      <c r="J1290" s="186">
        <v>2</v>
      </c>
      <c r="K1290" s="186">
        <v>87</v>
      </c>
      <c r="L1290" s="186">
        <v>30</v>
      </c>
      <c r="M1290" s="197">
        <v>45294</v>
      </c>
      <c r="N1290" s="186">
        <v>2379</v>
      </c>
      <c r="O1290" s="186">
        <v>3624</v>
      </c>
      <c r="P1290" s="188">
        <v>0</v>
      </c>
      <c r="Q1290" s="186">
        <v>4757</v>
      </c>
      <c r="R1290" s="189">
        <v>7247</v>
      </c>
    </row>
    <row r="1291" spans="2:18">
      <c r="B1291" s="184" t="s">
        <v>60</v>
      </c>
      <c r="C1291" s="119">
        <f t="shared" si="10"/>
        <v>2024</v>
      </c>
      <c r="D1291" s="132">
        <f t="shared" si="11"/>
        <v>4</v>
      </c>
      <c r="E1291" s="132" t="s">
        <v>79</v>
      </c>
      <c r="F1291" s="132" t="s">
        <v>239</v>
      </c>
      <c r="G1291" s="133" t="str">
        <f t="shared" si="12"/>
        <v>IDJKT-IDSUB-SGSIN-MYPGU-SGSIN-MYKLA</v>
      </c>
      <c r="H1291" s="184"/>
      <c r="I1291" s="184"/>
      <c r="J1291" s="186">
        <v>1</v>
      </c>
      <c r="K1291" s="186">
        <v>73</v>
      </c>
      <c r="L1291" s="186">
        <v>28</v>
      </c>
      <c r="M1291" s="186">
        <v>3</v>
      </c>
      <c r="N1291" s="186">
        <v>1280</v>
      </c>
      <c r="O1291" s="186">
        <v>1967</v>
      </c>
      <c r="P1291" s="188">
        <v>1</v>
      </c>
      <c r="Q1291" s="186">
        <v>1280</v>
      </c>
      <c r="R1291" s="186">
        <v>1967</v>
      </c>
    </row>
    <row r="1292" spans="2:18">
      <c r="B1292" s="184" t="s">
        <v>60</v>
      </c>
      <c r="C1292" s="119">
        <f t="shared" si="10"/>
        <v>2024</v>
      </c>
      <c r="D1292" s="132">
        <f t="shared" si="11"/>
        <v>4</v>
      </c>
      <c r="E1292" s="132" t="s">
        <v>8</v>
      </c>
      <c r="F1292" s="132" t="s">
        <v>181</v>
      </c>
      <c r="G1292" s="133" t="str">
        <f t="shared" si="12"/>
        <v>CNNBO-CNSGH-HKHKG (Zhujiang)-CNSHK-IDSUB-IDSRG-IDJKT-SGSIN-THLCH-HKHKG-CNNBO</v>
      </c>
      <c r="H1292" s="184" t="s">
        <v>183</v>
      </c>
      <c r="I1292" s="184" t="s">
        <v>184</v>
      </c>
      <c r="J1292" s="186">
        <v>3</v>
      </c>
      <c r="K1292" s="186">
        <v>36</v>
      </c>
      <c r="L1292" s="186">
        <v>18</v>
      </c>
      <c r="M1292" s="197">
        <v>45324</v>
      </c>
      <c r="N1292" s="186">
        <v>598</v>
      </c>
      <c r="O1292" s="186">
        <v>899</v>
      </c>
      <c r="P1292" s="188">
        <v>0.33</v>
      </c>
      <c r="Q1292" s="186">
        <v>1.7929999999999999</v>
      </c>
      <c r="R1292" s="186">
        <v>2.6970000000000001</v>
      </c>
    </row>
    <row r="1293" spans="2:18">
      <c r="B1293" s="184" t="s">
        <v>60</v>
      </c>
      <c r="C1293" s="119">
        <f t="shared" si="10"/>
        <v>2024</v>
      </c>
      <c r="D1293" s="132">
        <f t="shared" si="11"/>
        <v>4</v>
      </c>
      <c r="E1293" s="132" t="s">
        <v>8</v>
      </c>
      <c r="F1293" s="132" t="s">
        <v>185</v>
      </c>
      <c r="G1293" s="133" t="str">
        <f t="shared" si="12"/>
        <v>CNNBO-CNSGH-HKHKG (Zhujiang)-CNSHK-IDSUB-IDSRG-IDJKT-SGSIN-THLCH-HKHKG-CNNBO</v>
      </c>
      <c r="H1293" s="184" t="s">
        <v>187</v>
      </c>
      <c r="I1293" s="184" t="s">
        <v>184</v>
      </c>
      <c r="J1293" s="186">
        <v>3</v>
      </c>
      <c r="K1293" s="186">
        <v>54</v>
      </c>
      <c r="L1293" s="186">
        <v>27</v>
      </c>
      <c r="M1293" s="197">
        <v>45324</v>
      </c>
      <c r="N1293" s="186">
        <v>649</v>
      </c>
      <c r="O1293" s="186">
        <v>982</v>
      </c>
      <c r="P1293" s="188">
        <v>0.33</v>
      </c>
      <c r="Q1293" s="186">
        <v>1.9470000000000001</v>
      </c>
      <c r="R1293" s="186">
        <v>2.9470000000000001</v>
      </c>
    </row>
    <row r="1294" spans="2:18">
      <c r="B1294" s="184" t="s">
        <v>60</v>
      </c>
      <c r="C1294" s="119">
        <f t="shared" si="10"/>
        <v>2024</v>
      </c>
      <c r="D1294" s="132">
        <f t="shared" si="11"/>
        <v>4</v>
      </c>
      <c r="E1294" s="132" t="s">
        <v>8</v>
      </c>
      <c r="F1294" s="132" t="s">
        <v>188</v>
      </c>
      <c r="G1294" s="133" t="str">
        <f t="shared" si="12"/>
        <v>CNNBO-CNSGH-HKHKG (Zhujiang)-CNSHK-IDSUB-IDSRG-IDJKT-SGSIN-THLCH-HKHKG-CNNBO</v>
      </c>
      <c r="H1294" s="184" t="s">
        <v>190</v>
      </c>
      <c r="I1294" s="184" t="s">
        <v>184</v>
      </c>
      <c r="J1294" s="186">
        <v>4</v>
      </c>
      <c r="K1294" s="186">
        <v>44</v>
      </c>
      <c r="L1294" s="186">
        <v>25</v>
      </c>
      <c r="M1294" s="197">
        <v>45293</v>
      </c>
      <c r="N1294" s="186">
        <v>534</v>
      </c>
      <c r="O1294" s="186">
        <v>820</v>
      </c>
      <c r="P1294" s="188">
        <v>0.5</v>
      </c>
      <c r="Q1294" s="186">
        <v>2.1360000000000001</v>
      </c>
      <c r="R1294" s="186">
        <v>3.28</v>
      </c>
    </row>
    <row r="1295" spans="2:18">
      <c r="B1295" s="184" t="s">
        <v>60</v>
      </c>
      <c r="C1295" s="119">
        <f t="shared" si="10"/>
        <v>2024</v>
      </c>
      <c r="D1295" s="132">
        <f t="shared" si="11"/>
        <v>4</v>
      </c>
      <c r="E1295" s="132" t="s">
        <v>8</v>
      </c>
      <c r="F1295" s="132" t="s">
        <v>191</v>
      </c>
      <c r="G1295" s="133" t="str">
        <f t="shared" si="12"/>
        <v>CNNBO-CNSGH-HKHKG (Zhujiang)-CNSHK-IDSUB-IDSRG-IDJKT-SGSIN-THLCH-HKHKG-CNNBO</v>
      </c>
      <c r="H1295" s="184" t="s">
        <v>193</v>
      </c>
      <c r="I1295" s="184" t="s">
        <v>173</v>
      </c>
      <c r="J1295" s="186">
        <v>0</v>
      </c>
      <c r="K1295" s="186">
        <v>0</v>
      </c>
      <c r="L1295" s="186">
        <v>0</v>
      </c>
      <c r="M1295" s="186">
        <v>0</v>
      </c>
      <c r="N1295" s="186">
        <v>0</v>
      </c>
      <c r="O1295" s="186">
        <v>0</v>
      </c>
      <c r="P1295" s="188">
        <v>0</v>
      </c>
      <c r="Q1295" s="186">
        <v>0</v>
      </c>
      <c r="R1295" s="186">
        <v>0</v>
      </c>
    </row>
    <row r="1296" spans="2:18">
      <c r="B1296" s="184" t="s">
        <v>60</v>
      </c>
      <c r="C1296" s="119">
        <f t="shared" si="10"/>
        <v>2024</v>
      </c>
      <c r="D1296" s="132">
        <f t="shared" si="11"/>
        <v>4</v>
      </c>
      <c r="E1296" s="132" t="s">
        <v>8</v>
      </c>
      <c r="F1296" s="132" t="s">
        <v>245</v>
      </c>
      <c r="G1296" s="133" t="str">
        <f t="shared" si="12"/>
        <v>CNNBO-CNSGH-HKHKG (Zhujiang)-CNSHK-IDSUB-IDSRG-IDJKT-SGSIN-THLCH-HKHKG-CNNBO</v>
      </c>
      <c r="H1296" s="184" t="s">
        <v>247</v>
      </c>
      <c r="I1296" s="184" t="s">
        <v>184</v>
      </c>
      <c r="J1296" s="186">
        <v>0</v>
      </c>
      <c r="K1296" s="186">
        <v>34</v>
      </c>
      <c r="L1296" s="186">
        <v>20</v>
      </c>
      <c r="M1296" s="186">
        <v>2</v>
      </c>
      <c r="N1296" s="186">
        <v>1639</v>
      </c>
      <c r="O1296" s="186">
        <v>2242</v>
      </c>
      <c r="P1296" s="188">
        <v>0</v>
      </c>
      <c r="Q1296" s="186">
        <v>1.639</v>
      </c>
      <c r="R1296" s="186">
        <v>2.242</v>
      </c>
    </row>
    <row r="1297" spans="2:18">
      <c r="B1297" s="184" t="s">
        <v>60</v>
      </c>
      <c r="C1297" s="119">
        <f t="shared" si="10"/>
        <v>2024</v>
      </c>
      <c r="D1297" s="132">
        <f t="shared" si="11"/>
        <v>4</v>
      </c>
      <c r="E1297" s="132" t="s">
        <v>8</v>
      </c>
      <c r="F1297" s="132" t="s">
        <v>293</v>
      </c>
      <c r="G1297" s="133" t="str">
        <f t="shared" si="12"/>
        <v>CNNBO-CNSGH-HKHKG (Zhujiang)-CNSHK-IDSUB-IDSRG-IDJKT-SGSIN-THLCH-HKHKG-CNNBO</v>
      </c>
      <c r="H1297" s="184"/>
      <c r="I1297" s="184"/>
      <c r="J1297" s="186">
        <v>1</v>
      </c>
      <c r="K1297" s="186">
        <v>40</v>
      </c>
      <c r="L1297" s="186">
        <v>23</v>
      </c>
      <c r="M1297" s="186">
        <v>2</v>
      </c>
      <c r="N1297" s="186">
        <v>327</v>
      </c>
      <c r="O1297" s="186">
        <v>440</v>
      </c>
      <c r="P1297" s="188">
        <v>1</v>
      </c>
      <c r="Q1297" s="186">
        <v>327</v>
      </c>
      <c r="R1297" s="189">
        <v>440</v>
      </c>
    </row>
    <row r="1298" spans="2:18">
      <c r="B1298" s="184" t="s">
        <v>60</v>
      </c>
      <c r="C1298" s="119">
        <f t="shared" si="10"/>
        <v>2024</v>
      </c>
      <c r="D1298" s="132">
        <f t="shared" si="11"/>
        <v>4</v>
      </c>
      <c r="E1298" s="132" t="s">
        <v>20</v>
      </c>
      <c r="F1298" s="132" t="s">
        <v>178</v>
      </c>
      <c r="G1298" s="133" t="str">
        <f t="shared" si="12"/>
        <v>MYKLA-SGSIN-IDSRG-IDSUB-MYKLA- SGSIN-THBKK THSCS-THLCH</v>
      </c>
      <c r="H1298" s="184" t="s">
        <v>180</v>
      </c>
      <c r="I1298" s="184" t="s">
        <v>173</v>
      </c>
      <c r="J1298" s="186">
        <v>1</v>
      </c>
      <c r="K1298" s="186">
        <v>46</v>
      </c>
      <c r="L1298" s="186">
        <v>22</v>
      </c>
      <c r="M1298" s="197">
        <v>45353</v>
      </c>
      <c r="N1298" s="186">
        <v>760</v>
      </c>
      <c r="O1298" s="186">
        <v>1032</v>
      </c>
      <c r="P1298" s="188">
        <v>0</v>
      </c>
      <c r="Q1298" s="186">
        <v>760</v>
      </c>
      <c r="R1298" s="189">
        <v>1.032</v>
      </c>
    </row>
    <row r="1299" spans="2:18">
      <c r="B1299" s="184" t="s">
        <v>60</v>
      </c>
      <c r="C1299" s="119">
        <f t="shared" si="10"/>
        <v>2024</v>
      </c>
      <c r="D1299" s="132">
        <f t="shared" si="11"/>
        <v>4</v>
      </c>
      <c r="E1299" s="132" t="s">
        <v>102</v>
      </c>
      <c r="F1299" s="132" t="s">
        <v>288</v>
      </c>
      <c r="G1299" s="133" t="str">
        <f t="shared" si="12"/>
        <v>Various route</v>
      </c>
      <c r="H1299" s="184" t="s">
        <v>199</v>
      </c>
      <c r="I1299" s="184" t="s">
        <v>200</v>
      </c>
      <c r="J1299" s="186">
        <v>0</v>
      </c>
      <c r="K1299" s="186" t="e">
        <v>#DIV/0!</v>
      </c>
      <c r="L1299" s="186" t="e">
        <v>#DIV/0!</v>
      </c>
      <c r="M1299" s="186" t="e">
        <v>#DIV/0!</v>
      </c>
      <c r="N1299" s="186" t="e">
        <v>#DIV/0!</v>
      </c>
      <c r="O1299" s="186" t="e">
        <v>#DIV/0!</v>
      </c>
      <c r="P1299" s="186" t="e">
        <v>#DIV/0!</v>
      </c>
      <c r="Q1299" s="186">
        <v>0</v>
      </c>
      <c r="R1299" s="189">
        <v>0</v>
      </c>
    </row>
    <row r="1300" spans="2:18">
      <c r="B1300" s="184" t="s">
        <v>60</v>
      </c>
      <c r="C1300" s="119">
        <f t="shared" si="10"/>
        <v>2024</v>
      </c>
      <c r="D1300" s="132">
        <f t="shared" si="11"/>
        <v>4</v>
      </c>
      <c r="E1300" s="132" t="s">
        <v>104</v>
      </c>
      <c r="F1300" s="132" t="s">
        <v>198</v>
      </c>
      <c r="G1300" s="133" t="str">
        <f t="shared" si="12"/>
        <v>Various route</v>
      </c>
      <c r="H1300" s="184" t="s">
        <v>199</v>
      </c>
      <c r="I1300" s="184" t="s">
        <v>200</v>
      </c>
      <c r="J1300" s="186">
        <v>0</v>
      </c>
      <c r="K1300" s="186">
        <v>0</v>
      </c>
      <c r="L1300" s="186">
        <v>0</v>
      </c>
      <c r="M1300" s="186">
        <v>0</v>
      </c>
      <c r="N1300" s="186">
        <v>0</v>
      </c>
      <c r="O1300" s="186">
        <v>0</v>
      </c>
      <c r="P1300" s="188">
        <v>0</v>
      </c>
      <c r="Q1300" s="186">
        <v>0</v>
      </c>
      <c r="R1300" s="186">
        <v>0</v>
      </c>
    </row>
    <row r="1301" spans="2:18">
      <c r="B1301" s="184" t="s">
        <v>60</v>
      </c>
      <c r="C1301" s="119">
        <f t="shared" si="10"/>
        <v>2024</v>
      </c>
      <c r="D1301" s="132">
        <f t="shared" si="11"/>
        <v>4</v>
      </c>
      <c r="E1301" s="132" t="s">
        <v>88</v>
      </c>
      <c r="F1301" s="132" t="s">
        <v>195</v>
      </c>
      <c r="G1301" s="133" t="str">
        <f t="shared" si="12"/>
        <v>KRPUS-KRKWA-CNSGH-CNNBO-HKHKG-IDJKT-IDSUB-VNSGN VNCLI-CNNBO-CNSGH-KRPUS</v>
      </c>
      <c r="H1301" s="184" t="s">
        <v>197</v>
      </c>
      <c r="I1301" s="184" t="s">
        <v>184</v>
      </c>
      <c r="J1301" s="186">
        <v>3</v>
      </c>
      <c r="K1301" s="186">
        <v>41</v>
      </c>
      <c r="L1301" s="186">
        <v>24</v>
      </c>
      <c r="M1301" s="186" t="s">
        <v>110</v>
      </c>
      <c r="N1301" s="186">
        <v>481</v>
      </c>
      <c r="O1301" s="186">
        <v>662</v>
      </c>
      <c r="P1301" s="188">
        <v>0</v>
      </c>
      <c r="Q1301" s="186">
        <v>1.4430000000000001</v>
      </c>
      <c r="R1301" s="189">
        <v>1.9870000000000001</v>
      </c>
    </row>
    <row r="1302" spans="2:18">
      <c r="B1302" s="184" t="s">
        <v>60</v>
      </c>
      <c r="C1302" s="119">
        <f t="shared" si="10"/>
        <v>2024</v>
      </c>
      <c r="D1302" s="132">
        <f t="shared" si="11"/>
        <v>4</v>
      </c>
      <c r="E1302" s="132" t="s">
        <v>30</v>
      </c>
      <c r="F1302" s="132" t="s">
        <v>205</v>
      </c>
      <c r="G1302" s="133" t="str">
        <f t="shared" si="12"/>
        <v>IDJKT-IDSUB-MYKLA West-INNSA-AEJEA-LKCMB-SADMM-PKKHI-INMUN</v>
      </c>
      <c r="H1302" s="184" t="s">
        <v>207</v>
      </c>
      <c r="I1302" s="184" t="s">
        <v>184</v>
      </c>
      <c r="J1302" s="186">
        <v>0</v>
      </c>
      <c r="K1302" s="186">
        <v>0</v>
      </c>
      <c r="L1302" s="186">
        <v>0</v>
      </c>
      <c r="M1302" s="186" t="s">
        <v>292</v>
      </c>
      <c r="N1302" s="186">
        <v>0</v>
      </c>
      <c r="O1302" s="186">
        <v>0</v>
      </c>
      <c r="P1302" s="188">
        <v>0</v>
      </c>
      <c r="Q1302" s="186">
        <v>0</v>
      </c>
      <c r="R1302" s="189">
        <v>0</v>
      </c>
    </row>
    <row r="1303" spans="2:18">
      <c r="B1303" s="184" t="s">
        <v>60</v>
      </c>
      <c r="C1303" s="119">
        <f t="shared" si="10"/>
        <v>2024</v>
      </c>
      <c r="D1303" s="132">
        <f t="shared" si="11"/>
        <v>4</v>
      </c>
      <c r="E1303" s="132" t="s">
        <v>93</v>
      </c>
      <c r="F1303" s="132" t="s">
        <v>265</v>
      </c>
      <c r="G1303" s="133" t="str">
        <f t="shared" si="12"/>
        <v>SGSIN-IDSUB-TLDIL</v>
      </c>
      <c r="H1303" s="184" t="s">
        <v>267</v>
      </c>
      <c r="I1303" s="184" t="s">
        <v>184</v>
      </c>
      <c r="J1303" s="186">
        <v>2</v>
      </c>
      <c r="K1303" s="186">
        <v>16</v>
      </c>
      <c r="L1303" s="186">
        <v>18</v>
      </c>
      <c r="M1303" s="197">
        <v>45323</v>
      </c>
      <c r="N1303" s="186">
        <v>103</v>
      </c>
      <c r="O1303" s="186">
        <v>172</v>
      </c>
      <c r="P1303" s="188">
        <v>1</v>
      </c>
      <c r="Q1303" s="186">
        <v>205</v>
      </c>
      <c r="R1303" s="186">
        <v>343</v>
      </c>
    </row>
    <row r="1304" spans="2:18">
      <c r="B1304" s="184" t="s">
        <v>60</v>
      </c>
      <c r="C1304" s="119">
        <f t="shared" si="10"/>
        <v>2024</v>
      </c>
      <c r="D1304" s="132">
        <f t="shared" si="11"/>
        <v>4</v>
      </c>
      <c r="E1304" s="132" t="s">
        <v>201</v>
      </c>
      <c r="F1304" s="132" t="s">
        <v>248</v>
      </c>
      <c r="G1304" s="133" t="str">
        <f t="shared" si="12"/>
        <v>Various route</v>
      </c>
      <c r="H1304" s="184" t="s">
        <v>199</v>
      </c>
      <c r="I1304" s="184" t="s">
        <v>200</v>
      </c>
      <c r="J1304" s="186">
        <v>1</v>
      </c>
      <c r="K1304" s="186">
        <v>0</v>
      </c>
      <c r="L1304" s="186">
        <v>0</v>
      </c>
      <c r="M1304" s="186">
        <v>0</v>
      </c>
      <c r="N1304" s="186">
        <v>0</v>
      </c>
      <c r="O1304" s="186">
        <v>0</v>
      </c>
      <c r="P1304" s="188">
        <v>0</v>
      </c>
      <c r="Q1304" s="188">
        <v>0</v>
      </c>
      <c r="R1304" s="188">
        <v>0</v>
      </c>
    </row>
    <row r="1305" spans="2:18">
      <c r="B1305" s="184" t="s">
        <v>60</v>
      </c>
      <c r="C1305" s="119">
        <f t="shared" si="10"/>
        <v>2024</v>
      </c>
      <c r="D1305" s="132">
        <f t="shared" si="11"/>
        <v>4</v>
      </c>
      <c r="E1305" s="132" t="s">
        <v>116</v>
      </c>
      <c r="F1305" s="132" t="s">
        <v>271</v>
      </c>
      <c r="G1305" s="133">
        <f t="shared" si="12"/>
        <v>0</v>
      </c>
      <c r="H1305" s="184" t="s">
        <v>199</v>
      </c>
      <c r="I1305" s="184" t="s">
        <v>200</v>
      </c>
      <c r="J1305" s="186">
        <v>0</v>
      </c>
      <c r="K1305" s="186">
        <v>0</v>
      </c>
      <c r="L1305" s="186">
        <v>0</v>
      </c>
      <c r="M1305" s="186">
        <v>0</v>
      </c>
      <c r="N1305" s="186">
        <v>0</v>
      </c>
      <c r="O1305" s="186">
        <v>0</v>
      </c>
      <c r="P1305" s="188">
        <v>0</v>
      </c>
      <c r="Q1305" s="186">
        <v>0</v>
      </c>
      <c r="R1305" s="189">
        <v>0</v>
      </c>
    </row>
    <row r="1306" spans="2:18">
      <c r="B1306" s="184" t="s">
        <v>60</v>
      </c>
      <c r="C1306" s="119">
        <f t="shared" si="10"/>
        <v>2024</v>
      </c>
      <c r="D1306" s="132">
        <f t="shared" si="11"/>
        <v>4</v>
      </c>
      <c r="E1306" s="132" t="s">
        <v>10</v>
      </c>
      <c r="F1306" s="132" t="s">
        <v>208</v>
      </c>
      <c r="G1306" s="133" t="str">
        <f t="shared" si="12"/>
        <v>SGSIN-MYTPP-IDJKT-IDSUB-SGSIN</v>
      </c>
      <c r="H1306" s="184" t="s">
        <v>210</v>
      </c>
      <c r="I1306" s="184" t="s">
        <v>173</v>
      </c>
      <c r="J1306" s="186">
        <v>0</v>
      </c>
      <c r="K1306" s="186">
        <v>0</v>
      </c>
      <c r="L1306" s="186">
        <v>0</v>
      </c>
      <c r="M1306" s="186">
        <v>0</v>
      </c>
      <c r="N1306" s="186">
        <v>0</v>
      </c>
      <c r="O1306" s="186">
        <v>0</v>
      </c>
      <c r="P1306" s="188">
        <v>0</v>
      </c>
      <c r="Q1306" s="186">
        <v>0</v>
      </c>
      <c r="R1306" s="186">
        <v>0</v>
      </c>
    </row>
    <row r="1307" spans="2:18">
      <c r="B1307" s="184" t="s">
        <v>60</v>
      </c>
      <c r="C1307" s="119">
        <f t="shared" si="10"/>
        <v>2024</v>
      </c>
      <c r="D1307" s="132">
        <f t="shared" si="11"/>
        <v>4</v>
      </c>
      <c r="E1307" s="132" t="s">
        <v>10</v>
      </c>
      <c r="F1307" s="132" t="s">
        <v>211</v>
      </c>
      <c r="G1307" s="133" t="str">
        <f t="shared" si="12"/>
        <v>SGSIN-MYTPP-IDJKT-IDSUB-SGSIN</v>
      </c>
      <c r="H1307" s="184" t="s">
        <v>213</v>
      </c>
      <c r="I1307" s="184" t="s">
        <v>173</v>
      </c>
      <c r="J1307" s="186">
        <v>0</v>
      </c>
      <c r="K1307" s="186">
        <v>0</v>
      </c>
      <c r="L1307" s="186">
        <v>0</v>
      </c>
      <c r="M1307" s="186" t="s">
        <v>292</v>
      </c>
      <c r="N1307" s="186">
        <v>0</v>
      </c>
      <c r="O1307" s="186">
        <v>0</v>
      </c>
      <c r="P1307" s="188">
        <v>0</v>
      </c>
      <c r="Q1307" s="186">
        <v>0</v>
      </c>
      <c r="R1307" s="186">
        <v>0</v>
      </c>
    </row>
    <row r="1308" spans="2:18">
      <c r="B1308" s="184" t="s">
        <v>60</v>
      </c>
      <c r="C1308" s="119">
        <f t="shared" si="10"/>
        <v>2024</v>
      </c>
      <c r="D1308" s="132">
        <f t="shared" si="11"/>
        <v>4</v>
      </c>
      <c r="E1308" s="132" t="s">
        <v>10</v>
      </c>
      <c r="F1308" s="132" t="s">
        <v>214</v>
      </c>
      <c r="G1308" s="133" t="str">
        <f t="shared" si="12"/>
        <v>SGSIN-MYTPP-IDJKT-IDSUB-SGSIN</v>
      </c>
      <c r="H1308" s="184" t="s">
        <v>216</v>
      </c>
      <c r="I1308" s="184" t="s">
        <v>184</v>
      </c>
      <c r="J1308" s="186">
        <v>1</v>
      </c>
      <c r="K1308" s="186">
        <v>44</v>
      </c>
      <c r="L1308" s="186">
        <v>20</v>
      </c>
      <c r="M1308" s="197">
        <v>45353</v>
      </c>
      <c r="N1308" s="186">
        <v>708</v>
      </c>
      <c r="O1308" s="186">
        <v>1162</v>
      </c>
      <c r="P1308" s="188">
        <v>0</v>
      </c>
      <c r="Q1308" s="186">
        <v>708</v>
      </c>
      <c r="R1308" s="186">
        <v>1.1619999999999999</v>
      </c>
    </row>
    <row r="1309" spans="2:18">
      <c r="B1309" s="184" t="s">
        <v>60</v>
      </c>
      <c r="C1309" s="119">
        <f t="shared" si="10"/>
        <v>2024</v>
      </c>
      <c r="D1309" s="132">
        <f t="shared" si="11"/>
        <v>4</v>
      </c>
      <c r="E1309" s="132" t="s">
        <v>10</v>
      </c>
      <c r="F1309" s="132" t="s">
        <v>268</v>
      </c>
      <c r="G1309" s="133" t="str">
        <f t="shared" si="12"/>
        <v>SGSIN-MYTPP-IDJKT-IDSUB-SGSIN</v>
      </c>
      <c r="H1309" s="184" t="s">
        <v>270</v>
      </c>
      <c r="I1309" s="184" t="s">
        <v>184</v>
      </c>
      <c r="J1309" s="186">
        <v>16</v>
      </c>
      <c r="K1309" s="186">
        <v>55</v>
      </c>
      <c r="L1309" s="186">
        <v>28</v>
      </c>
      <c r="M1309" s="197">
        <v>45353</v>
      </c>
      <c r="N1309" s="186">
        <v>848</v>
      </c>
      <c r="O1309" s="186">
        <v>1220</v>
      </c>
      <c r="P1309" s="188">
        <v>0.25</v>
      </c>
      <c r="Q1309" s="186">
        <v>13572</v>
      </c>
      <c r="R1309" s="186">
        <v>19513</v>
      </c>
    </row>
    <row r="1310" spans="2:18">
      <c r="B1310" s="184" t="s">
        <v>60</v>
      </c>
      <c r="C1310" s="119">
        <f t="shared" si="10"/>
        <v>2024</v>
      </c>
      <c r="D1310" s="132">
        <f t="shared" si="11"/>
        <v>4</v>
      </c>
      <c r="E1310" s="132" t="s">
        <v>9</v>
      </c>
      <c r="F1310" s="132" t="s">
        <v>217</v>
      </c>
      <c r="G1310" s="133" t="str">
        <f t="shared" si="12"/>
        <v>CNSGH-CNTXG-CNQIN-TWKEL-SGSIN-MYTPP-IDJKT-IDSUB-PHDVO-CNSGH</v>
      </c>
      <c r="H1310" s="184" t="s">
        <v>219</v>
      </c>
      <c r="I1310" s="184" t="s">
        <v>184</v>
      </c>
      <c r="J1310" s="186">
        <v>5</v>
      </c>
      <c r="K1310" s="186">
        <v>78</v>
      </c>
      <c r="L1310" s="186">
        <v>29</v>
      </c>
      <c r="M1310" s="197">
        <v>45537</v>
      </c>
      <c r="N1310" s="186">
        <v>2048</v>
      </c>
      <c r="O1310" s="186">
        <v>3314</v>
      </c>
      <c r="P1310" s="188">
        <v>0.2</v>
      </c>
      <c r="Q1310" s="186">
        <v>10.24</v>
      </c>
      <c r="R1310" s="186">
        <v>16.568999999999999</v>
      </c>
    </row>
    <row r="1311" spans="2:18">
      <c r="B1311" s="184" t="s">
        <v>60</v>
      </c>
      <c r="C1311" s="119">
        <f t="shared" si="10"/>
        <v>2024</v>
      </c>
      <c r="D1311" s="132">
        <f t="shared" si="11"/>
        <v>4</v>
      </c>
      <c r="E1311" s="132" t="s">
        <v>101</v>
      </c>
      <c r="F1311" s="132" t="s">
        <v>249</v>
      </c>
      <c r="G1311" s="133" t="str">
        <f t="shared" si="12"/>
        <v>IDJKT-IDSUB-CNSHK-CNXAM-KRPUS-CNQIN-CNSGH-CNNBO-IDJKT</v>
      </c>
      <c r="H1311" s="184" t="s">
        <v>251</v>
      </c>
      <c r="I1311" s="184" t="s">
        <v>184</v>
      </c>
      <c r="J1311" s="186">
        <v>1</v>
      </c>
      <c r="K1311" s="186">
        <v>0</v>
      </c>
      <c r="L1311" s="186">
        <v>25</v>
      </c>
      <c r="M1311" s="197">
        <v>45506</v>
      </c>
      <c r="N1311" s="186">
        <v>515</v>
      </c>
      <c r="O1311" s="186">
        <v>774</v>
      </c>
      <c r="P1311" s="188">
        <v>0</v>
      </c>
      <c r="Q1311" s="186">
        <v>515</v>
      </c>
      <c r="R1311" s="186">
        <v>774</v>
      </c>
    </row>
    <row r="1312" spans="2:18">
      <c r="B1312" s="184" t="s">
        <v>60</v>
      </c>
      <c r="C1312" s="119">
        <f t="shared" si="10"/>
        <v>2024</v>
      </c>
      <c r="D1312" s="132">
        <f t="shared" si="11"/>
        <v>4</v>
      </c>
      <c r="E1312" s="132" t="s">
        <v>11</v>
      </c>
      <c r="F1312" s="132" t="s">
        <v>220</v>
      </c>
      <c r="G1312" s="133" t="str">
        <f t="shared" si="12"/>
        <v>HKHKG–CNNSH–CNSHK–IDSUB–IDSRG– IDJKT–MYKLA (North)–MYKLA (West)– HKHKG</v>
      </c>
      <c r="H1312" s="184" t="s">
        <v>222</v>
      </c>
      <c r="I1312" s="184" t="s">
        <v>184</v>
      </c>
      <c r="J1312" s="186">
        <v>1</v>
      </c>
      <c r="K1312" s="186">
        <v>71</v>
      </c>
      <c r="L1312" s="186">
        <v>36</v>
      </c>
      <c r="M1312" s="197">
        <v>45445</v>
      </c>
      <c r="N1312" s="186">
        <v>605</v>
      </c>
      <c r="O1312" s="186">
        <v>800</v>
      </c>
      <c r="P1312" s="188">
        <v>0</v>
      </c>
      <c r="Q1312" s="186">
        <v>605</v>
      </c>
      <c r="R1312" s="189">
        <v>800</v>
      </c>
    </row>
    <row r="1313" spans="2:18">
      <c r="B1313" s="184" t="s">
        <v>60</v>
      </c>
      <c r="C1313" s="119">
        <f t="shared" si="10"/>
        <v>2024</v>
      </c>
      <c r="D1313" s="132">
        <f t="shared" si="11"/>
        <v>4</v>
      </c>
      <c r="E1313" s="132" t="s">
        <v>11</v>
      </c>
      <c r="F1313" s="132" t="s">
        <v>249</v>
      </c>
      <c r="G1313" s="133" t="str">
        <f t="shared" si="12"/>
        <v>HKHKG–CNNSH–CNSHK–IDSUB–IDSRG– IDJKT–MYKLA (North)–MYKLA (West)– HKHKG</v>
      </c>
      <c r="H1313" s="184" t="s">
        <v>251</v>
      </c>
      <c r="I1313" s="184" t="s">
        <v>184</v>
      </c>
      <c r="J1313" s="186">
        <v>1</v>
      </c>
      <c r="K1313" s="186">
        <v>0</v>
      </c>
      <c r="L1313" s="186">
        <v>0</v>
      </c>
      <c r="M1313" s="186">
        <v>0</v>
      </c>
      <c r="N1313" s="186">
        <v>790</v>
      </c>
      <c r="O1313" s="186">
        <v>1095</v>
      </c>
      <c r="P1313" s="186">
        <v>0</v>
      </c>
      <c r="Q1313" s="186">
        <v>790</v>
      </c>
      <c r="R1313" s="186">
        <v>1095</v>
      </c>
    </row>
    <row r="1314" spans="2:18">
      <c r="B1314" s="184" t="s">
        <v>60</v>
      </c>
      <c r="C1314" s="119">
        <f t="shared" si="10"/>
        <v>2024</v>
      </c>
      <c r="D1314" s="132">
        <f t="shared" si="11"/>
        <v>4</v>
      </c>
      <c r="E1314" s="132" t="s">
        <v>91</v>
      </c>
      <c r="F1314" s="132" t="s">
        <v>178</v>
      </c>
      <c r="G1314" s="133" t="str">
        <f t="shared" si="12"/>
        <v>MYKLA-SGSIN-IDSRG-IDSUB-MYKLA- SGSIN-THBKK THSCS-THLCH</v>
      </c>
      <c r="H1314" s="184" t="s">
        <v>180</v>
      </c>
      <c r="I1314" s="184" t="s">
        <v>173</v>
      </c>
      <c r="J1314" s="186">
        <v>1</v>
      </c>
      <c r="K1314" s="186">
        <v>52</v>
      </c>
      <c r="L1314" s="186">
        <v>24</v>
      </c>
      <c r="M1314" s="197">
        <v>45384</v>
      </c>
      <c r="N1314" s="186">
        <v>467</v>
      </c>
      <c r="O1314" s="186">
        <v>606</v>
      </c>
      <c r="P1314" s="188">
        <v>0</v>
      </c>
      <c r="Q1314" s="186">
        <v>467</v>
      </c>
      <c r="R1314" s="189">
        <v>606</v>
      </c>
    </row>
    <row r="1315" spans="2:18">
      <c r="B1315" s="184" t="s">
        <v>60</v>
      </c>
      <c r="C1315" s="119">
        <f t="shared" si="10"/>
        <v>2024</v>
      </c>
      <c r="D1315" s="132">
        <f t="shared" si="11"/>
        <v>4</v>
      </c>
      <c r="E1315" s="132" t="s">
        <v>91</v>
      </c>
      <c r="F1315" s="132" t="s">
        <v>289</v>
      </c>
      <c r="G1315" s="133" t="str">
        <f t="shared" si="12"/>
        <v>MYKLA-SGSIN-IDSRG-IDSUB-MYKLA- SGSIN-THBKK THSCS-THLCH</v>
      </c>
      <c r="H1315" s="184" t="s">
        <v>241</v>
      </c>
      <c r="I1315" s="184" t="s">
        <v>184</v>
      </c>
      <c r="J1315" s="186">
        <v>1</v>
      </c>
      <c r="K1315" s="186">
        <v>62</v>
      </c>
      <c r="L1315" s="186">
        <v>28</v>
      </c>
      <c r="M1315" s="186">
        <v>3</v>
      </c>
      <c r="N1315" s="186">
        <v>735</v>
      </c>
      <c r="O1315" s="186">
        <v>1275</v>
      </c>
      <c r="P1315" s="188">
        <v>0</v>
      </c>
      <c r="Q1315" s="186">
        <v>735</v>
      </c>
      <c r="R1315" s="186">
        <v>1275</v>
      </c>
    </row>
    <row r="1316" spans="2:18">
      <c r="B1316" s="184" t="s">
        <v>60</v>
      </c>
      <c r="C1316" s="119">
        <f t="shared" si="10"/>
        <v>2024</v>
      </c>
      <c r="D1316" s="132">
        <f t="shared" si="11"/>
        <v>4</v>
      </c>
      <c r="E1316" s="132" t="s">
        <v>23</v>
      </c>
      <c r="F1316" s="132" t="s">
        <v>223</v>
      </c>
      <c r="G1316" s="133" t="str">
        <f t="shared" si="12"/>
        <v>SGSIN-IDSUB-SGSIN</v>
      </c>
      <c r="H1316" s="184" t="s">
        <v>176</v>
      </c>
      <c r="I1316" s="184" t="s">
        <v>173</v>
      </c>
      <c r="J1316" s="186">
        <v>0</v>
      </c>
      <c r="K1316" s="186">
        <v>0</v>
      </c>
      <c r="L1316" s="186">
        <v>0</v>
      </c>
      <c r="M1316" s="186">
        <v>0</v>
      </c>
      <c r="N1316" s="186">
        <v>0</v>
      </c>
      <c r="O1316" s="186">
        <v>0</v>
      </c>
      <c r="P1316" s="188">
        <v>0</v>
      </c>
      <c r="Q1316" s="186">
        <v>0</v>
      </c>
      <c r="R1316" s="186">
        <v>0</v>
      </c>
    </row>
    <row r="1317" spans="2:18">
      <c r="B1317" s="184" t="s">
        <v>60</v>
      </c>
      <c r="C1317" s="119">
        <f t="shared" si="10"/>
        <v>2024</v>
      </c>
      <c r="D1317" s="132">
        <f t="shared" si="11"/>
        <v>4</v>
      </c>
      <c r="E1317" s="132" t="s">
        <v>23</v>
      </c>
      <c r="F1317" s="132" t="s">
        <v>224</v>
      </c>
      <c r="G1317" s="133" t="str">
        <f t="shared" si="12"/>
        <v>SGSIN-IDSUB-SGSIN</v>
      </c>
      <c r="H1317" s="184" t="s">
        <v>107</v>
      </c>
      <c r="I1317" s="184" t="s">
        <v>107</v>
      </c>
      <c r="J1317" s="186">
        <v>0</v>
      </c>
      <c r="K1317" s="186">
        <v>0</v>
      </c>
      <c r="L1317" s="186">
        <v>0</v>
      </c>
      <c r="M1317" s="186" t="s">
        <v>292</v>
      </c>
      <c r="N1317" s="186">
        <v>0</v>
      </c>
      <c r="O1317" s="186">
        <v>0</v>
      </c>
      <c r="P1317" s="188">
        <v>0</v>
      </c>
      <c r="Q1317" s="186">
        <v>0</v>
      </c>
      <c r="R1317" s="186">
        <v>0</v>
      </c>
    </row>
    <row r="1318" spans="2:18">
      <c r="B1318" s="184" t="s">
        <v>60</v>
      </c>
      <c r="C1318" s="119">
        <f t="shared" si="10"/>
        <v>2024</v>
      </c>
      <c r="D1318" s="132">
        <f t="shared" si="11"/>
        <v>4</v>
      </c>
      <c r="E1318" s="132" t="s">
        <v>15</v>
      </c>
      <c r="F1318" s="132" t="s">
        <v>225</v>
      </c>
      <c r="G1318" s="133" t="str">
        <f t="shared" si="12"/>
        <v>SGSIN-IDSUB-SGSIN-MYKLA-MYNTL-MYKLA-SGSIN</v>
      </c>
      <c r="H1318" s="184" t="s">
        <v>227</v>
      </c>
      <c r="I1318" s="184" t="s">
        <v>173</v>
      </c>
      <c r="J1318" s="186">
        <v>0</v>
      </c>
      <c r="K1318" s="186">
        <v>0</v>
      </c>
      <c r="L1318" s="186">
        <v>0</v>
      </c>
      <c r="M1318" s="186">
        <v>0</v>
      </c>
      <c r="N1318" s="186">
        <v>0</v>
      </c>
      <c r="O1318" s="186">
        <v>0</v>
      </c>
      <c r="P1318" s="188">
        <v>0</v>
      </c>
      <c r="Q1318" s="186">
        <v>0</v>
      </c>
      <c r="R1318" s="189">
        <v>0</v>
      </c>
    </row>
    <row r="1319" spans="2:18">
      <c r="B1319" s="184" t="s">
        <v>60</v>
      </c>
      <c r="C1319" s="119">
        <f t="shared" si="10"/>
        <v>2024</v>
      </c>
      <c r="D1319" s="132">
        <f t="shared" si="11"/>
        <v>4</v>
      </c>
      <c r="E1319" s="132" t="s">
        <v>15</v>
      </c>
      <c r="F1319" s="132" t="s">
        <v>220</v>
      </c>
      <c r="G1319" s="133" t="str">
        <f t="shared" si="12"/>
        <v>SGSIN-IDSUB-SGSIN-MYKLA-MYNTL-MYKLA-SGSIN</v>
      </c>
      <c r="H1319" s="184" t="s">
        <v>222</v>
      </c>
      <c r="I1319" s="184" t="s">
        <v>184</v>
      </c>
      <c r="J1319" s="186">
        <v>2</v>
      </c>
      <c r="K1319" s="186">
        <v>33</v>
      </c>
      <c r="L1319" s="186">
        <v>19</v>
      </c>
      <c r="M1319" s="186">
        <v>2</v>
      </c>
      <c r="N1319" s="186">
        <v>732</v>
      </c>
      <c r="O1319" s="186">
        <v>1072</v>
      </c>
      <c r="P1319" s="188">
        <v>0</v>
      </c>
      <c r="Q1319" s="186">
        <v>1464</v>
      </c>
      <c r="R1319" s="186">
        <v>2143</v>
      </c>
    </row>
    <row r="1320" spans="2:18">
      <c r="B1320" s="184" t="s">
        <v>60</v>
      </c>
      <c r="C1320" s="119">
        <f t="shared" si="10"/>
        <v>2024</v>
      </c>
      <c r="D1320" s="132">
        <f t="shared" si="11"/>
        <v>4</v>
      </c>
      <c r="E1320" s="132" t="s">
        <v>84</v>
      </c>
      <c r="F1320" s="132" t="s">
        <v>228</v>
      </c>
      <c r="G1320" s="133" t="str">
        <f t="shared" si="12"/>
        <v>IDJKT-IDSRG-IDSUB-IDMAK-PHBTG-CNSGH-CNXAM-CNSHK-CNNSH-MYBTU-IDJKT</v>
      </c>
      <c r="H1320" s="184" t="s">
        <v>230</v>
      </c>
      <c r="I1320" s="184" t="s">
        <v>184</v>
      </c>
      <c r="J1320" s="186">
        <v>4</v>
      </c>
      <c r="K1320" s="186">
        <v>24</v>
      </c>
      <c r="L1320" s="186">
        <v>16</v>
      </c>
      <c r="M1320" s="197">
        <v>45474</v>
      </c>
      <c r="N1320" s="186">
        <v>275</v>
      </c>
      <c r="O1320" s="186">
        <v>405</v>
      </c>
      <c r="P1320" s="188">
        <v>0.5</v>
      </c>
      <c r="Q1320" s="186">
        <v>1.0980000000000001</v>
      </c>
      <c r="R1320" s="186">
        <v>1.621</v>
      </c>
    </row>
    <row r="1321" spans="2:18">
      <c r="B1321" s="184" t="s">
        <v>60</v>
      </c>
      <c r="C1321" s="119">
        <f t="shared" si="10"/>
        <v>2024</v>
      </c>
      <c r="D1321" s="132">
        <f t="shared" si="11"/>
        <v>4</v>
      </c>
      <c r="E1321" s="132" t="s">
        <v>84</v>
      </c>
      <c r="F1321" s="132" t="s">
        <v>231</v>
      </c>
      <c r="G1321" s="133" t="str">
        <f t="shared" si="12"/>
        <v>IDJKT-IDSRG-IDSUB-IDMAK-PHBTG-CNSGH-CNXAM-CNSHK-CNNSH-MYBTU-IDJKT</v>
      </c>
      <c r="H1321" s="184" t="s">
        <v>233</v>
      </c>
      <c r="I1321" s="184" t="s">
        <v>184</v>
      </c>
      <c r="J1321" s="186">
        <v>0</v>
      </c>
      <c r="K1321" s="186">
        <v>0</v>
      </c>
      <c r="L1321" s="186">
        <v>0</v>
      </c>
      <c r="M1321" s="186">
        <v>0</v>
      </c>
      <c r="N1321" s="186">
        <v>0</v>
      </c>
      <c r="O1321" s="186">
        <v>0</v>
      </c>
      <c r="P1321" s="188">
        <v>0</v>
      </c>
      <c r="Q1321" s="186">
        <v>0</v>
      </c>
      <c r="R1321" s="186">
        <v>0</v>
      </c>
    </row>
    <row r="1322" spans="2:18">
      <c r="B1322" s="184" t="s">
        <v>60</v>
      </c>
      <c r="C1322" s="119">
        <f t="shared" si="10"/>
        <v>2024</v>
      </c>
      <c r="D1322" s="132">
        <f t="shared" si="11"/>
        <v>4</v>
      </c>
      <c r="E1322" s="132" t="s">
        <v>84</v>
      </c>
      <c r="F1322" s="132" t="s">
        <v>249</v>
      </c>
      <c r="G1322" s="133" t="str">
        <f t="shared" si="12"/>
        <v>IDJKT-IDSRG-IDSUB-IDMAK-PHBTG-CNSGH-CNXAM-CNSHK-CNNSH-MYBTU-IDJKT</v>
      </c>
      <c r="H1322" s="184" t="s">
        <v>251</v>
      </c>
      <c r="I1322" s="184" t="s">
        <v>184</v>
      </c>
      <c r="J1322" s="186">
        <v>1</v>
      </c>
      <c r="K1322" s="186">
        <v>33</v>
      </c>
      <c r="L1322" s="186">
        <v>18</v>
      </c>
      <c r="M1322" s="197">
        <v>45505</v>
      </c>
      <c r="N1322" s="186">
        <v>917</v>
      </c>
      <c r="O1322" s="186">
        <v>1524</v>
      </c>
      <c r="P1322" s="188">
        <v>0</v>
      </c>
      <c r="Q1322" s="186">
        <v>917</v>
      </c>
      <c r="R1322" s="186">
        <v>1.524</v>
      </c>
    </row>
    <row r="1323" spans="2:18">
      <c r="B1323" s="184" t="s">
        <v>60</v>
      </c>
      <c r="C1323" s="119">
        <f t="shared" si="10"/>
        <v>2024</v>
      </c>
      <c r="D1323" s="132">
        <f t="shared" si="11"/>
        <v>4</v>
      </c>
      <c r="E1323" s="132" t="s">
        <v>22</v>
      </c>
      <c r="F1323" s="132" t="s">
        <v>174</v>
      </c>
      <c r="G1323" s="133" t="str">
        <f t="shared" si="12"/>
        <v>SGSIN-IDSUB-SGSIN</v>
      </c>
      <c r="H1323" s="184" t="s">
        <v>176</v>
      </c>
      <c r="I1323" s="184" t="s">
        <v>173</v>
      </c>
      <c r="J1323" s="186">
        <v>4</v>
      </c>
      <c r="K1323" s="186">
        <v>63</v>
      </c>
      <c r="L1323" s="186">
        <v>25</v>
      </c>
      <c r="M1323" s="197">
        <v>45475</v>
      </c>
      <c r="N1323" s="186">
        <v>1766</v>
      </c>
      <c r="O1323" s="186">
        <v>2559</v>
      </c>
      <c r="P1323" s="188">
        <v>0</v>
      </c>
      <c r="Q1323" s="186">
        <v>7.0629999999999997</v>
      </c>
      <c r="R1323" s="186">
        <v>10.234999999999999</v>
      </c>
    </row>
    <row r="1324" spans="2:18">
      <c r="B1324" s="184" t="s">
        <v>60</v>
      </c>
      <c r="C1324" s="119">
        <f t="shared" si="10"/>
        <v>2024</v>
      </c>
      <c r="D1324" s="132">
        <f t="shared" si="11"/>
        <v>4</v>
      </c>
      <c r="E1324" s="132" t="s">
        <v>22</v>
      </c>
      <c r="F1324" s="132" t="s">
        <v>177</v>
      </c>
      <c r="G1324" s="133" t="str">
        <f t="shared" si="12"/>
        <v>SGSIN-IDSUB-SGSIN</v>
      </c>
      <c r="H1324" s="184" t="s">
        <v>176</v>
      </c>
      <c r="I1324" s="184" t="s">
        <v>173</v>
      </c>
      <c r="J1324" s="186">
        <v>3</v>
      </c>
      <c r="K1324" s="186">
        <v>76</v>
      </c>
      <c r="L1324" s="186">
        <v>30</v>
      </c>
      <c r="M1324" s="186">
        <v>3</v>
      </c>
      <c r="N1324" s="186">
        <v>1536</v>
      </c>
      <c r="O1324" s="186">
        <v>2316</v>
      </c>
      <c r="P1324" s="188">
        <v>0</v>
      </c>
      <c r="Q1324" s="186">
        <v>4.6079999999999997</v>
      </c>
      <c r="R1324" s="189">
        <v>6.9480000000000004</v>
      </c>
    </row>
    <row r="1325" spans="2:18">
      <c r="B1325" s="184" t="s">
        <v>60</v>
      </c>
      <c r="C1325" s="119">
        <f t="shared" si="10"/>
        <v>2024</v>
      </c>
      <c r="D1325" s="132">
        <f t="shared" si="11"/>
        <v>4</v>
      </c>
      <c r="E1325" s="132" t="s">
        <v>22</v>
      </c>
      <c r="F1325" s="132" t="s">
        <v>223</v>
      </c>
      <c r="G1325" s="133" t="str">
        <f t="shared" si="12"/>
        <v>SGSIN-IDSUB-SGSIN</v>
      </c>
      <c r="H1325" s="184" t="s">
        <v>176</v>
      </c>
      <c r="I1325" s="184" t="s">
        <v>173</v>
      </c>
      <c r="J1325" s="186">
        <v>0</v>
      </c>
      <c r="K1325" s="186">
        <v>0</v>
      </c>
      <c r="L1325" s="186">
        <v>0</v>
      </c>
      <c r="M1325" s="186" t="s">
        <v>292</v>
      </c>
      <c r="N1325" s="186">
        <v>0</v>
      </c>
      <c r="O1325" s="186">
        <v>0</v>
      </c>
      <c r="P1325" s="188">
        <v>0</v>
      </c>
      <c r="Q1325" s="186">
        <v>0</v>
      </c>
      <c r="R1325" s="186">
        <v>0</v>
      </c>
    </row>
    <row r="1326" spans="2:18">
      <c r="B1326" s="184" t="s">
        <v>60</v>
      </c>
      <c r="C1326" s="119">
        <f t="shared" si="10"/>
        <v>2024</v>
      </c>
      <c r="D1326" s="132">
        <f t="shared" si="11"/>
        <v>4</v>
      </c>
      <c r="E1326" s="132" t="s">
        <v>22</v>
      </c>
      <c r="F1326" s="132" t="s">
        <v>290</v>
      </c>
      <c r="G1326" s="133" t="str">
        <f t="shared" si="12"/>
        <v>SGSIN-IDSUB-SGSIN</v>
      </c>
      <c r="H1326" s="184" t="s">
        <v>199</v>
      </c>
      <c r="I1326" s="184" t="s">
        <v>200</v>
      </c>
      <c r="J1326" s="186">
        <v>1</v>
      </c>
      <c r="K1326" s="186">
        <v>26</v>
      </c>
      <c r="L1326" s="186">
        <v>15</v>
      </c>
      <c r="M1326" s="186">
        <v>2</v>
      </c>
      <c r="N1326" s="186">
        <v>759</v>
      </c>
      <c r="O1326" s="186">
        <v>1145</v>
      </c>
      <c r="P1326" s="188">
        <v>1</v>
      </c>
      <c r="Q1326" s="186">
        <v>759</v>
      </c>
      <c r="R1326" s="189">
        <v>1145</v>
      </c>
    </row>
    <row r="1327" spans="2:18">
      <c r="B1327" s="184" t="s">
        <v>60</v>
      </c>
      <c r="C1327" s="119">
        <f t="shared" si="10"/>
        <v>2024</v>
      </c>
      <c r="D1327" s="132">
        <f t="shared" si="11"/>
        <v>4</v>
      </c>
      <c r="E1327" s="132" t="s">
        <v>32</v>
      </c>
      <c r="F1327" s="132" t="s">
        <v>249</v>
      </c>
      <c r="G1327" s="133" t="str">
        <f t="shared" si="12"/>
        <v>IDJKT-IDSUB-CNSHK-CNXAM-KRPUS-CNQIN-CNSGH-CNNBO-IDJKT</v>
      </c>
      <c r="H1327" s="184" t="s">
        <v>251</v>
      </c>
      <c r="I1327" s="184" t="s">
        <v>184</v>
      </c>
      <c r="J1327" s="186">
        <v>1</v>
      </c>
      <c r="K1327" s="186">
        <v>30</v>
      </c>
      <c r="L1327" s="186">
        <v>14</v>
      </c>
      <c r="M1327" s="197">
        <v>45324</v>
      </c>
      <c r="N1327" s="186">
        <v>994</v>
      </c>
      <c r="O1327" s="186">
        <v>1529</v>
      </c>
      <c r="P1327" s="188">
        <v>0</v>
      </c>
      <c r="Q1327" s="186">
        <v>994</v>
      </c>
      <c r="R1327" s="189">
        <v>1529</v>
      </c>
    </row>
    <row r="1328" spans="2:18">
      <c r="B1328" s="184" t="s">
        <v>60</v>
      </c>
      <c r="C1328" s="119">
        <f t="shared" si="10"/>
        <v>2024</v>
      </c>
      <c r="D1328" s="132">
        <f t="shared" si="11"/>
        <v>4</v>
      </c>
      <c r="E1328" s="132" t="s">
        <v>12</v>
      </c>
      <c r="F1328" s="132" t="s">
        <v>220</v>
      </c>
      <c r="G1328" s="133" t="str">
        <f t="shared" si="12"/>
        <v>HKHKG–CNNSH–CNSHK–IDSUB–IDSRG– IDJKT–MYKLA (North)–MYKLA (West)– HKHKG</v>
      </c>
      <c r="H1328" s="184" t="s">
        <v>222</v>
      </c>
      <c r="I1328" s="184" t="s">
        <v>184</v>
      </c>
      <c r="J1328" s="186">
        <v>0</v>
      </c>
      <c r="K1328" s="186">
        <v>0</v>
      </c>
      <c r="L1328" s="186">
        <v>0</v>
      </c>
      <c r="M1328" s="186">
        <v>0</v>
      </c>
      <c r="N1328" s="186">
        <v>0</v>
      </c>
      <c r="O1328" s="186">
        <v>0</v>
      </c>
      <c r="P1328" s="188">
        <v>0</v>
      </c>
      <c r="Q1328" s="186">
        <v>0</v>
      </c>
      <c r="R1328" s="189">
        <v>0</v>
      </c>
    </row>
    <row r="1329" spans="2:18">
      <c r="B1329" s="184" t="s">
        <v>60</v>
      </c>
      <c r="C1329" s="119">
        <f t="shared" si="10"/>
        <v>2024</v>
      </c>
      <c r="D1329" s="132">
        <f t="shared" si="11"/>
        <v>4</v>
      </c>
      <c r="E1329" s="132" t="s">
        <v>12</v>
      </c>
      <c r="F1329" s="132" t="s">
        <v>234</v>
      </c>
      <c r="G1329" s="133" t="str">
        <f t="shared" si="12"/>
        <v>HKHKG–CNNSH–CNSHK–IDSUB–IDSRG– IDJKT–MYKLA (North)–MYKLA (West)– HKHKG</v>
      </c>
      <c r="H1329" s="184" t="s">
        <v>236</v>
      </c>
      <c r="I1329" s="184" t="s">
        <v>184</v>
      </c>
      <c r="J1329" s="186">
        <v>16</v>
      </c>
      <c r="K1329" s="186">
        <v>46</v>
      </c>
      <c r="L1329" s="186">
        <v>21</v>
      </c>
      <c r="M1329" s="197">
        <v>45353</v>
      </c>
      <c r="N1329" s="186">
        <v>959</v>
      </c>
      <c r="O1329" s="186">
        <v>1476</v>
      </c>
      <c r="P1329" s="188">
        <v>0.44</v>
      </c>
      <c r="Q1329" s="186">
        <v>15.343999999999999</v>
      </c>
      <c r="R1329" s="186">
        <v>23.614999999999998</v>
      </c>
    </row>
    <row r="1330" spans="2:18">
      <c r="B1330" s="184" t="s">
        <v>60</v>
      </c>
      <c r="C1330" s="119">
        <f t="shared" si="10"/>
        <v>2024</v>
      </c>
      <c r="D1330" s="132">
        <f t="shared" si="11"/>
        <v>4</v>
      </c>
      <c r="E1330" s="132" t="s">
        <v>12</v>
      </c>
      <c r="F1330" s="132" t="s">
        <v>237</v>
      </c>
      <c r="G1330" s="133" t="str">
        <f t="shared" si="12"/>
        <v>HKHKG–CNNSH–CNSHK–IDSUB–IDSRG– IDJKT–MYKLA (North)–MYKLA (West)– HKHKG</v>
      </c>
      <c r="H1330" s="184" t="s">
        <v>199</v>
      </c>
      <c r="I1330" s="184" t="s">
        <v>200</v>
      </c>
      <c r="J1330" s="186">
        <v>0</v>
      </c>
      <c r="K1330" s="186">
        <v>0</v>
      </c>
      <c r="L1330" s="186">
        <v>0</v>
      </c>
      <c r="M1330" s="186">
        <v>0</v>
      </c>
      <c r="N1330" s="186">
        <v>0</v>
      </c>
      <c r="O1330" s="186">
        <v>0</v>
      </c>
      <c r="P1330" s="188">
        <v>0</v>
      </c>
      <c r="Q1330" s="186">
        <v>0</v>
      </c>
      <c r="R1330" s="186">
        <v>0</v>
      </c>
    </row>
    <row r="1331" spans="2:18">
      <c r="B1331" s="184" t="s">
        <v>60</v>
      </c>
      <c r="C1331" s="119">
        <f t="shared" si="10"/>
        <v>2024</v>
      </c>
      <c r="D1331" s="132">
        <f t="shared" si="11"/>
        <v>4</v>
      </c>
      <c r="E1331" s="132" t="s">
        <v>12</v>
      </c>
      <c r="F1331" s="132" t="s">
        <v>252</v>
      </c>
      <c r="G1331" s="133" t="str">
        <f t="shared" si="12"/>
        <v>HKHKG–CNNSH–CNSHK–IDSUB–IDSRG– IDJKT–MYKLA (North)–MYKLA (West)– HKHKG</v>
      </c>
      <c r="H1331" s="184" t="s">
        <v>254</v>
      </c>
      <c r="I1331" s="184" t="s">
        <v>184</v>
      </c>
      <c r="J1331" s="186">
        <v>0</v>
      </c>
      <c r="K1331" s="186">
        <v>0</v>
      </c>
      <c r="L1331" s="186">
        <v>0</v>
      </c>
      <c r="M1331" s="186">
        <v>0</v>
      </c>
      <c r="N1331" s="186">
        <v>0</v>
      </c>
      <c r="O1331" s="186">
        <v>0</v>
      </c>
      <c r="P1331" s="188">
        <v>0</v>
      </c>
      <c r="Q1331" s="186">
        <v>0</v>
      </c>
      <c r="R1331" s="186">
        <v>0</v>
      </c>
    </row>
    <row r="1332" spans="2:18">
      <c r="B1332" s="184" t="s">
        <v>60</v>
      </c>
      <c r="C1332" s="119">
        <f t="shared" si="10"/>
        <v>2024</v>
      </c>
      <c r="D1332" s="132">
        <f t="shared" si="11"/>
        <v>4</v>
      </c>
      <c r="E1332" s="132" t="s">
        <v>26</v>
      </c>
      <c r="F1332" s="132" t="s">
        <v>238</v>
      </c>
      <c r="G1332" s="133" t="str">
        <f t="shared" si="12"/>
        <v>SGSIN-IDSUB-SGSIN</v>
      </c>
      <c r="H1332" s="184" t="s">
        <v>176</v>
      </c>
      <c r="I1332" s="184" t="s">
        <v>173</v>
      </c>
      <c r="J1332" s="186">
        <v>0</v>
      </c>
      <c r="K1332" s="186">
        <v>0</v>
      </c>
      <c r="L1332" s="186">
        <v>0</v>
      </c>
      <c r="M1332" s="186" t="s">
        <v>292</v>
      </c>
      <c r="N1332" s="186">
        <v>0</v>
      </c>
      <c r="O1332" s="186">
        <v>0</v>
      </c>
      <c r="P1332" s="188">
        <v>0</v>
      </c>
      <c r="Q1332" s="186">
        <v>0</v>
      </c>
      <c r="R1332" s="186">
        <v>0</v>
      </c>
    </row>
    <row r="1333" spans="2:18">
      <c r="B1333" s="184" t="s">
        <v>60</v>
      </c>
      <c r="C1333" s="119">
        <f t="shared" si="10"/>
        <v>2024</v>
      </c>
      <c r="D1333" s="132">
        <f t="shared" si="11"/>
        <v>4</v>
      </c>
      <c r="E1333" s="132" t="s">
        <v>19</v>
      </c>
      <c r="F1333" s="132" t="s">
        <v>178</v>
      </c>
      <c r="G1333" s="133" t="str">
        <f t="shared" si="12"/>
        <v>MYKLA-SGSIN-IDSRG-IDSUB-MYKLA- SGSIN-THBKK THSCS-THLCH</v>
      </c>
      <c r="H1333" s="184" t="s">
        <v>180</v>
      </c>
      <c r="I1333" s="184" t="s">
        <v>173</v>
      </c>
      <c r="J1333" s="186">
        <v>0</v>
      </c>
      <c r="K1333" s="186" t="e">
        <v>#DIV/0!</v>
      </c>
      <c r="L1333" s="186" t="e">
        <v>#DIV/0!</v>
      </c>
      <c r="M1333" s="186" t="e">
        <v>#DIV/0!</v>
      </c>
      <c r="N1333" s="186" t="e">
        <v>#DIV/0!</v>
      </c>
      <c r="O1333" s="186" t="e">
        <v>#DIV/0!</v>
      </c>
      <c r="P1333" s="186" t="e">
        <v>#DIV/0!</v>
      </c>
      <c r="Q1333" s="186">
        <v>0</v>
      </c>
      <c r="R1333" s="189">
        <v>0</v>
      </c>
    </row>
    <row r="1334" spans="2:18">
      <c r="B1334" s="184" t="s">
        <v>60</v>
      </c>
      <c r="C1334" s="119">
        <f t="shared" si="10"/>
        <v>2024</v>
      </c>
      <c r="D1334" s="132">
        <f t="shared" si="11"/>
        <v>4</v>
      </c>
      <c r="E1334" s="132" t="s">
        <v>7</v>
      </c>
      <c r="F1334" s="132" t="s">
        <v>272</v>
      </c>
      <c r="G1334" s="133" t="str">
        <f t="shared" si="12"/>
        <v>CNSGH-CNNBO-CNSTG-CNSHK-IDJKT-IDSUB-PHMNL South-PHMNL North-CNSGH</v>
      </c>
      <c r="H1334" s="184" t="s">
        <v>274</v>
      </c>
      <c r="I1334" s="184" t="s">
        <v>173</v>
      </c>
      <c r="J1334" s="186" t="s">
        <v>107</v>
      </c>
      <c r="K1334" s="186" t="s">
        <v>107</v>
      </c>
      <c r="L1334" s="186" t="s">
        <v>107</v>
      </c>
      <c r="M1334" s="186" t="s">
        <v>107</v>
      </c>
      <c r="N1334" s="186" t="s">
        <v>107</v>
      </c>
      <c r="O1334" s="186" t="s">
        <v>107</v>
      </c>
      <c r="P1334" s="188">
        <v>0</v>
      </c>
      <c r="Q1334" s="186" t="s">
        <v>107</v>
      </c>
      <c r="R1334" s="186" t="s">
        <v>107</v>
      </c>
    </row>
    <row r="1335" spans="2:18">
      <c r="B1335" s="184" t="s">
        <v>60</v>
      </c>
      <c r="C1335" s="119">
        <f t="shared" si="10"/>
        <v>2024</v>
      </c>
      <c r="D1335" s="132">
        <f t="shared" si="11"/>
        <v>4</v>
      </c>
      <c r="E1335" s="132" t="s">
        <v>111</v>
      </c>
      <c r="F1335" s="132" t="s">
        <v>275</v>
      </c>
      <c r="G1335" s="133" t="str">
        <f t="shared" si="12"/>
        <v>IDSUB - IDJKT - IDMAK - IDPAL</v>
      </c>
      <c r="H1335" s="184" t="s">
        <v>277</v>
      </c>
      <c r="I1335" s="184" t="s">
        <v>184</v>
      </c>
      <c r="J1335" s="186">
        <v>2</v>
      </c>
      <c r="K1335" s="186">
        <v>14</v>
      </c>
      <c r="L1335" s="186">
        <v>22</v>
      </c>
      <c r="M1335" s="186" t="s">
        <v>294</v>
      </c>
      <c r="N1335" s="186">
        <v>274</v>
      </c>
      <c r="O1335" s="186">
        <v>286</v>
      </c>
      <c r="P1335" s="188">
        <v>1</v>
      </c>
      <c r="Q1335" s="186">
        <v>548</v>
      </c>
      <c r="R1335" s="186">
        <v>572</v>
      </c>
    </row>
    <row r="1336" spans="2:18">
      <c r="B1336" s="184" t="s">
        <v>60</v>
      </c>
      <c r="C1336" s="119">
        <f t="shared" si="10"/>
        <v>2024</v>
      </c>
      <c r="D1336" s="132">
        <f t="shared" si="11"/>
        <v>4</v>
      </c>
      <c r="E1336" s="132" t="s">
        <v>113</v>
      </c>
      <c r="F1336" s="132" t="s">
        <v>279</v>
      </c>
      <c r="G1336" s="133" t="str">
        <f t="shared" si="12"/>
        <v>Various POO</v>
      </c>
      <c r="H1336" s="184" t="s">
        <v>280</v>
      </c>
      <c r="I1336" s="184" t="s">
        <v>184</v>
      </c>
      <c r="J1336" s="186">
        <v>8</v>
      </c>
      <c r="K1336" s="186">
        <v>22</v>
      </c>
      <c r="L1336" s="186">
        <v>30</v>
      </c>
      <c r="M1336" s="186" t="s">
        <v>295</v>
      </c>
      <c r="N1336" s="186">
        <v>291</v>
      </c>
      <c r="O1336" s="186">
        <v>321</v>
      </c>
      <c r="P1336" s="188">
        <v>0.98</v>
      </c>
      <c r="Q1336" s="186">
        <v>2.3260000000000001</v>
      </c>
      <c r="R1336" s="186">
        <v>2.5670000000000002</v>
      </c>
    </row>
    <row r="1337" spans="2:18">
      <c r="B1337" s="184" t="s">
        <v>60</v>
      </c>
      <c r="C1337" s="119">
        <f t="shared" si="10"/>
        <v>2024</v>
      </c>
      <c r="D1337" s="132">
        <f t="shared" si="11"/>
        <v>4</v>
      </c>
      <c r="E1337" s="132" t="s">
        <v>153</v>
      </c>
      <c r="F1337" s="132" t="s">
        <v>281</v>
      </c>
      <c r="G1337" s="133" t="str">
        <f t="shared" si="12"/>
        <v>IDSUB - IDMAK</v>
      </c>
      <c r="H1337" s="184" t="s">
        <v>283</v>
      </c>
      <c r="I1337" s="184" t="s">
        <v>173</v>
      </c>
      <c r="J1337" s="186" t="s">
        <v>107</v>
      </c>
      <c r="K1337" s="186" t="s">
        <v>107</v>
      </c>
      <c r="L1337" s="186" t="s">
        <v>107</v>
      </c>
      <c r="M1337" s="186" t="s">
        <v>107</v>
      </c>
      <c r="N1337" s="186" t="s">
        <v>107</v>
      </c>
      <c r="O1337" s="186" t="s">
        <v>107</v>
      </c>
      <c r="P1337" s="188">
        <v>0</v>
      </c>
      <c r="Q1337" s="186" t="s">
        <v>107</v>
      </c>
      <c r="R1337" s="186" t="s">
        <v>107</v>
      </c>
    </row>
    <row r="1338" spans="2:18">
      <c r="B1338" s="184" t="s">
        <v>60</v>
      </c>
      <c r="C1338" s="119">
        <f t="shared" si="10"/>
        <v>2024</v>
      </c>
      <c r="D1338" s="132">
        <f t="shared" si="11"/>
        <v>4</v>
      </c>
      <c r="E1338" s="132" t="s">
        <v>117</v>
      </c>
      <c r="F1338" s="132" t="s">
        <v>117</v>
      </c>
      <c r="G1338" s="133">
        <f t="shared" si="12"/>
        <v>0</v>
      </c>
      <c r="H1338" s="184"/>
      <c r="I1338" s="184" t="s">
        <v>184</v>
      </c>
      <c r="J1338" s="186">
        <v>1</v>
      </c>
      <c r="K1338" s="186">
        <v>16</v>
      </c>
      <c r="L1338" s="186">
        <v>23</v>
      </c>
      <c r="M1338" s="186" t="s">
        <v>296</v>
      </c>
      <c r="N1338" s="186">
        <v>164</v>
      </c>
      <c r="O1338" s="186">
        <v>198</v>
      </c>
      <c r="P1338" s="188">
        <v>1</v>
      </c>
      <c r="Q1338" s="186">
        <v>164</v>
      </c>
      <c r="R1338" s="186">
        <v>198</v>
      </c>
    </row>
    <row r="1339" spans="2:18">
      <c r="B1339" s="184" t="s">
        <v>60</v>
      </c>
      <c r="C1339" s="119">
        <f t="shared" si="10"/>
        <v>2024</v>
      </c>
      <c r="D1339" s="132">
        <f t="shared" si="11"/>
        <v>4</v>
      </c>
      <c r="E1339" s="132" t="s">
        <v>152</v>
      </c>
      <c r="F1339" s="132" t="s">
        <v>284</v>
      </c>
      <c r="G1339" s="133" t="str">
        <f t="shared" si="12"/>
        <v>IDSUB - IDBNA</v>
      </c>
      <c r="H1339" s="184" t="s">
        <v>286</v>
      </c>
      <c r="I1339" s="184" t="s">
        <v>184</v>
      </c>
      <c r="J1339" s="186">
        <v>1</v>
      </c>
      <c r="K1339" s="186">
        <v>16</v>
      </c>
      <c r="L1339" s="186">
        <v>23</v>
      </c>
      <c r="M1339" s="186">
        <v>1</v>
      </c>
      <c r="N1339" s="186">
        <v>315</v>
      </c>
      <c r="O1339" s="186">
        <v>360</v>
      </c>
      <c r="P1339" s="188">
        <v>1</v>
      </c>
      <c r="Q1339" s="189">
        <v>315</v>
      </c>
      <c r="R1339" s="189">
        <v>360</v>
      </c>
    </row>
    <row r="1340" spans="2:18">
      <c r="B1340" s="184" t="s">
        <v>60</v>
      </c>
      <c r="C1340" s="119">
        <f t="shared" si="10"/>
        <v>2024</v>
      </c>
      <c r="D1340" s="132">
        <f t="shared" si="11"/>
        <v>4</v>
      </c>
      <c r="E1340" s="132" t="s">
        <v>118</v>
      </c>
      <c r="F1340" s="132" t="s">
        <v>287</v>
      </c>
      <c r="G1340" s="133" t="str">
        <f t="shared" si="12"/>
        <v>IDSUB - IDMAK</v>
      </c>
      <c r="H1340" s="184" t="s">
        <v>283</v>
      </c>
      <c r="I1340" s="184"/>
      <c r="J1340" s="186">
        <v>2</v>
      </c>
      <c r="K1340" s="186">
        <v>11</v>
      </c>
      <c r="L1340" s="186">
        <v>24</v>
      </c>
      <c r="M1340" s="186">
        <v>1</v>
      </c>
      <c r="N1340" s="186">
        <v>71</v>
      </c>
      <c r="O1340" s="186">
        <v>77</v>
      </c>
      <c r="P1340" s="188">
        <v>0</v>
      </c>
      <c r="Q1340" s="189">
        <v>141</v>
      </c>
      <c r="R1340" s="189">
        <v>154</v>
      </c>
    </row>
    <row r="1341" spans="2:18">
      <c r="B1341" s="196" t="s">
        <v>297</v>
      </c>
      <c r="C1341" s="119">
        <f t="shared" si="10"/>
        <v>2024</v>
      </c>
      <c r="D1341" s="132">
        <f t="shared" si="11"/>
        <v>5</v>
      </c>
      <c r="E1341" s="132" t="s">
        <v>24</v>
      </c>
      <c r="F1341" s="132" t="s">
        <v>259</v>
      </c>
      <c r="G1341" s="133" t="str">
        <f t="shared" si="12"/>
        <v>MYKLA-SGSIN-IDJKT-IDSUB-PGLAE-PGKIM-PGMTK- AUTSV-MYKLA</v>
      </c>
      <c r="H1341" s="184" t="s">
        <v>261</v>
      </c>
      <c r="I1341" s="184" t="s">
        <v>184</v>
      </c>
      <c r="J1341" s="186">
        <v>3</v>
      </c>
      <c r="K1341" s="186">
        <v>9</v>
      </c>
      <c r="L1341" s="186">
        <v>22</v>
      </c>
      <c r="M1341" s="186">
        <v>0.9</v>
      </c>
      <c r="N1341" s="186">
        <v>53</v>
      </c>
      <c r="O1341" s="186">
        <v>85</v>
      </c>
      <c r="P1341" s="188">
        <v>0</v>
      </c>
      <c r="Q1341" s="186">
        <v>160</v>
      </c>
      <c r="R1341" s="186">
        <v>255</v>
      </c>
    </row>
    <row r="1342" spans="2:18">
      <c r="B1342" s="196" t="s">
        <v>297</v>
      </c>
      <c r="C1342" s="119">
        <f t="shared" si="10"/>
        <v>2024</v>
      </c>
      <c r="D1342" s="132">
        <f t="shared" si="11"/>
        <v>5</v>
      </c>
      <c r="E1342" s="132" t="s">
        <v>24</v>
      </c>
      <c r="F1342" s="132" t="s">
        <v>262</v>
      </c>
      <c r="G1342" s="133" t="str">
        <f t="shared" si="12"/>
        <v>MYKLA-SGSIN-IDJKT-IDSUB-PGLAE-PGKIM-PGMTK- AUTSV-MYKLA</v>
      </c>
      <c r="H1342" s="184" t="s">
        <v>264</v>
      </c>
      <c r="I1342" s="184" t="s">
        <v>184</v>
      </c>
      <c r="J1342" s="186">
        <v>3</v>
      </c>
      <c r="K1342" s="186">
        <v>18</v>
      </c>
      <c r="L1342" s="186">
        <v>20</v>
      </c>
      <c r="M1342" s="186">
        <v>1.2</v>
      </c>
      <c r="N1342" s="186">
        <v>123</v>
      </c>
      <c r="O1342" s="186">
        <v>67</v>
      </c>
      <c r="P1342" s="188">
        <v>0.67</v>
      </c>
      <c r="Q1342" s="186">
        <v>129</v>
      </c>
      <c r="R1342" s="186">
        <v>200</v>
      </c>
    </row>
    <row r="1343" spans="2:18">
      <c r="B1343" s="184" t="s">
        <v>297</v>
      </c>
      <c r="C1343" s="119">
        <f t="shared" si="10"/>
        <v>2024</v>
      </c>
      <c r="D1343" s="132">
        <f t="shared" si="11"/>
        <v>5</v>
      </c>
      <c r="E1343" s="132" t="s">
        <v>28</v>
      </c>
      <c r="F1343" s="132" t="s">
        <v>265</v>
      </c>
      <c r="G1343" s="133" t="str">
        <f t="shared" si="12"/>
        <v>SGSIN-IDSUB-TLDIL</v>
      </c>
      <c r="H1343" s="184" t="s">
        <v>267</v>
      </c>
      <c r="I1343" s="184" t="s">
        <v>184</v>
      </c>
      <c r="J1343" s="186">
        <v>2</v>
      </c>
      <c r="K1343" s="186">
        <v>18</v>
      </c>
      <c r="L1343" s="186">
        <v>20</v>
      </c>
      <c r="M1343" s="186">
        <v>1.2</v>
      </c>
      <c r="N1343" s="186">
        <v>123</v>
      </c>
      <c r="O1343" s="186">
        <v>159</v>
      </c>
      <c r="P1343" s="188">
        <v>1</v>
      </c>
      <c r="Q1343" s="186">
        <v>246</v>
      </c>
      <c r="R1343" s="186">
        <v>317</v>
      </c>
    </row>
    <row r="1344" spans="2:18">
      <c r="B1344" s="184" t="s">
        <v>297</v>
      </c>
      <c r="C1344" s="119">
        <f t="shared" si="10"/>
        <v>2024</v>
      </c>
      <c r="D1344" s="132">
        <f t="shared" si="11"/>
        <v>5</v>
      </c>
      <c r="E1344" s="132" t="s">
        <v>7</v>
      </c>
      <c r="F1344" s="132" t="s">
        <v>239</v>
      </c>
      <c r="G1344" s="133" t="str">
        <f t="shared" si="12"/>
        <v>CNSGH-CNNBO-CNSTG-CNSHK-IDJKT-IDSUB-PHMNL South-PHMNL North-CNSGH</v>
      </c>
      <c r="H1344" s="184" t="s">
        <v>241</v>
      </c>
      <c r="I1344" s="184" t="s">
        <v>184</v>
      </c>
      <c r="J1344" s="186">
        <v>2</v>
      </c>
      <c r="K1344" s="186">
        <v>58</v>
      </c>
      <c r="L1344" s="186">
        <v>28</v>
      </c>
      <c r="M1344" s="186">
        <v>2.6</v>
      </c>
      <c r="N1344" s="186">
        <v>1229</v>
      </c>
      <c r="O1344" s="186">
        <v>1930</v>
      </c>
      <c r="P1344" s="188">
        <v>0</v>
      </c>
      <c r="Q1344" s="189">
        <v>2458</v>
      </c>
      <c r="R1344" s="189">
        <v>3860</v>
      </c>
    </row>
    <row r="1345" spans="2:18">
      <c r="B1345" s="184" t="s">
        <v>297</v>
      </c>
      <c r="C1345" s="119">
        <f t="shared" si="10"/>
        <v>2024</v>
      </c>
      <c r="D1345" s="132">
        <f t="shared" si="11"/>
        <v>5</v>
      </c>
      <c r="E1345" s="132" t="s">
        <v>7</v>
      </c>
      <c r="F1345" s="132" t="s">
        <v>220</v>
      </c>
      <c r="G1345" s="133" t="str">
        <f t="shared" si="12"/>
        <v>CNSGH-CNNBO-CNSTG-CNSHK-IDJKT-IDSUB-PHMNL South-PHMNL North-CNSGH</v>
      </c>
      <c r="H1345" s="184" t="s">
        <v>222</v>
      </c>
      <c r="I1345" s="184" t="s">
        <v>184</v>
      </c>
      <c r="J1345" s="186">
        <v>1</v>
      </c>
      <c r="K1345" s="186">
        <v>40</v>
      </c>
      <c r="L1345" s="186">
        <v>19</v>
      </c>
      <c r="M1345" s="186">
        <v>2.5</v>
      </c>
      <c r="N1345" s="186">
        <v>802</v>
      </c>
      <c r="O1345" s="186">
        <v>1161</v>
      </c>
      <c r="P1345" s="188">
        <v>1</v>
      </c>
      <c r="Q1345" s="186">
        <v>802</v>
      </c>
      <c r="R1345" s="189">
        <v>1161</v>
      </c>
    </row>
    <row r="1346" spans="2:18">
      <c r="B1346" s="184" t="s">
        <v>297</v>
      </c>
      <c r="C1346" s="119">
        <f t="shared" si="10"/>
        <v>2024</v>
      </c>
      <c r="D1346" s="132">
        <f t="shared" si="11"/>
        <v>5</v>
      </c>
      <c r="E1346" s="132" t="s">
        <v>7</v>
      </c>
      <c r="F1346" s="132" t="s">
        <v>242</v>
      </c>
      <c r="G1346" s="133" t="str">
        <f t="shared" si="12"/>
        <v>CNSGH-CNNBO-CNSTG-CNSHK-IDJKT-IDSUB-PHMNL South-PHMNL North-CNSGH</v>
      </c>
      <c r="H1346" s="184" t="s">
        <v>244</v>
      </c>
      <c r="I1346" s="184" t="s">
        <v>184</v>
      </c>
      <c r="J1346" s="186">
        <v>4</v>
      </c>
      <c r="K1346" s="186">
        <v>67</v>
      </c>
      <c r="L1346" s="186">
        <v>29</v>
      </c>
      <c r="M1346" s="186">
        <v>2.7</v>
      </c>
      <c r="N1346" s="186">
        <v>1643</v>
      </c>
      <c r="O1346" s="186">
        <v>2806</v>
      </c>
      <c r="P1346" s="188">
        <v>0</v>
      </c>
      <c r="Q1346" s="189">
        <v>6572</v>
      </c>
      <c r="R1346" s="189">
        <v>11224</v>
      </c>
    </row>
    <row r="1347" spans="2:18">
      <c r="B1347" s="184" t="s">
        <v>297</v>
      </c>
      <c r="C1347" s="119">
        <f t="shared" si="10"/>
        <v>2024</v>
      </c>
      <c r="D1347" s="132">
        <f t="shared" si="11"/>
        <v>5</v>
      </c>
      <c r="E1347" s="132" t="s">
        <v>7</v>
      </c>
      <c r="F1347" s="132" t="s">
        <v>255</v>
      </c>
      <c r="G1347" s="133" t="str">
        <f t="shared" si="12"/>
        <v>CNSGH-CNNBO-CNSTG-CNSHK-IDJKT-IDSUB-PHMNL South-PHMNL North-CNSGH</v>
      </c>
      <c r="H1347" s="184" t="s">
        <v>257</v>
      </c>
      <c r="I1347" s="184" t="s">
        <v>173</v>
      </c>
      <c r="J1347" s="186">
        <v>3</v>
      </c>
      <c r="K1347" s="186">
        <v>73</v>
      </c>
      <c r="L1347" s="186">
        <v>30</v>
      </c>
      <c r="M1347" s="186">
        <v>2.9</v>
      </c>
      <c r="N1347" s="186">
        <v>2179</v>
      </c>
      <c r="O1347" s="186">
        <v>3203</v>
      </c>
      <c r="P1347" s="188">
        <v>0</v>
      </c>
      <c r="Q1347" s="189">
        <v>6536</v>
      </c>
      <c r="R1347" s="189">
        <v>9610</v>
      </c>
    </row>
    <row r="1348" spans="2:18">
      <c r="B1348" s="184" t="s">
        <v>297</v>
      </c>
      <c r="C1348" s="119">
        <f t="shared" si="10"/>
        <v>2024</v>
      </c>
      <c r="D1348" s="132">
        <f t="shared" si="11"/>
        <v>5</v>
      </c>
      <c r="E1348" s="132" t="s">
        <v>79</v>
      </c>
      <c r="F1348" s="132" t="s">
        <v>255</v>
      </c>
      <c r="G1348" s="133" t="str">
        <f t="shared" si="12"/>
        <v>IDJKT-IDSUB-SGSIN-MYPGU-SGSIN-MYKLA</v>
      </c>
      <c r="H1348" s="184" t="s">
        <v>257</v>
      </c>
      <c r="I1348" s="184" t="s">
        <v>173</v>
      </c>
      <c r="J1348" s="186">
        <v>2</v>
      </c>
      <c r="K1348" s="186">
        <v>91</v>
      </c>
      <c r="L1348" s="186">
        <v>33</v>
      </c>
      <c r="M1348" s="186">
        <v>3.2</v>
      </c>
      <c r="N1348" s="186">
        <v>2599</v>
      </c>
      <c r="O1348" s="186">
        <v>4014</v>
      </c>
      <c r="P1348" s="188">
        <v>1</v>
      </c>
      <c r="Q1348" s="186">
        <v>5198</v>
      </c>
      <c r="R1348" s="186">
        <v>8028</v>
      </c>
    </row>
    <row r="1349" spans="2:18">
      <c r="B1349" s="184" t="s">
        <v>297</v>
      </c>
      <c r="C1349" s="119">
        <f t="shared" si="10"/>
        <v>2024</v>
      </c>
      <c r="D1349" s="132">
        <f t="shared" si="11"/>
        <v>5</v>
      </c>
      <c r="E1349" s="132" t="s">
        <v>79</v>
      </c>
      <c r="F1349" s="132" t="s">
        <v>239</v>
      </c>
      <c r="G1349" s="133" t="str">
        <f t="shared" si="12"/>
        <v>IDJKT-IDSUB-SGSIN-MYPGU-SGSIN-MYKLA</v>
      </c>
      <c r="H1349" s="184"/>
      <c r="I1349" s="184"/>
      <c r="J1349" s="186">
        <v>1</v>
      </c>
      <c r="K1349" s="186">
        <v>90</v>
      </c>
      <c r="L1349" s="186">
        <v>37</v>
      </c>
      <c r="M1349" s="186">
        <v>3</v>
      </c>
      <c r="N1349" s="186">
        <v>1383</v>
      </c>
      <c r="O1349" s="186">
        <v>2153</v>
      </c>
      <c r="P1349" s="188">
        <v>0</v>
      </c>
      <c r="Q1349" s="186">
        <v>1383</v>
      </c>
      <c r="R1349" s="186">
        <v>2153</v>
      </c>
    </row>
    <row r="1350" spans="2:18">
      <c r="B1350" s="184" t="s">
        <v>297</v>
      </c>
      <c r="C1350" s="119">
        <f t="shared" si="10"/>
        <v>2024</v>
      </c>
      <c r="D1350" s="132">
        <f t="shared" si="11"/>
        <v>5</v>
      </c>
      <c r="E1350" s="132" t="s">
        <v>8</v>
      </c>
      <c r="F1350" s="132" t="s">
        <v>181</v>
      </c>
      <c r="G1350" s="133" t="str">
        <f t="shared" si="12"/>
        <v>CNNBO-CNSGH-HKHKG (Zhujiang)-CNSHK-IDSUB-IDSRG-IDJKT-SGSIN-THLCH-HKHKG-CNNBO</v>
      </c>
      <c r="H1350" s="184" t="s">
        <v>183</v>
      </c>
      <c r="I1350" s="184" t="s">
        <v>184</v>
      </c>
      <c r="J1350" s="186">
        <v>4</v>
      </c>
      <c r="K1350" s="186">
        <v>39</v>
      </c>
      <c r="L1350" s="186">
        <v>26</v>
      </c>
      <c r="M1350" s="186">
        <v>1.9</v>
      </c>
      <c r="N1350" s="186">
        <v>458</v>
      </c>
      <c r="O1350" s="186">
        <v>730</v>
      </c>
      <c r="P1350" s="188">
        <v>0</v>
      </c>
      <c r="Q1350" s="189">
        <v>1833</v>
      </c>
      <c r="R1350" s="189">
        <v>2920</v>
      </c>
    </row>
    <row r="1351" spans="2:18">
      <c r="B1351" s="184" t="s">
        <v>297</v>
      </c>
      <c r="C1351" s="119">
        <f t="shared" si="10"/>
        <v>2024</v>
      </c>
      <c r="D1351" s="132">
        <f t="shared" si="11"/>
        <v>5</v>
      </c>
      <c r="E1351" s="132" t="s">
        <v>8</v>
      </c>
      <c r="F1351" s="132" t="s">
        <v>185</v>
      </c>
      <c r="G1351" s="133" t="str">
        <f t="shared" si="12"/>
        <v>CNNBO-CNSGH-HKHKG (Zhujiang)-CNSHK-IDSUB-IDSRG-IDJKT-SGSIN-THLCH-HKHKG-CNNBO</v>
      </c>
      <c r="H1351" s="184" t="s">
        <v>187</v>
      </c>
      <c r="I1351" s="184" t="s">
        <v>184</v>
      </c>
      <c r="J1351" s="186">
        <v>5</v>
      </c>
      <c r="K1351" s="186">
        <v>57</v>
      </c>
      <c r="L1351" s="186">
        <v>26</v>
      </c>
      <c r="M1351" s="186">
        <v>2.5</v>
      </c>
      <c r="N1351" s="186">
        <v>940</v>
      </c>
      <c r="O1351" s="186">
        <v>1406</v>
      </c>
      <c r="P1351" s="188">
        <v>0.2</v>
      </c>
      <c r="Q1351" s="189">
        <v>4700</v>
      </c>
      <c r="R1351" s="189">
        <v>7029</v>
      </c>
    </row>
    <row r="1352" spans="2:18">
      <c r="B1352" s="184" t="s">
        <v>297</v>
      </c>
      <c r="C1352" s="119">
        <f t="shared" si="10"/>
        <v>2024</v>
      </c>
      <c r="D1352" s="132">
        <f t="shared" si="11"/>
        <v>5</v>
      </c>
      <c r="E1352" s="132" t="s">
        <v>8</v>
      </c>
      <c r="F1352" s="132" t="s">
        <v>188</v>
      </c>
      <c r="G1352" s="133" t="str">
        <f t="shared" si="12"/>
        <v>CNNBO-CNSGH-HKHKG (Zhujiang)-CNSHK-IDSUB-IDSRG-IDJKT-SGSIN-THLCH-HKHKG-CNNBO</v>
      </c>
      <c r="H1352" s="184" t="s">
        <v>190</v>
      </c>
      <c r="I1352" s="184" t="s">
        <v>184</v>
      </c>
      <c r="J1352" s="186">
        <v>5</v>
      </c>
      <c r="K1352" s="186">
        <v>38</v>
      </c>
      <c r="L1352" s="186">
        <v>22</v>
      </c>
      <c r="M1352" s="186">
        <v>2.1</v>
      </c>
      <c r="N1352" s="186">
        <v>557</v>
      </c>
      <c r="O1352" s="186">
        <v>844</v>
      </c>
      <c r="P1352" s="188">
        <v>0.8</v>
      </c>
      <c r="Q1352" s="189">
        <v>2786</v>
      </c>
      <c r="R1352" s="189">
        <v>4219</v>
      </c>
    </row>
    <row r="1353" spans="2:18">
      <c r="B1353" s="184" t="s">
        <v>297</v>
      </c>
      <c r="C1353" s="119">
        <f t="shared" si="10"/>
        <v>2024</v>
      </c>
      <c r="D1353" s="132">
        <f t="shared" si="11"/>
        <v>5</v>
      </c>
      <c r="E1353" s="132" t="s">
        <v>8</v>
      </c>
      <c r="F1353" s="132" t="s">
        <v>245</v>
      </c>
      <c r="G1353" s="133" t="str">
        <f t="shared" si="12"/>
        <v>CNNBO-CNSGH-HKHKG (Zhujiang)-CNSHK-IDSUB-IDSRG-IDJKT-SGSIN-THLCH-HKHKG-CNNBO</v>
      </c>
      <c r="H1353" s="184" t="s">
        <v>247</v>
      </c>
      <c r="I1353" s="184" t="s">
        <v>184</v>
      </c>
      <c r="J1353" s="186">
        <v>0</v>
      </c>
      <c r="K1353" s="186">
        <v>44</v>
      </c>
      <c r="L1353" s="186">
        <v>24</v>
      </c>
      <c r="M1353" s="186">
        <v>2</v>
      </c>
      <c r="N1353" s="186">
        <v>1869</v>
      </c>
      <c r="O1353" s="186">
        <v>2524</v>
      </c>
      <c r="P1353" s="188">
        <v>0</v>
      </c>
      <c r="Q1353" s="189">
        <v>1869</v>
      </c>
      <c r="R1353" s="189">
        <v>2524</v>
      </c>
    </row>
    <row r="1354" spans="2:18">
      <c r="B1354" s="184" t="s">
        <v>297</v>
      </c>
      <c r="C1354" s="119">
        <f t="shared" si="10"/>
        <v>2024</v>
      </c>
      <c r="D1354" s="132">
        <f t="shared" si="11"/>
        <v>5</v>
      </c>
      <c r="E1354" s="132" t="s">
        <v>8</v>
      </c>
      <c r="F1354" s="132" t="s">
        <v>293</v>
      </c>
      <c r="G1354" s="133" t="str">
        <f t="shared" si="12"/>
        <v>CNNBO-CNSGH-HKHKG (Zhujiang)-CNSHK-IDSUB-IDSRG-IDJKT-SGSIN-THLCH-HKHKG-CNNBO</v>
      </c>
      <c r="H1354" s="184" t="s">
        <v>298</v>
      </c>
      <c r="I1354" s="184"/>
      <c r="J1354" s="186">
        <v>2</v>
      </c>
      <c r="K1354" s="186">
        <v>48</v>
      </c>
      <c r="L1354" s="186">
        <v>35</v>
      </c>
      <c r="M1354" s="186">
        <v>2</v>
      </c>
      <c r="N1354" s="186">
        <v>633</v>
      </c>
      <c r="O1354" s="186">
        <v>886</v>
      </c>
      <c r="P1354" s="188">
        <v>0.5</v>
      </c>
      <c r="Q1354" s="189">
        <v>1265</v>
      </c>
      <c r="R1354" s="189">
        <v>1771</v>
      </c>
    </row>
    <row r="1355" spans="2:18">
      <c r="B1355" s="184" t="s">
        <v>297</v>
      </c>
      <c r="C1355" s="119">
        <f t="shared" si="10"/>
        <v>2024</v>
      </c>
      <c r="D1355" s="132">
        <f t="shared" si="11"/>
        <v>5</v>
      </c>
      <c r="E1355" s="132" t="s">
        <v>20</v>
      </c>
      <c r="F1355" s="132" t="s">
        <v>178</v>
      </c>
      <c r="G1355" s="133" t="str">
        <f t="shared" si="12"/>
        <v>MYKLA-SGSIN-IDSRG-IDSUB-MYKLA- SGSIN-THBKK THSCS-THLCH</v>
      </c>
      <c r="H1355" s="184" t="s">
        <v>180</v>
      </c>
      <c r="I1355" s="184" t="s">
        <v>173</v>
      </c>
      <c r="J1355" s="186">
        <v>2</v>
      </c>
      <c r="K1355" s="186">
        <v>41</v>
      </c>
      <c r="L1355" s="186">
        <v>23</v>
      </c>
      <c r="M1355" s="186">
        <v>2.2000000000000002</v>
      </c>
      <c r="N1355" s="186">
        <v>921</v>
      </c>
      <c r="O1355" s="186">
        <v>1319</v>
      </c>
      <c r="P1355" s="188">
        <v>0</v>
      </c>
      <c r="Q1355" s="189">
        <v>1841</v>
      </c>
      <c r="R1355" s="189">
        <v>2637</v>
      </c>
    </row>
    <row r="1356" spans="2:18">
      <c r="B1356" s="184" t="s">
        <v>297</v>
      </c>
      <c r="C1356" s="119">
        <f t="shared" si="10"/>
        <v>2024</v>
      </c>
      <c r="D1356" s="132">
        <f t="shared" si="11"/>
        <v>5</v>
      </c>
      <c r="E1356" s="132" t="s">
        <v>102</v>
      </c>
      <c r="F1356" s="132" t="s">
        <v>288</v>
      </c>
      <c r="G1356" s="133" t="str">
        <f t="shared" si="12"/>
        <v>Various route</v>
      </c>
      <c r="H1356" s="184" t="s">
        <v>199</v>
      </c>
      <c r="I1356" s="184" t="s">
        <v>200</v>
      </c>
      <c r="J1356" s="186">
        <v>0</v>
      </c>
      <c r="K1356" s="186">
        <v>0</v>
      </c>
      <c r="L1356" s="186">
        <v>0</v>
      </c>
      <c r="M1356" s="186">
        <v>0</v>
      </c>
      <c r="N1356" s="186">
        <v>0</v>
      </c>
      <c r="O1356" s="186">
        <v>0</v>
      </c>
      <c r="P1356" s="186">
        <v>0</v>
      </c>
      <c r="Q1356" s="186">
        <v>0</v>
      </c>
      <c r="R1356" s="189">
        <v>0</v>
      </c>
    </row>
    <row r="1357" spans="2:18">
      <c r="B1357" s="184" t="s">
        <v>297</v>
      </c>
      <c r="C1357" s="119">
        <f t="shared" si="10"/>
        <v>2024</v>
      </c>
      <c r="D1357" s="132">
        <f t="shared" si="11"/>
        <v>5</v>
      </c>
      <c r="E1357" s="132" t="s">
        <v>88</v>
      </c>
      <c r="F1357" s="132" t="s">
        <v>195</v>
      </c>
      <c r="G1357" s="133" t="str">
        <f t="shared" si="12"/>
        <v>KRPUS-KRKWA-CNSGH-CNNBO-HKHKG-IDJKT-IDSUB-VNSGN VNCLI-CNNBO-CNSGH-KRPUS</v>
      </c>
      <c r="H1357" s="184" t="s">
        <v>197</v>
      </c>
      <c r="I1357" s="184" t="s">
        <v>184</v>
      </c>
      <c r="J1357" s="186">
        <v>4</v>
      </c>
      <c r="K1357" s="186">
        <v>33</v>
      </c>
      <c r="L1357" s="186">
        <v>22</v>
      </c>
      <c r="M1357" s="186">
        <v>1.8</v>
      </c>
      <c r="N1357" s="186">
        <v>512</v>
      </c>
      <c r="O1357" s="186">
        <v>732</v>
      </c>
      <c r="P1357" s="188">
        <v>0.5</v>
      </c>
      <c r="Q1357" s="189">
        <v>2048</v>
      </c>
      <c r="R1357" s="189">
        <v>2927</v>
      </c>
    </row>
    <row r="1358" spans="2:18">
      <c r="B1358" s="184" t="s">
        <v>297</v>
      </c>
      <c r="C1358" s="119">
        <f t="shared" si="10"/>
        <v>2024</v>
      </c>
      <c r="D1358" s="132">
        <f t="shared" si="11"/>
        <v>5</v>
      </c>
      <c r="E1358" s="132" t="s">
        <v>93</v>
      </c>
      <c r="F1358" s="132" t="s">
        <v>265</v>
      </c>
      <c r="G1358" s="133" t="str">
        <f t="shared" si="12"/>
        <v>SGSIN-IDSUB-TLDIL</v>
      </c>
      <c r="H1358" s="184" t="s">
        <v>267</v>
      </c>
      <c r="I1358" s="184" t="s">
        <v>184</v>
      </c>
      <c r="J1358" s="186">
        <v>1</v>
      </c>
      <c r="K1358" s="186">
        <v>14</v>
      </c>
      <c r="L1358" s="186">
        <v>24</v>
      </c>
      <c r="M1358" s="186">
        <v>1</v>
      </c>
      <c r="N1358" s="186">
        <v>57</v>
      </c>
      <c r="O1358" s="186">
        <v>97</v>
      </c>
      <c r="P1358" s="188">
        <v>1</v>
      </c>
      <c r="Q1358" s="189">
        <v>57</v>
      </c>
      <c r="R1358" s="189">
        <v>97</v>
      </c>
    </row>
    <row r="1359" spans="2:18">
      <c r="B1359" s="184" t="s">
        <v>297</v>
      </c>
      <c r="C1359" s="119">
        <f t="shared" si="10"/>
        <v>2024</v>
      </c>
      <c r="D1359" s="132">
        <f t="shared" si="11"/>
        <v>5</v>
      </c>
      <c r="E1359" s="132" t="s">
        <v>10</v>
      </c>
      <c r="F1359" s="132" t="s">
        <v>214</v>
      </c>
      <c r="G1359" s="133" t="str">
        <f t="shared" si="12"/>
        <v>SGSIN-MYTPP-IDJKT-IDSUB-SGSIN</v>
      </c>
      <c r="H1359" s="184" t="s">
        <v>216</v>
      </c>
      <c r="I1359" s="184" t="s">
        <v>184</v>
      </c>
      <c r="J1359" s="186">
        <v>10</v>
      </c>
      <c r="K1359" s="186">
        <v>51</v>
      </c>
      <c r="L1359" s="186">
        <v>25</v>
      </c>
      <c r="M1359" s="186">
        <v>2.5</v>
      </c>
      <c r="N1359" s="186">
        <v>738</v>
      </c>
      <c r="O1359" s="186">
        <v>1151</v>
      </c>
      <c r="P1359" s="188">
        <v>0.5</v>
      </c>
      <c r="Q1359" s="189">
        <v>7378</v>
      </c>
      <c r="R1359" s="189">
        <v>11512</v>
      </c>
    </row>
    <row r="1360" spans="2:18">
      <c r="B1360" s="184" t="s">
        <v>297</v>
      </c>
      <c r="C1360" s="119">
        <f t="shared" si="10"/>
        <v>2024</v>
      </c>
      <c r="D1360" s="132">
        <f t="shared" si="11"/>
        <v>5</v>
      </c>
      <c r="E1360" s="132" t="s">
        <v>10</v>
      </c>
      <c r="F1360" s="132" t="s">
        <v>268</v>
      </c>
      <c r="G1360" s="133" t="str">
        <f t="shared" si="12"/>
        <v>SGSIN-MYTPP-IDJKT-IDSUB-SGSIN</v>
      </c>
      <c r="H1360" s="184" t="s">
        <v>270</v>
      </c>
      <c r="I1360" s="184" t="s">
        <v>184</v>
      </c>
      <c r="J1360" s="186">
        <v>3</v>
      </c>
      <c r="K1360" s="186">
        <v>70</v>
      </c>
      <c r="L1360" s="186">
        <v>28</v>
      </c>
      <c r="M1360" s="186">
        <v>2.9</v>
      </c>
      <c r="N1360" s="186">
        <v>1490</v>
      </c>
      <c r="O1360" s="186">
        <v>2016</v>
      </c>
      <c r="P1360" s="188">
        <v>0</v>
      </c>
      <c r="Q1360" s="186">
        <v>4470</v>
      </c>
      <c r="R1360" s="186">
        <v>6047</v>
      </c>
    </row>
    <row r="1361" spans="2:18">
      <c r="B1361" s="184" t="s">
        <v>297</v>
      </c>
      <c r="C1361" s="119">
        <f t="shared" si="10"/>
        <v>2024</v>
      </c>
      <c r="D1361" s="132">
        <f t="shared" si="11"/>
        <v>5</v>
      </c>
      <c r="E1361" s="132" t="s">
        <v>9</v>
      </c>
      <c r="F1361" s="132" t="s">
        <v>217</v>
      </c>
      <c r="G1361" s="133" t="str">
        <f t="shared" si="12"/>
        <v>CNSGH-CNTXG-CNQIN-TWKEL-SGSIN-MYTPP-IDJKT-IDSUB-PHDVO-CNSGH</v>
      </c>
      <c r="H1361" s="184" t="s">
        <v>219</v>
      </c>
      <c r="I1361" s="184" t="s">
        <v>184</v>
      </c>
      <c r="J1361" s="186">
        <v>3</v>
      </c>
      <c r="K1361" s="186">
        <v>73</v>
      </c>
      <c r="L1361" s="186">
        <v>32</v>
      </c>
      <c r="M1361" s="186">
        <v>2.8</v>
      </c>
      <c r="N1361" s="186">
        <v>2305</v>
      </c>
      <c r="O1361" s="186">
        <v>3675</v>
      </c>
      <c r="P1361" s="188">
        <v>0.33</v>
      </c>
      <c r="Q1361" s="189">
        <v>6914</v>
      </c>
      <c r="R1361" s="189">
        <v>11026</v>
      </c>
    </row>
    <row r="1362" spans="2:18">
      <c r="B1362" s="184" t="s">
        <v>297</v>
      </c>
      <c r="C1362" s="119">
        <f t="shared" si="10"/>
        <v>2024</v>
      </c>
      <c r="D1362" s="132">
        <f t="shared" si="11"/>
        <v>5</v>
      </c>
      <c r="E1362" s="132" t="s">
        <v>101</v>
      </c>
      <c r="F1362" s="132" t="s">
        <v>249</v>
      </c>
      <c r="G1362" s="133" t="str">
        <f t="shared" si="12"/>
        <v>IDJKT-IDSUB-CNSHK-CNXAM-KRPUS-CNQIN-CNSGH-CNNBO-IDJKT</v>
      </c>
      <c r="H1362" s="184" t="s">
        <v>251</v>
      </c>
      <c r="I1362" s="184" t="s">
        <v>184</v>
      </c>
      <c r="J1362" s="186">
        <v>1</v>
      </c>
      <c r="K1362" s="186">
        <v>0</v>
      </c>
      <c r="L1362" s="186">
        <v>18</v>
      </c>
      <c r="M1362" s="186">
        <v>2</v>
      </c>
      <c r="N1362" s="186">
        <v>839</v>
      </c>
      <c r="O1362" s="186">
        <v>1184</v>
      </c>
      <c r="P1362" s="188">
        <v>0</v>
      </c>
      <c r="Q1362" s="186">
        <v>839</v>
      </c>
      <c r="R1362" s="186">
        <v>1184</v>
      </c>
    </row>
    <row r="1363" spans="2:18">
      <c r="B1363" s="184" t="s">
        <v>297</v>
      </c>
      <c r="C1363" s="119">
        <f t="shared" si="10"/>
        <v>2024</v>
      </c>
      <c r="D1363" s="132">
        <f t="shared" si="11"/>
        <v>5</v>
      </c>
      <c r="E1363" s="132" t="s">
        <v>11</v>
      </c>
      <c r="F1363" s="132" t="s">
        <v>220</v>
      </c>
      <c r="G1363" s="133" t="str">
        <f t="shared" si="12"/>
        <v>HKHKG–CNNSH–CNSHK–IDSUB–IDSRG– IDJKT–MYKLA (North)–MYKLA (West)– HKHKG</v>
      </c>
      <c r="H1363" s="184" t="s">
        <v>222</v>
      </c>
      <c r="I1363" s="184" t="s">
        <v>184</v>
      </c>
      <c r="J1363" s="186">
        <v>2</v>
      </c>
      <c r="K1363" s="186">
        <v>58</v>
      </c>
      <c r="L1363" s="186">
        <v>31</v>
      </c>
      <c r="M1363" s="186">
        <v>2.4</v>
      </c>
      <c r="N1363" s="186">
        <v>680</v>
      </c>
      <c r="O1363" s="186">
        <v>1029</v>
      </c>
      <c r="P1363" s="188">
        <v>0</v>
      </c>
      <c r="Q1363" s="189">
        <v>1359</v>
      </c>
      <c r="R1363" s="189">
        <v>2058</v>
      </c>
    </row>
    <row r="1364" spans="2:18">
      <c r="B1364" s="184" t="s">
        <v>297</v>
      </c>
      <c r="C1364" s="119">
        <f t="shared" si="10"/>
        <v>2024</v>
      </c>
      <c r="D1364" s="132">
        <f t="shared" si="11"/>
        <v>5</v>
      </c>
      <c r="E1364" s="132" t="s">
        <v>11</v>
      </c>
      <c r="F1364" s="132" t="s">
        <v>249</v>
      </c>
      <c r="G1364" s="133" t="str">
        <f t="shared" si="12"/>
        <v>HKHKG–CNNSH–CNSHK–IDSUB–IDSRG– IDJKT–MYKLA (North)–MYKLA (West)– HKHKG</v>
      </c>
      <c r="H1364" s="184" t="s">
        <v>251</v>
      </c>
      <c r="I1364" s="184" t="s">
        <v>184</v>
      </c>
      <c r="J1364" s="186">
        <v>1</v>
      </c>
      <c r="K1364" s="186">
        <v>0</v>
      </c>
      <c r="L1364" s="186">
        <v>0</v>
      </c>
      <c r="M1364" s="186">
        <v>0</v>
      </c>
      <c r="N1364" s="186">
        <v>1202</v>
      </c>
      <c r="O1364" s="186">
        <v>1835</v>
      </c>
      <c r="P1364" s="186">
        <v>0</v>
      </c>
      <c r="Q1364" s="186">
        <v>0</v>
      </c>
      <c r="R1364" s="186">
        <v>0</v>
      </c>
    </row>
    <row r="1365" spans="2:18">
      <c r="B1365" s="184" t="s">
        <v>297</v>
      </c>
      <c r="C1365" s="119">
        <f t="shared" si="10"/>
        <v>2024</v>
      </c>
      <c r="D1365" s="132">
        <f t="shared" si="11"/>
        <v>5</v>
      </c>
      <c r="E1365" s="132" t="s">
        <v>91</v>
      </c>
      <c r="F1365" s="132" t="s">
        <v>178</v>
      </c>
      <c r="G1365" s="133" t="str">
        <f t="shared" si="12"/>
        <v>MYKLA-SGSIN-IDSRG-IDSUB-MYKLA- SGSIN-THBKK THSCS-THLCH</v>
      </c>
      <c r="H1365" s="184" t="s">
        <v>180</v>
      </c>
      <c r="I1365" s="184" t="s">
        <v>173</v>
      </c>
      <c r="J1365" s="186">
        <v>1</v>
      </c>
      <c r="K1365" s="186">
        <v>37</v>
      </c>
      <c r="L1365" s="186">
        <v>21</v>
      </c>
      <c r="M1365" s="186">
        <v>2.1</v>
      </c>
      <c r="N1365" s="186">
        <v>902</v>
      </c>
      <c r="O1365" s="186">
        <v>1279</v>
      </c>
      <c r="P1365" s="188">
        <v>0</v>
      </c>
      <c r="Q1365" s="186">
        <v>902</v>
      </c>
      <c r="R1365" s="189">
        <v>1279</v>
      </c>
    </row>
    <row r="1366" spans="2:18">
      <c r="B1366" s="184" t="s">
        <v>297</v>
      </c>
      <c r="C1366" s="119">
        <f t="shared" si="10"/>
        <v>2024</v>
      </c>
      <c r="D1366" s="132">
        <f t="shared" si="11"/>
        <v>5</v>
      </c>
      <c r="E1366" s="132" t="s">
        <v>91</v>
      </c>
      <c r="F1366" s="132" t="s">
        <v>289</v>
      </c>
      <c r="G1366" s="133" t="str">
        <f t="shared" si="12"/>
        <v>MYKLA-SGSIN-IDSRG-IDSUB-MYKLA- SGSIN-THBKK THSCS-THLCH</v>
      </c>
      <c r="H1366" s="184" t="s">
        <v>241</v>
      </c>
      <c r="I1366" s="184" t="s">
        <v>184</v>
      </c>
      <c r="J1366" s="186">
        <v>1</v>
      </c>
      <c r="K1366" s="186">
        <v>78</v>
      </c>
      <c r="L1366" s="186">
        <v>30</v>
      </c>
      <c r="M1366" s="186">
        <v>3</v>
      </c>
      <c r="N1366" s="186">
        <v>1418</v>
      </c>
      <c r="O1366" s="186">
        <v>2337</v>
      </c>
      <c r="P1366" s="188">
        <v>0</v>
      </c>
      <c r="Q1366" s="189">
        <v>1418</v>
      </c>
      <c r="R1366" s="189">
        <v>2337</v>
      </c>
    </row>
    <row r="1367" spans="2:18">
      <c r="B1367" s="184" t="s">
        <v>297</v>
      </c>
      <c r="C1367" s="119">
        <f t="shared" si="10"/>
        <v>2024</v>
      </c>
      <c r="D1367" s="132">
        <f t="shared" si="11"/>
        <v>5</v>
      </c>
      <c r="E1367" s="132" t="s">
        <v>15</v>
      </c>
      <c r="F1367" s="132" t="s">
        <v>220</v>
      </c>
      <c r="G1367" s="133" t="str">
        <f t="shared" si="12"/>
        <v>SGSIN-IDSUB-SGSIN-MYKLA-MYNTL-MYKLA-SGSIN</v>
      </c>
      <c r="H1367" s="184" t="s">
        <v>222</v>
      </c>
      <c r="I1367" s="184" t="s">
        <v>184</v>
      </c>
      <c r="J1367" s="186">
        <v>1</v>
      </c>
      <c r="K1367" s="186">
        <v>48</v>
      </c>
      <c r="L1367" s="186">
        <v>24</v>
      </c>
      <c r="M1367" s="186">
        <v>2</v>
      </c>
      <c r="N1367" s="186">
        <v>705</v>
      </c>
      <c r="O1367" s="186">
        <v>1022</v>
      </c>
      <c r="P1367" s="188">
        <v>0</v>
      </c>
      <c r="Q1367" s="189">
        <v>705</v>
      </c>
      <c r="R1367" s="189">
        <v>1022</v>
      </c>
    </row>
    <row r="1368" spans="2:18">
      <c r="B1368" s="184" t="s">
        <v>297</v>
      </c>
      <c r="C1368" s="119">
        <f t="shared" si="10"/>
        <v>2024</v>
      </c>
      <c r="D1368" s="132">
        <f t="shared" si="11"/>
        <v>5</v>
      </c>
      <c r="E1368" s="132" t="s">
        <v>84</v>
      </c>
      <c r="F1368" s="132" t="s">
        <v>228</v>
      </c>
      <c r="G1368" s="133" t="str">
        <f t="shared" si="12"/>
        <v>IDJKT-IDSRG-IDSUB-IDMAK-PHBTG-CNSGH-CNXAM-CNSHK-CNNSH-MYBTU-IDJKT</v>
      </c>
      <c r="H1368" s="184" t="s">
        <v>230</v>
      </c>
      <c r="I1368" s="184" t="s">
        <v>184</v>
      </c>
      <c r="J1368" s="186">
        <v>4</v>
      </c>
      <c r="K1368" s="186">
        <v>29</v>
      </c>
      <c r="L1368" s="186">
        <v>19</v>
      </c>
      <c r="M1368" s="186">
        <v>1.8</v>
      </c>
      <c r="N1368" s="186">
        <v>327</v>
      </c>
      <c r="O1368" s="186">
        <v>479</v>
      </c>
      <c r="P1368" s="188">
        <v>0.25</v>
      </c>
      <c r="Q1368" s="189">
        <v>1307</v>
      </c>
      <c r="R1368" s="189">
        <v>1917</v>
      </c>
    </row>
    <row r="1369" spans="2:18">
      <c r="B1369" s="184" t="s">
        <v>297</v>
      </c>
      <c r="C1369" s="119">
        <f t="shared" si="10"/>
        <v>2024</v>
      </c>
      <c r="D1369" s="132">
        <f t="shared" si="11"/>
        <v>5</v>
      </c>
      <c r="E1369" s="132" t="s">
        <v>84</v>
      </c>
      <c r="F1369" s="132" t="s">
        <v>249</v>
      </c>
      <c r="G1369" s="133" t="str">
        <f t="shared" si="12"/>
        <v>IDJKT-IDSRG-IDSUB-IDMAK-PHBTG-CNSGH-CNXAM-CNSHK-CNNSH-MYBTU-IDJKT</v>
      </c>
      <c r="H1369" s="184" t="s">
        <v>251</v>
      </c>
      <c r="I1369" s="184" t="s">
        <v>184</v>
      </c>
      <c r="J1369" s="186">
        <v>1</v>
      </c>
      <c r="K1369" s="186">
        <v>38</v>
      </c>
      <c r="L1369" s="186">
        <v>19</v>
      </c>
      <c r="M1369" s="186">
        <v>2.1</v>
      </c>
      <c r="N1369" s="186">
        <v>804</v>
      </c>
      <c r="O1369" s="186">
        <v>1212</v>
      </c>
      <c r="P1369" s="188">
        <v>0</v>
      </c>
      <c r="Q1369" s="186">
        <v>804</v>
      </c>
      <c r="R1369" s="189">
        <v>1212</v>
      </c>
    </row>
    <row r="1370" spans="2:18">
      <c r="B1370" s="184" t="s">
        <v>297</v>
      </c>
      <c r="C1370" s="119">
        <f t="shared" si="10"/>
        <v>2024</v>
      </c>
      <c r="D1370" s="132">
        <f t="shared" si="11"/>
        <v>5</v>
      </c>
      <c r="E1370" s="132" t="s">
        <v>22</v>
      </c>
      <c r="F1370" s="132" t="s">
        <v>174</v>
      </c>
      <c r="G1370" s="133" t="str">
        <f t="shared" si="12"/>
        <v>SGSIN-IDSUB-SGSIN</v>
      </c>
      <c r="H1370" s="184" t="s">
        <v>176</v>
      </c>
      <c r="I1370" s="184" t="s">
        <v>173</v>
      </c>
      <c r="J1370" s="186">
        <v>5</v>
      </c>
      <c r="K1370" s="186">
        <v>58</v>
      </c>
      <c r="L1370" s="186">
        <v>23</v>
      </c>
      <c r="M1370" s="186">
        <v>2.9</v>
      </c>
      <c r="N1370" s="186">
        <v>1741</v>
      </c>
      <c r="O1370" s="186">
        <v>2623</v>
      </c>
      <c r="P1370" s="188">
        <v>0</v>
      </c>
      <c r="Q1370" s="189">
        <v>8704</v>
      </c>
      <c r="R1370" s="189">
        <v>13117</v>
      </c>
    </row>
    <row r="1371" spans="2:18">
      <c r="B1371" s="184" t="s">
        <v>297</v>
      </c>
      <c r="C1371" s="119">
        <f t="shared" si="10"/>
        <v>2024</v>
      </c>
      <c r="D1371" s="132">
        <f t="shared" si="11"/>
        <v>5</v>
      </c>
      <c r="E1371" s="132" t="s">
        <v>22</v>
      </c>
      <c r="F1371" s="132" t="s">
        <v>177</v>
      </c>
      <c r="G1371" s="133" t="str">
        <f t="shared" si="12"/>
        <v>SGSIN-IDSUB-SGSIN</v>
      </c>
      <c r="H1371" s="184" t="s">
        <v>176</v>
      </c>
      <c r="I1371" s="184" t="s">
        <v>173</v>
      </c>
      <c r="J1371" s="186">
        <v>2</v>
      </c>
      <c r="K1371" s="186">
        <v>73</v>
      </c>
      <c r="L1371" s="186">
        <v>30</v>
      </c>
      <c r="M1371" s="186">
        <v>3</v>
      </c>
      <c r="N1371" s="186">
        <v>1914</v>
      </c>
      <c r="O1371" s="186">
        <v>2933</v>
      </c>
      <c r="P1371" s="188">
        <v>0</v>
      </c>
      <c r="Q1371" s="189">
        <v>3827</v>
      </c>
      <c r="R1371" s="189">
        <v>5866</v>
      </c>
    </row>
    <row r="1372" spans="2:18">
      <c r="B1372" s="184" t="s">
        <v>297</v>
      </c>
      <c r="C1372" s="119">
        <f t="shared" si="10"/>
        <v>2024</v>
      </c>
      <c r="D1372" s="132">
        <f t="shared" si="11"/>
        <v>5</v>
      </c>
      <c r="E1372" s="132" t="s">
        <v>22</v>
      </c>
      <c r="F1372" s="132" t="s">
        <v>290</v>
      </c>
      <c r="G1372" s="133" t="str">
        <f t="shared" si="12"/>
        <v>SGSIN-IDSUB-SGSIN</v>
      </c>
      <c r="H1372" s="184" t="s">
        <v>199</v>
      </c>
      <c r="I1372" s="184" t="s">
        <v>200</v>
      </c>
      <c r="J1372" s="186">
        <v>1</v>
      </c>
      <c r="K1372" s="186">
        <v>72</v>
      </c>
      <c r="L1372" s="186">
        <v>28</v>
      </c>
      <c r="M1372" s="186">
        <v>3</v>
      </c>
      <c r="N1372" s="186">
        <v>2106</v>
      </c>
      <c r="O1372" s="186">
        <v>3411</v>
      </c>
      <c r="P1372" s="188">
        <v>1</v>
      </c>
      <c r="Q1372" s="186">
        <v>2106</v>
      </c>
      <c r="R1372" s="186">
        <v>3411</v>
      </c>
    </row>
    <row r="1373" spans="2:18">
      <c r="B1373" s="184" t="s">
        <v>297</v>
      </c>
      <c r="C1373" s="119">
        <f t="shared" si="10"/>
        <v>2024</v>
      </c>
      <c r="D1373" s="132">
        <f t="shared" si="11"/>
        <v>5</v>
      </c>
      <c r="E1373" s="132" t="s">
        <v>32</v>
      </c>
      <c r="F1373" s="132" t="s">
        <v>249</v>
      </c>
      <c r="G1373" s="133" t="str">
        <f t="shared" si="12"/>
        <v>IDJKT-IDSUB-CNSHK-CNXAM-KRPUS-CNQIN-CNSGH-CNNBO-IDJKT</v>
      </c>
      <c r="H1373" s="184" t="s">
        <v>251</v>
      </c>
      <c r="I1373" s="184" t="s">
        <v>184</v>
      </c>
      <c r="J1373" s="186">
        <v>1</v>
      </c>
      <c r="K1373" s="186">
        <v>46</v>
      </c>
      <c r="L1373" s="186">
        <v>19</v>
      </c>
      <c r="M1373" s="186">
        <v>2.8</v>
      </c>
      <c r="N1373" s="186">
        <v>1171</v>
      </c>
      <c r="O1373" s="186">
        <v>1784</v>
      </c>
      <c r="P1373" s="188">
        <v>0</v>
      </c>
      <c r="Q1373" s="186">
        <v>1171</v>
      </c>
      <c r="R1373" s="186">
        <v>1784</v>
      </c>
    </row>
    <row r="1374" spans="2:18">
      <c r="B1374" s="184" t="s">
        <v>297</v>
      </c>
      <c r="C1374" s="119">
        <f t="shared" si="10"/>
        <v>2024</v>
      </c>
      <c r="D1374" s="132">
        <f t="shared" si="11"/>
        <v>5</v>
      </c>
      <c r="E1374" s="132" t="s">
        <v>12</v>
      </c>
      <c r="F1374" s="132" t="s">
        <v>234</v>
      </c>
      <c r="G1374" s="133" t="str">
        <f t="shared" si="12"/>
        <v>HKHKG–CNNSH–CNSHK–IDSUB–IDSRG– IDJKT–MYKLA (North)–MYKLA (West)– HKHKG</v>
      </c>
      <c r="H1374" s="184" t="s">
        <v>236</v>
      </c>
      <c r="I1374" s="184" t="s">
        <v>184</v>
      </c>
      <c r="J1374" s="186">
        <v>4</v>
      </c>
      <c r="K1374" s="186">
        <v>37</v>
      </c>
      <c r="L1374" s="186">
        <v>20</v>
      </c>
      <c r="M1374" s="186">
        <v>2.2999999999999998</v>
      </c>
      <c r="N1374" s="186">
        <v>741</v>
      </c>
      <c r="O1374" s="186">
        <v>1114</v>
      </c>
      <c r="P1374" s="188">
        <v>0</v>
      </c>
      <c r="Q1374" s="189">
        <v>2963</v>
      </c>
      <c r="R1374" s="189">
        <v>4455</v>
      </c>
    </row>
    <row r="1375" spans="2:18">
      <c r="B1375" s="184" t="s">
        <v>297</v>
      </c>
      <c r="C1375" s="119">
        <f t="shared" si="10"/>
        <v>2024</v>
      </c>
      <c r="D1375" s="132">
        <f t="shared" si="11"/>
        <v>5</v>
      </c>
      <c r="E1375" s="132" t="s">
        <v>12</v>
      </c>
      <c r="F1375" s="132" t="s">
        <v>237</v>
      </c>
      <c r="G1375" s="133" t="str">
        <f t="shared" si="12"/>
        <v>HKHKG–CNNSH–CNSHK–IDSUB–IDSRG– IDJKT–MYKLA (North)–MYKLA (West)– HKHKG</v>
      </c>
      <c r="H1375" s="184" t="s">
        <v>199</v>
      </c>
      <c r="I1375" s="184" t="s">
        <v>200</v>
      </c>
      <c r="J1375" s="186">
        <v>0</v>
      </c>
      <c r="K1375" s="186">
        <v>0</v>
      </c>
      <c r="L1375" s="186">
        <v>0</v>
      </c>
      <c r="M1375" s="186">
        <v>0</v>
      </c>
      <c r="N1375" s="186">
        <v>0</v>
      </c>
      <c r="O1375" s="186">
        <v>0</v>
      </c>
      <c r="P1375" s="188">
        <v>0</v>
      </c>
      <c r="Q1375" s="186">
        <v>0</v>
      </c>
      <c r="R1375" s="186">
        <v>0</v>
      </c>
    </row>
    <row r="1376" spans="2:18">
      <c r="B1376" s="184" t="s">
        <v>297</v>
      </c>
      <c r="C1376" s="119">
        <f t="shared" si="10"/>
        <v>2024</v>
      </c>
      <c r="D1376" s="132">
        <f t="shared" si="11"/>
        <v>5</v>
      </c>
      <c r="E1376" s="132" t="s">
        <v>19</v>
      </c>
      <c r="F1376" s="132" t="s">
        <v>178</v>
      </c>
      <c r="G1376" s="133" t="str">
        <f t="shared" si="12"/>
        <v>MYKLA-SGSIN-IDSRG-IDSUB-MYKLA- SGSIN-THBKK THSCS-THLCH</v>
      </c>
      <c r="H1376" s="184" t="s">
        <v>180</v>
      </c>
      <c r="I1376" s="184" t="s">
        <v>173</v>
      </c>
      <c r="J1376" s="186">
        <v>0</v>
      </c>
      <c r="K1376" s="186">
        <v>0</v>
      </c>
      <c r="L1376" s="186">
        <v>0</v>
      </c>
      <c r="M1376" s="186">
        <v>0</v>
      </c>
      <c r="N1376" s="186">
        <v>0</v>
      </c>
      <c r="O1376" s="186">
        <v>0</v>
      </c>
      <c r="P1376" s="186">
        <v>0</v>
      </c>
      <c r="Q1376" s="186">
        <v>0</v>
      </c>
      <c r="R1376" s="186">
        <v>0</v>
      </c>
    </row>
    <row r="1377" spans="2:18">
      <c r="B1377" s="184" t="s">
        <v>297</v>
      </c>
      <c r="C1377" s="119">
        <f t="shared" si="10"/>
        <v>2024</v>
      </c>
      <c r="D1377" s="132">
        <f t="shared" si="11"/>
        <v>5</v>
      </c>
      <c r="E1377" s="132" t="s">
        <v>7</v>
      </c>
      <c r="F1377" s="132" t="s">
        <v>272</v>
      </c>
      <c r="G1377" s="133" t="str">
        <f t="shared" si="12"/>
        <v>CNSGH-CNNBO-CNSTG-CNSHK-IDJKT-IDSUB-PHMNL South-PHMNL North-CNSGH</v>
      </c>
      <c r="H1377" s="184" t="s">
        <v>274</v>
      </c>
      <c r="I1377" s="184" t="s">
        <v>173</v>
      </c>
      <c r="J1377" s="186" t="s">
        <v>107</v>
      </c>
      <c r="K1377" s="186" t="s">
        <v>107</v>
      </c>
      <c r="L1377" s="186" t="s">
        <v>107</v>
      </c>
      <c r="M1377" s="186" t="s">
        <v>107</v>
      </c>
      <c r="N1377" s="186" t="s">
        <v>107</v>
      </c>
      <c r="O1377" s="186" t="s">
        <v>107</v>
      </c>
      <c r="P1377" s="188">
        <v>0</v>
      </c>
      <c r="Q1377" s="186" t="s">
        <v>107</v>
      </c>
      <c r="R1377" s="186" t="s">
        <v>107</v>
      </c>
    </row>
    <row r="1378" spans="2:18">
      <c r="B1378" s="184" t="s">
        <v>297</v>
      </c>
      <c r="C1378" s="119">
        <f t="shared" si="10"/>
        <v>2024</v>
      </c>
      <c r="D1378" s="132">
        <f t="shared" si="11"/>
        <v>5</v>
      </c>
      <c r="E1378" s="132" t="s">
        <v>111</v>
      </c>
      <c r="F1378" s="132" t="s">
        <v>275</v>
      </c>
      <c r="G1378" s="133" t="str">
        <f t="shared" si="12"/>
        <v>IDSUB - IDJKT - IDMAK - IDPAL</v>
      </c>
      <c r="H1378" s="184" t="s">
        <v>277</v>
      </c>
      <c r="I1378" s="184" t="s">
        <v>184</v>
      </c>
      <c r="J1378" s="186">
        <v>5</v>
      </c>
      <c r="K1378" s="186">
        <v>13</v>
      </c>
      <c r="L1378" s="186">
        <v>23</v>
      </c>
      <c r="M1378" s="186">
        <v>0.79</v>
      </c>
      <c r="N1378" s="186">
        <v>337</v>
      </c>
      <c r="O1378" s="186">
        <v>360</v>
      </c>
      <c r="P1378" s="188">
        <v>1</v>
      </c>
      <c r="Q1378" s="189">
        <v>1687</v>
      </c>
      <c r="R1378" s="189">
        <v>1800</v>
      </c>
    </row>
    <row r="1379" spans="2:18">
      <c r="B1379" s="184" t="s">
        <v>297</v>
      </c>
      <c r="C1379" s="119">
        <f t="shared" si="10"/>
        <v>2024</v>
      </c>
      <c r="D1379" s="132">
        <f t="shared" si="11"/>
        <v>5</v>
      </c>
      <c r="E1379" s="132" t="s">
        <v>113</v>
      </c>
      <c r="F1379" s="132" t="s">
        <v>279</v>
      </c>
      <c r="G1379" s="133" t="str">
        <f t="shared" si="12"/>
        <v>Various POO</v>
      </c>
      <c r="H1379" s="184" t="s">
        <v>280</v>
      </c>
      <c r="I1379" s="184" t="s">
        <v>184</v>
      </c>
      <c r="J1379" s="186">
        <v>5</v>
      </c>
      <c r="K1379" s="186">
        <v>21</v>
      </c>
      <c r="L1379" s="186">
        <v>30</v>
      </c>
      <c r="M1379" s="186">
        <v>0.96</v>
      </c>
      <c r="N1379" s="186">
        <v>342</v>
      </c>
      <c r="O1379" s="186">
        <v>386</v>
      </c>
      <c r="P1379" s="188">
        <v>1</v>
      </c>
      <c r="Q1379" s="189">
        <v>1710</v>
      </c>
      <c r="R1379" s="189">
        <v>1934</v>
      </c>
    </row>
    <row r="1380" spans="2:18">
      <c r="B1380" s="184" t="s">
        <v>297</v>
      </c>
      <c r="C1380" s="119">
        <f t="shared" si="10"/>
        <v>2024</v>
      </c>
      <c r="D1380" s="132">
        <f t="shared" si="11"/>
        <v>5</v>
      </c>
      <c r="E1380" s="132" t="s">
        <v>153</v>
      </c>
      <c r="F1380" s="132" t="s">
        <v>281</v>
      </c>
      <c r="G1380" s="133" t="str">
        <f t="shared" si="12"/>
        <v>IDSUB - IDMAK</v>
      </c>
      <c r="H1380" s="184" t="s">
        <v>283</v>
      </c>
      <c r="I1380" s="184" t="s">
        <v>173</v>
      </c>
      <c r="J1380" s="186" t="s">
        <v>107</v>
      </c>
      <c r="K1380" s="186" t="s">
        <v>107</v>
      </c>
      <c r="L1380" s="186" t="s">
        <v>107</v>
      </c>
      <c r="M1380" s="186" t="s">
        <v>107</v>
      </c>
      <c r="N1380" s="186" t="s">
        <v>107</v>
      </c>
      <c r="O1380" s="186" t="s">
        <v>107</v>
      </c>
      <c r="P1380" s="188">
        <v>0</v>
      </c>
      <c r="Q1380" s="186" t="s">
        <v>107</v>
      </c>
      <c r="R1380" s="186" t="s">
        <v>107</v>
      </c>
    </row>
    <row r="1381" spans="2:18">
      <c r="B1381" s="184" t="s">
        <v>297</v>
      </c>
      <c r="C1381" s="119">
        <f t="shared" si="10"/>
        <v>2024</v>
      </c>
      <c r="D1381" s="132">
        <f t="shared" si="11"/>
        <v>5</v>
      </c>
      <c r="E1381" s="132" t="s">
        <v>117</v>
      </c>
      <c r="F1381" s="132" t="s">
        <v>117</v>
      </c>
      <c r="G1381" s="133">
        <f t="shared" si="12"/>
        <v>0</v>
      </c>
      <c r="H1381" s="184"/>
      <c r="I1381" s="184" t="s">
        <v>184</v>
      </c>
      <c r="J1381" s="186" t="s">
        <v>107</v>
      </c>
      <c r="K1381" s="186" t="s">
        <v>107</v>
      </c>
      <c r="L1381" s="186" t="s">
        <v>107</v>
      </c>
      <c r="M1381" s="186" t="s">
        <v>107</v>
      </c>
      <c r="N1381" s="186" t="s">
        <v>107</v>
      </c>
      <c r="O1381" s="186" t="s">
        <v>107</v>
      </c>
      <c r="P1381" s="188">
        <v>0</v>
      </c>
      <c r="Q1381" s="189" t="s">
        <v>107</v>
      </c>
      <c r="R1381" s="189" t="s">
        <v>107</v>
      </c>
    </row>
    <row r="1382" spans="2:18">
      <c r="B1382" s="184" t="s">
        <v>297</v>
      </c>
      <c r="C1382" s="119">
        <f t="shared" si="10"/>
        <v>2024</v>
      </c>
      <c r="D1382" s="132">
        <f t="shared" si="11"/>
        <v>5</v>
      </c>
      <c r="E1382" s="132" t="s">
        <v>152</v>
      </c>
      <c r="F1382" s="132" t="s">
        <v>284</v>
      </c>
      <c r="G1382" s="133" t="str">
        <f t="shared" si="12"/>
        <v>IDSUB - IDBNA</v>
      </c>
      <c r="H1382" s="184" t="s">
        <v>286</v>
      </c>
      <c r="I1382" s="184" t="s">
        <v>184</v>
      </c>
      <c r="J1382" s="186">
        <v>1</v>
      </c>
      <c r="K1382" s="186">
        <v>6</v>
      </c>
      <c r="L1382" s="186">
        <v>17</v>
      </c>
      <c r="M1382" s="186">
        <v>1</v>
      </c>
      <c r="N1382" s="186">
        <v>284</v>
      </c>
      <c r="O1382" s="186">
        <v>311</v>
      </c>
      <c r="P1382" s="188">
        <v>1</v>
      </c>
      <c r="Q1382" s="186">
        <v>284</v>
      </c>
      <c r="R1382" s="186">
        <v>311</v>
      </c>
    </row>
    <row r="1383" spans="2:18">
      <c r="B1383" s="184" t="s">
        <v>297</v>
      </c>
      <c r="C1383" s="119">
        <f t="shared" si="10"/>
        <v>2024</v>
      </c>
      <c r="D1383" s="132">
        <f t="shared" si="11"/>
        <v>5</v>
      </c>
      <c r="E1383" s="132" t="s">
        <v>118</v>
      </c>
      <c r="F1383" s="132" t="s">
        <v>287</v>
      </c>
      <c r="G1383" s="133" t="str">
        <f t="shared" si="12"/>
        <v>IDSUB - IDMAK</v>
      </c>
      <c r="H1383" s="184" t="s">
        <v>283</v>
      </c>
      <c r="I1383" s="184"/>
      <c r="J1383" s="186" t="s">
        <v>107</v>
      </c>
      <c r="K1383" s="186" t="s">
        <v>107</v>
      </c>
      <c r="L1383" s="186" t="s">
        <v>107</v>
      </c>
      <c r="M1383" s="186" t="s">
        <v>107</v>
      </c>
      <c r="N1383" s="186" t="s">
        <v>107</v>
      </c>
      <c r="O1383" s="186" t="s">
        <v>107</v>
      </c>
      <c r="P1383" s="188">
        <v>0</v>
      </c>
      <c r="Q1383" s="189" t="s">
        <v>107</v>
      </c>
      <c r="R1383" s="189" t="s">
        <v>107</v>
      </c>
    </row>
    <row r="1384" spans="2:18">
      <c r="B1384" s="192"/>
      <c r="G1384" s="133"/>
      <c r="H1384" s="184"/>
      <c r="I1384" s="184"/>
      <c r="J1384" s="186"/>
      <c r="K1384" s="186"/>
      <c r="L1384" s="186"/>
      <c r="M1384" s="186"/>
      <c r="N1384" s="186"/>
      <c r="O1384" s="186"/>
      <c r="P1384" s="188"/>
      <c r="Q1384" s="186"/>
      <c r="R1384" s="186"/>
    </row>
    <row r="1385" spans="2:18">
      <c r="B1385" s="192"/>
      <c r="G1385" s="133"/>
      <c r="H1385" s="184"/>
      <c r="I1385" s="184"/>
      <c r="J1385" s="186"/>
      <c r="K1385" s="186"/>
      <c r="L1385" s="186"/>
      <c r="M1385" s="186"/>
      <c r="N1385" s="186"/>
      <c r="O1385" s="186"/>
      <c r="P1385" s="188"/>
      <c r="Q1385" s="189"/>
      <c r="R1385" s="189"/>
    </row>
    <row r="1386" spans="2:18">
      <c r="B1386" s="192"/>
      <c r="G1386" s="133"/>
      <c r="H1386" s="184"/>
      <c r="I1386" s="184"/>
      <c r="J1386" s="186"/>
      <c r="K1386" s="186"/>
      <c r="L1386" s="186"/>
      <c r="M1386" s="186"/>
      <c r="N1386" s="186"/>
      <c r="O1386" s="186"/>
      <c r="P1386" s="186"/>
      <c r="Q1386" s="186"/>
      <c r="R1386" s="186"/>
    </row>
    <row r="1387" spans="2:18">
      <c r="B1387" s="192"/>
      <c r="G1387" s="133"/>
      <c r="H1387" s="184"/>
      <c r="I1387" s="184"/>
      <c r="J1387" s="186"/>
      <c r="K1387" s="186"/>
      <c r="L1387" s="186"/>
      <c r="M1387" s="186"/>
      <c r="N1387" s="186"/>
      <c r="O1387" s="186"/>
      <c r="P1387" s="188"/>
      <c r="Q1387" s="189"/>
      <c r="R1387" s="189"/>
    </row>
    <row r="1388" spans="2:18">
      <c r="B1388" s="192"/>
      <c r="G1388" s="133"/>
      <c r="H1388" s="184"/>
      <c r="I1388" s="184"/>
      <c r="J1388" s="186"/>
      <c r="K1388" s="186"/>
      <c r="L1388" s="186"/>
      <c r="M1388" s="186"/>
      <c r="N1388" s="186"/>
      <c r="O1388" s="186"/>
      <c r="P1388" s="188"/>
      <c r="Q1388" s="186"/>
      <c r="R1388" s="186"/>
    </row>
    <row r="1389" spans="2:18">
      <c r="B1389" s="192"/>
      <c r="G1389" s="133"/>
      <c r="H1389" s="184"/>
      <c r="I1389" s="184"/>
      <c r="J1389" s="186"/>
      <c r="K1389" s="186"/>
      <c r="L1389" s="186"/>
      <c r="M1389" s="186"/>
      <c r="N1389" s="186"/>
      <c r="O1389" s="186"/>
      <c r="P1389" s="188"/>
      <c r="Q1389" s="186"/>
      <c r="R1389" s="186"/>
    </row>
    <row r="1390" spans="2:18">
      <c r="B1390" s="192"/>
      <c r="G1390" s="133"/>
      <c r="H1390" s="184"/>
      <c r="I1390" s="184"/>
      <c r="J1390" s="186"/>
      <c r="K1390" s="186"/>
      <c r="L1390" s="186"/>
      <c r="M1390" s="186"/>
      <c r="N1390" s="186"/>
      <c r="O1390" s="186"/>
      <c r="P1390" s="188"/>
      <c r="Q1390" s="186"/>
      <c r="R1390" s="186"/>
    </row>
    <row r="1391" spans="2:18">
      <c r="B1391" s="192"/>
      <c r="G1391" s="133"/>
      <c r="H1391" s="184"/>
      <c r="I1391" s="184"/>
      <c r="J1391" s="186"/>
      <c r="K1391" s="186"/>
      <c r="L1391" s="186"/>
      <c r="M1391" s="186"/>
      <c r="N1391" s="186"/>
      <c r="O1391" s="186"/>
      <c r="P1391" s="188"/>
      <c r="Q1391" s="186"/>
      <c r="R1391" s="186"/>
    </row>
    <row r="1392" spans="2:18">
      <c r="B1392" s="192"/>
      <c r="G1392" s="133"/>
      <c r="H1392" s="184"/>
      <c r="I1392" s="184"/>
      <c r="J1392" s="186"/>
      <c r="K1392" s="186"/>
      <c r="L1392" s="186"/>
      <c r="M1392" s="186"/>
      <c r="N1392" s="186"/>
      <c r="O1392" s="186"/>
      <c r="P1392" s="188"/>
      <c r="Q1392" s="186"/>
      <c r="R1392" s="186"/>
    </row>
    <row r="1393" spans="7:18">
      <c r="G1393" s="133"/>
      <c r="H1393" s="184"/>
      <c r="I1393" s="184"/>
      <c r="J1393" s="186"/>
      <c r="K1393" s="186"/>
      <c r="L1393" s="186"/>
      <c r="M1393" s="186"/>
      <c r="N1393" s="186"/>
      <c r="O1393" s="186"/>
      <c r="P1393" s="188"/>
      <c r="Q1393" s="189"/>
      <c r="R1393" s="189"/>
    </row>
    <row r="1394" spans="7:18">
      <c r="G1394" s="133"/>
      <c r="H1394" s="184"/>
      <c r="I1394" s="184"/>
      <c r="J1394" s="186"/>
      <c r="K1394" s="186"/>
      <c r="L1394" s="186"/>
      <c r="M1394" s="186"/>
      <c r="N1394" s="186"/>
      <c r="O1394" s="186"/>
      <c r="P1394" s="188"/>
      <c r="Q1394" s="186"/>
      <c r="R1394" s="186"/>
    </row>
    <row r="1395" spans="7:18">
      <c r="G1395" s="133"/>
      <c r="H1395" s="184"/>
      <c r="I1395" s="184"/>
      <c r="J1395" s="186"/>
      <c r="K1395" s="186"/>
      <c r="L1395" s="186"/>
      <c r="M1395" s="186"/>
      <c r="N1395" s="186"/>
      <c r="O1395" s="186"/>
      <c r="P1395" s="188"/>
      <c r="Q1395" s="186"/>
      <c r="R1395" s="189"/>
    </row>
    <row r="1396" spans="7:18">
      <c r="G1396" s="133"/>
      <c r="H1396" s="184"/>
      <c r="I1396" s="184"/>
      <c r="J1396" s="186"/>
      <c r="K1396" s="186"/>
      <c r="L1396" s="186"/>
      <c r="M1396" s="186"/>
      <c r="N1396" s="186"/>
      <c r="O1396" s="186"/>
      <c r="P1396" s="188"/>
      <c r="Q1396" s="189"/>
      <c r="R1396" s="189"/>
    </row>
    <row r="1397" spans="7:18">
      <c r="G1397" s="133"/>
      <c r="H1397" s="184"/>
      <c r="I1397" s="184"/>
      <c r="J1397" s="186"/>
      <c r="K1397" s="186"/>
      <c r="L1397" s="186"/>
      <c r="M1397" s="186"/>
      <c r="N1397" s="186"/>
      <c r="O1397" s="186"/>
      <c r="P1397" s="188"/>
      <c r="Q1397" s="189"/>
      <c r="R1397" s="189"/>
    </row>
    <row r="1398" spans="7:18">
      <c r="G1398" s="133"/>
      <c r="H1398" s="184"/>
      <c r="I1398" s="184"/>
      <c r="J1398" s="186"/>
      <c r="K1398" s="186"/>
      <c r="L1398" s="186"/>
      <c r="M1398" s="186"/>
      <c r="N1398" s="186"/>
      <c r="O1398" s="186"/>
      <c r="P1398" s="188"/>
      <c r="Q1398" s="186"/>
      <c r="R1398" s="186"/>
    </row>
    <row r="1399" spans="7:18">
      <c r="G1399" s="133"/>
      <c r="H1399" s="184"/>
      <c r="I1399" s="184"/>
      <c r="J1399" s="186"/>
      <c r="K1399" s="186"/>
      <c r="L1399" s="186"/>
      <c r="M1399" s="186"/>
      <c r="N1399" s="186"/>
      <c r="O1399" s="186"/>
      <c r="P1399" s="186"/>
      <c r="Q1399" s="186"/>
      <c r="R1399" s="186"/>
    </row>
    <row r="1400" spans="7:18">
      <c r="G1400" s="133"/>
      <c r="H1400" s="184"/>
      <c r="I1400" s="184"/>
      <c r="J1400" s="186"/>
      <c r="K1400" s="186"/>
      <c r="L1400" s="186"/>
      <c r="M1400" s="186"/>
      <c r="N1400" s="186"/>
      <c r="O1400" s="186"/>
      <c r="P1400" s="188"/>
      <c r="Q1400" s="186"/>
      <c r="R1400" s="186"/>
    </row>
    <row r="1401" spans="7:18">
      <c r="G1401" s="133"/>
      <c r="H1401" s="184"/>
      <c r="I1401" s="184"/>
      <c r="J1401" s="186"/>
      <c r="K1401" s="186"/>
      <c r="L1401" s="186"/>
      <c r="M1401" s="186"/>
      <c r="N1401" s="186"/>
      <c r="O1401" s="186"/>
      <c r="P1401" s="188"/>
      <c r="Q1401" s="186"/>
      <c r="R1401" s="186"/>
    </row>
    <row r="1402" spans="7:18">
      <c r="G1402" s="133"/>
      <c r="H1402" s="184"/>
      <c r="I1402" s="184"/>
      <c r="J1402" s="186"/>
      <c r="K1402" s="186"/>
      <c r="L1402" s="186"/>
      <c r="M1402" s="186"/>
      <c r="N1402" s="186"/>
      <c r="O1402" s="186"/>
      <c r="P1402" s="188"/>
      <c r="Q1402" s="189"/>
      <c r="R1402" s="189"/>
    </row>
    <row r="1403" spans="7:18">
      <c r="G1403" s="133"/>
      <c r="H1403" s="184"/>
      <c r="I1403" s="184"/>
      <c r="J1403" s="186"/>
      <c r="K1403" s="186"/>
      <c r="L1403" s="186"/>
      <c r="M1403" s="186"/>
      <c r="N1403" s="186"/>
      <c r="O1403" s="186"/>
      <c r="P1403" s="188"/>
      <c r="Q1403" s="186"/>
      <c r="R1403" s="186"/>
    </row>
    <row r="1404" spans="7:18">
      <c r="G1404" s="133"/>
      <c r="H1404" s="184"/>
      <c r="I1404" s="184"/>
      <c r="J1404" s="186"/>
      <c r="K1404" s="186"/>
      <c r="L1404" s="186"/>
      <c r="M1404" s="186"/>
      <c r="N1404" s="186"/>
      <c r="O1404" s="186"/>
      <c r="P1404" s="188"/>
      <c r="Q1404" s="186"/>
      <c r="R1404" s="186"/>
    </row>
    <row r="1405" spans="7:18">
      <c r="G1405" s="133"/>
      <c r="H1405" s="184"/>
      <c r="I1405" s="184"/>
      <c r="J1405" s="186"/>
      <c r="K1405" s="186"/>
      <c r="L1405" s="186"/>
      <c r="M1405" s="186"/>
      <c r="N1405" s="186"/>
      <c r="O1405" s="186"/>
      <c r="P1405" s="188"/>
      <c r="Q1405" s="186"/>
      <c r="R1405" s="186"/>
    </row>
    <row r="1406" spans="7:18">
      <c r="G1406" s="133"/>
      <c r="H1406" s="184"/>
      <c r="I1406" s="184"/>
      <c r="J1406" s="186"/>
      <c r="K1406" s="186"/>
      <c r="L1406" s="186"/>
      <c r="M1406" s="186"/>
      <c r="N1406" s="186"/>
      <c r="O1406" s="186"/>
      <c r="P1406" s="186"/>
      <c r="Q1406" s="186"/>
      <c r="R1406" s="186"/>
    </row>
    <row r="1407" spans="7:18">
      <c r="G1407" s="133"/>
      <c r="H1407" s="184"/>
      <c r="I1407" s="184"/>
      <c r="J1407" s="186"/>
      <c r="K1407" s="186"/>
      <c r="L1407" s="186"/>
      <c r="M1407" s="186"/>
      <c r="N1407" s="186"/>
      <c r="O1407" s="186"/>
      <c r="P1407" s="188"/>
      <c r="Q1407" s="186"/>
      <c r="R1407" s="186"/>
    </row>
    <row r="1408" spans="7:18">
      <c r="G1408" s="133"/>
      <c r="H1408" s="184"/>
      <c r="I1408" s="184"/>
      <c r="J1408" s="186"/>
      <c r="K1408" s="186"/>
      <c r="L1408" s="186"/>
      <c r="M1408" s="186"/>
      <c r="N1408" s="186"/>
      <c r="O1408" s="186"/>
      <c r="P1408" s="188"/>
      <c r="Q1408" s="189"/>
      <c r="R1408" s="189"/>
    </row>
    <row r="1409" spans="7:18">
      <c r="G1409" s="133"/>
      <c r="H1409" s="184"/>
      <c r="I1409" s="184"/>
      <c r="J1409" s="186"/>
      <c r="K1409" s="186"/>
      <c r="L1409" s="186"/>
      <c r="M1409" s="186"/>
      <c r="N1409" s="186"/>
      <c r="O1409" s="186"/>
      <c r="P1409" s="188"/>
      <c r="Q1409" s="189"/>
      <c r="R1409" s="189"/>
    </row>
    <row r="1410" spans="7:18">
      <c r="G1410" s="133"/>
      <c r="H1410" s="184"/>
      <c r="I1410" s="184"/>
      <c r="J1410" s="186"/>
      <c r="K1410" s="186"/>
      <c r="L1410" s="186"/>
      <c r="M1410" s="186"/>
      <c r="N1410" s="186"/>
      <c r="O1410" s="186"/>
      <c r="P1410" s="188"/>
      <c r="Q1410" s="186"/>
      <c r="R1410" s="186"/>
    </row>
    <row r="1411" spans="7:18">
      <c r="G1411" s="133"/>
      <c r="H1411" s="184"/>
      <c r="I1411" s="184"/>
      <c r="J1411" s="186"/>
      <c r="K1411" s="186"/>
      <c r="L1411" s="186"/>
      <c r="M1411" s="186"/>
      <c r="N1411" s="186"/>
      <c r="O1411" s="186"/>
      <c r="P1411" s="188"/>
      <c r="Q1411" s="186"/>
      <c r="R1411" s="186"/>
    </row>
    <row r="1412" spans="7:18">
      <c r="G1412" s="133"/>
      <c r="H1412" s="184"/>
      <c r="I1412" s="184"/>
      <c r="J1412" s="186"/>
      <c r="K1412" s="186"/>
      <c r="L1412" s="186"/>
      <c r="M1412" s="186"/>
      <c r="N1412" s="186"/>
      <c r="O1412" s="186"/>
      <c r="P1412" s="188"/>
      <c r="Q1412" s="186"/>
      <c r="R1412" s="186"/>
    </row>
    <row r="1413" spans="7:18">
      <c r="G1413" s="133"/>
      <c r="H1413" s="184"/>
      <c r="I1413" s="184"/>
      <c r="J1413" s="186"/>
      <c r="K1413" s="186"/>
      <c r="L1413" s="186"/>
      <c r="M1413" s="186"/>
      <c r="N1413" s="186"/>
      <c r="O1413" s="186"/>
      <c r="P1413" s="188"/>
      <c r="Q1413" s="186"/>
      <c r="R1413" s="186"/>
    </row>
    <row r="1414" spans="7:18">
      <c r="G1414" s="133"/>
      <c r="H1414" s="184"/>
      <c r="I1414" s="184"/>
      <c r="J1414" s="186"/>
      <c r="K1414" s="186"/>
      <c r="L1414" s="186"/>
      <c r="M1414" s="186"/>
      <c r="N1414" s="186"/>
      <c r="O1414" s="186"/>
      <c r="P1414" s="188"/>
      <c r="Q1414" s="186"/>
      <c r="R1414" s="186"/>
    </row>
    <row r="1415" spans="7:18">
      <c r="G1415" s="133"/>
      <c r="H1415" s="184"/>
      <c r="I1415" s="184"/>
      <c r="J1415" s="186"/>
      <c r="K1415" s="186"/>
      <c r="L1415" s="186"/>
      <c r="M1415" s="186"/>
      <c r="N1415" s="186"/>
      <c r="O1415" s="186"/>
      <c r="P1415" s="188"/>
      <c r="Q1415" s="186"/>
      <c r="R1415" s="186"/>
    </row>
    <row r="1416" spans="7:18">
      <c r="G1416" s="133"/>
      <c r="H1416" s="184"/>
      <c r="I1416" s="184"/>
      <c r="J1416" s="186"/>
      <c r="K1416" s="186"/>
      <c r="L1416" s="186"/>
      <c r="M1416" s="186"/>
      <c r="N1416" s="186"/>
      <c r="O1416" s="186"/>
      <c r="P1416" s="188"/>
      <c r="Q1416" s="186"/>
      <c r="R1416" s="186"/>
    </row>
    <row r="1417" spans="7:18">
      <c r="G1417" s="133"/>
      <c r="H1417" s="184"/>
      <c r="I1417" s="184"/>
      <c r="J1417" s="186"/>
      <c r="K1417" s="186"/>
      <c r="L1417" s="186"/>
      <c r="M1417" s="186"/>
      <c r="N1417" s="186"/>
      <c r="O1417" s="186"/>
      <c r="P1417" s="188"/>
      <c r="Q1417" s="186"/>
      <c r="R1417" s="186"/>
    </row>
    <row r="1418" spans="7:18">
      <c r="G1418" s="133"/>
      <c r="H1418" s="184"/>
      <c r="I1418" s="184"/>
      <c r="J1418" s="186"/>
      <c r="K1418" s="186"/>
      <c r="L1418" s="186"/>
      <c r="M1418" s="186"/>
      <c r="N1418" s="186"/>
      <c r="O1418" s="186"/>
      <c r="P1418" s="188"/>
      <c r="Q1418" s="186"/>
      <c r="R1418" s="186"/>
    </row>
    <row r="1419" spans="7:18">
      <c r="G1419" s="133"/>
      <c r="H1419" s="184"/>
      <c r="I1419" s="184"/>
      <c r="J1419" s="186"/>
      <c r="K1419" s="186"/>
      <c r="L1419" s="186"/>
      <c r="M1419" s="186"/>
      <c r="N1419" s="186"/>
      <c r="O1419" s="186"/>
      <c r="P1419" s="188"/>
      <c r="Q1419" s="186"/>
      <c r="R1419" s="186"/>
    </row>
    <row r="1420" spans="7:18">
      <c r="G1420" s="133"/>
      <c r="H1420" s="184"/>
      <c r="I1420" s="184"/>
      <c r="J1420" s="186"/>
      <c r="K1420" s="186"/>
      <c r="L1420" s="186"/>
      <c r="M1420" s="186"/>
      <c r="N1420" s="186"/>
      <c r="O1420" s="186"/>
      <c r="P1420" s="188"/>
      <c r="Q1420" s="186"/>
      <c r="R1420" s="186"/>
    </row>
    <row r="1421" spans="7:18">
      <c r="G1421" s="133"/>
      <c r="H1421" s="184"/>
      <c r="I1421" s="184"/>
      <c r="J1421" s="186"/>
      <c r="K1421" s="186"/>
      <c r="L1421" s="186"/>
      <c r="M1421" s="186"/>
      <c r="N1421" s="186"/>
      <c r="O1421" s="186"/>
      <c r="P1421" s="188"/>
      <c r="Q1421" s="186"/>
      <c r="R1421" s="186"/>
    </row>
    <row r="1422" spans="7:18">
      <c r="G1422" s="133"/>
      <c r="H1422" s="184"/>
      <c r="I1422" s="184"/>
      <c r="J1422" s="186"/>
      <c r="K1422" s="186"/>
      <c r="L1422" s="186"/>
      <c r="M1422" s="186"/>
      <c r="N1422" s="186"/>
      <c r="O1422" s="186"/>
      <c r="P1422" s="188"/>
      <c r="Q1422" s="186"/>
      <c r="R1422" s="186"/>
    </row>
    <row r="1423" spans="7:18">
      <c r="G1423" s="133"/>
      <c r="H1423" s="184"/>
      <c r="I1423" s="184"/>
      <c r="J1423" s="186"/>
      <c r="K1423" s="186"/>
      <c r="L1423" s="186"/>
      <c r="M1423" s="186"/>
      <c r="N1423" s="186"/>
      <c r="O1423" s="186"/>
      <c r="P1423" s="188"/>
      <c r="Q1423" s="186"/>
      <c r="R1423" s="186"/>
    </row>
    <row r="1424" spans="7:18">
      <c r="G1424" s="133"/>
      <c r="H1424" s="184"/>
      <c r="I1424" s="184"/>
      <c r="J1424" s="186"/>
      <c r="K1424" s="186"/>
      <c r="L1424" s="186"/>
      <c r="M1424" s="186"/>
      <c r="N1424" s="186"/>
      <c r="O1424" s="186"/>
      <c r="P1424" s="188"/>
      <c r="Q1424" s="186"/>
      <c r="R1424" s="186"/>
    </row>
    <row r="1425" spans="7:18">
      <c r="G1425" s="133"/>
      <c r="H1425" s="184"/>
      <c r="I1425" s="184"/>
      <c r="J1425" s="186"/>
      <c r="K1425" s="186"/>
      <c r="L1425" s="186"/>
      <c r="M1425" s="186"/>
      <c r="N1425" s="186"/>
      <c r="O1425" s="186"/>
      <c r="P1425" s="188"/>
      <c r="Q1425" s="186"/>
      <c r="R1425" s="186"/>
    </row>
    <row r="1426" spans="7:18">
      <c r="G1426" s="133"/>
      <c r="H1426" s="184"/>
      <c r="I1426" s="184"/>
      <c r="J1426" s="186"/>
      <c r="K1426" s="186"/>
      <c r="L1426" s="186"/>
      <c r="M1426" s="186"/>
      <c r="N1426" s="186"/>
      <c r="O1426" s="186"/>
      <c r="P1426" s="188"/>
      <c r="Q1426" s="186"/>
      <c r="R1426" s="186"/>
    </row>
    <row r="1427" spans="7:18">
      <c r="G1427" s="133"/>
      <c r="H1427" s="184"/>
      <c r="I1427" s="184"/>
      <c r="J1427" s="186"/>
      <c r="K1427" s="186"/>
      <c r="L1427" s="186"/>
      <c r="M1427" s="186"/>
      <c r="N1427" s="186"/>
      <c r="O1427" s="186"/>
      <c r="P1427" s="188"/>
      <c r="Q1427" s="186"/>
      <c r="R1427" s="186"/>
    </row>
    <row r="1428" spans="7:18">
      <c r="G1428" s="133"/>
      <c r="H1428" s="184"/>
      <c r="I1428" s="184"/>
      <c r="J1428" s="186"/>
      <c r="K1428" s="186"/>
      <c r="L1428" s="186"/>
      <c r="M1428" s="186"/>
      <c r="N1428" s="186"/>
      <c r="O1428" s="186"/>
      <c r="P1428" s="188"/>
      <c r="Q1428" s="186"/>
      <c r="R1428" s="186"/>
    </row>
    <row r="1429" spans="7:18">
      <c r="G1429" s="133"/>
      <c r="H1429" s="184"/>
      <c r="I1429" s="184"/>
      <c r="J1429" s="186"/>
      <c r="K1429" s="186"/>
      <c r="L1429" s="186"/>
      <c r="M1429" s="186"/>
      <c r="N1429" s="186"/>
      <c r="O1429" s="186"/>
      <c r="P1429" s="188"/>
      <c r="Q1429" s="186"/>
      <c r="R1429" s="186"/>
    </row>
    <row r="1430" spans="7:18">
      <c r="G1430" s="133"/>
      <c r="H1430" s="184"/>
      <c r="I1430" s="184"/>
      <c r="J1430" s="186"/>
      <c r="K1430" s="186"/>
      <c r="L1430" s="186"/>
      <c r="M1430" s="186"/>
      <c r="N1430" s="186"/>
      <c r="O1430" s="186"/>
      <c r="P1430" s="188"/>
      <c r="Q1430" s="186"/>
      <c r="R1430" s="186"/>
    </row>
    <row r="1431" spans="7:18">
      <c r="G1431" s="133"/>
      <c r="H1431" s="184"/>
      <c r="I1431" s="184"/>
      <c r="J1431" s="186"/>
      <c r="K1431" s="186"/>
      <c r="L1431" s="186"/>
      <c r="M1431" s="186"/>
      <c r="N1431" s="186"/>
      <c r="O1431" s="186"/>
      <c r="P1431" s="188"/>
      <c r="Q1431" s="186"/>
      <c r="R1431" s="186"/>
    </row>
    <row r="1432" spans="7:18">
      <c r="G1432" s="133"/>
      <c r="H1432" s="184"/>
      <c r="I1432" s="184"/>
      <c r="J1432" s="186"/>
      <c r="K1432" s="186"/>
      <c r="L1432" s="186"/>
      <c r="M1432" s="186"/>
      <c r="N1432" s="186"/>
      <c r="O1432" s="186"/>
      <c r="P1432" s="188"/>
      <c r="Q1432" s="186"/>
      <c r="R1432" s="186"/>
    </row>
    <row r="1433" spans="7:18">
      <c r="G1433" s="133"/>
      <c r="H1433" s="184"/>
      <c r="I1433" s="184"/>
      <c r="J1433" s="186"/>
      <c r="K1433" s="186"/>
      <c r="L1433" s="186"/>
      <c r="M1433" s="186"/>
      <c r="N1433" s="186"/>
      <c r="O1433" s="186"/>
      <c r="P1433" s="188"/>
      <c r="Q1433" s="186"/>
      <c r="R1433" s="186"/>
    </row>
    <row r="1434" spans="7:18">
      <c r="G1434" s="133"/>
      <c r="H1434" s="184"/>
      <c r="I1434" s="184"/>
      <c r="J1434" s="186"/>
      <c r="K1434" s="186"/>
      <c r="L1434" s="186"/>
      <c r="M1434" s="186"/>
      <c r="N1434" s="186"/>
      <c r="O1434" s="186"/>
      <c r="P1434" s="188"/>
      <c r="Q1434" s="186"/>
      <c r="R1434" s="186"/>
    </row>
    <row r="1435" spans="7:18">
      <c r="G1435" s="133"/>
      <c r="H1435" s="184"/>
      <c r="I1435" s="184"/>
      <c r="J1435" s="186"/>
      <c r="K1435" s="186"/>
      <c r="L1435" s="186"/>
      <c r="M1435" s="186"/>
      <c r="N1435" s="186"/>
      <c r="O1435" s="186"/>
      <c r="P1435" s="188"/>
      <c r="Q1435" s="186"/>
      <c r="R1435" s="186"/>
    </row>
    <row r="1436" spans="7:18">
      <c r="G1436" s="133"/>
      <c r="H1436" s="184"/>
      <c r="I1436" s="184"/>
      <c r="J1436" s="186"/>
      <c r="K1436" s="186"/>
      <c r="L1436" s="186"/>
      <c r="M1436" s="186"/>
      <c r="N1436" s="186"/>
      <c r="O1436" s="186"/>
      <c r="P1436" s="188"/>
      <c r="Q1436" s="186"/>
      <c r="R1436" s="186"/>
    </row>
    <row r="1437" spans="7:18">
      <c r="G1437" s="133"/>
      <c r="H1437" s="184"/>
      <c r="I1437" s="184"/>
      <c r="J1437" s="186"/>
      <c r="K1437" s="186"/>
      <c r="L1437" s="186"/>
      <c r="M1437" s="186"/>
      <c r="N1437" s="186"/>
      <c r="O1437" s="186"/>
      <c r="P1437" s="188"/>
      <c r="Q1437" s="186"/>
      <c r="R1437" s="186"/>
    </row>
    <row r="1438" spans="7:18">
      <c r="G1438" s="133"/>
      <c r="H1438" s="184"/>
      <c r="I1438" s="184"/>
      <c r="J1438" s="186"/>
      <c r="K1438" s="186"/>
      <c r="L1438" s="186"/>
      <c r="M1438" s="186"/>
      <c r="N1438" s="186"/>
      <c r="O1438" s="186"/>
      <c r="P1438" s="188"/>
      <c r="Q1438" s="186"/>
      <c r="R1438" s="186"/>
    </row>
    <row r="1439" spans="7:18">
      <c r="G1439" s="133"/>
      <c r="H1439" s="184"/>
      <c r="I1439" s="184"/>
      <c r="J1439" s="186"/>
      <c r="K1439" s="186"/>
      <c r="L1439" s="186"/>
      <c r="M1439" s="186"/>
      <c r="N1439" s="186"/>
      <c r="O1439" s="186"/>
      <c r="P1439" s="188"/>
      <c r="Q1439" s="186"/>
      <c r="R1439" s="186"/>
    </row>
    <row r="1440" spans="7:18">
      <c r="G1440" s="133"/>
      <c r="H1440" s="184"/>
      <c r="I1440" s="184"/>
      <c r="J1440" s="186"/>
      <c r="K1440" s="186"/>
      <c r="L1440" s="186"/>
      <c r="M1440" s="186"/>
      <c r="N1440" s="186"/>
      <c r="O1440" s="186"/>
      <c r="P1440" s="188"/>
      <c r="Q1440" s="186"/>
      <c r="R1440" s="186"/>
    </row>
    <row r="1441" spans="7:18">
      <c r="G1441" s="133"/>
      <c r="H1441" s="184"/>
      <c r="I1441" s="184"/>
      <c r="J1441" s="186"/>
      <c r="K1441" s="186"/>
      <c r="L1441" s="186"/>
      <c r="M1441" s="186"/>
      <c r="N1441" s="186"/>
      <c r="O1441" s="186"/>
      <c r="P1441" s="188"/>
      <c r="Q1441" s="186"/>
      <c r="R1441" s="186"/>
    </row>
    <row r="1442" spans="7:18">
      <c r="G1442" s="133"/>
      <c r="H1442" s="184"/>
      <c r="I1442" s="184"/>
      <c r="J1442" s="186"/>
      <c r="K1442" s="186"/>
      <c r="L1442" s="186"/>
      <c r="M1442" s="186"/>
      <c r="N1442" s="186"/>
      <c r="O1442" s="186"/>
      <c r="P1442" s="188"/>
      <c r="Q1442" s="186"/>
      <c r="R1442" s="186"/>
    </row>
    <row r="1443" spans="7:18">
      <c r="G1443" s="133"/>
      <c r="H1443" s="184"/>
      <c r="I1443" s="184"/>
      <c r="J1443" s="186"/>
      <c r="K1443" s="186"/>
      <c r="L1443" s="186"/>
      <c r="M1443" s="186"/>
      <c r="N1443" s="186"/>
      <c r="O1443" s="186"/>
      <c r="P1443" s="188"/>
      <c r="Q1443" s="186"/>
      <c r="R1443" s="186"/>
    </row>
    <row r="1444" spans="7:18">
      <c r="G1444" s="133"/>
      <c r="H1444" s="184"/>
      <c r="I1444" s="184"/>
      <c r="J1444" s="186"/>
      <c r="K1444" s="186"/>
      <c r="L1444" s="186"/>
      <c r="M1444" s="186"/>
      <c r="N1444" s="186"/>
      <c r="O1444" s="186"/>
      <c r="P1444" s="188"/>
      <c r="Q1444" s="186"/>
      <c r="R1444" s="186"/>
    </row>
    <row r="1445" spans="7:18">
      <c r="G1445" s="133"/>
      <c r="H1445" s="184"/>
      <c r="I1445" s="184"/>
      <c r="J1445" s="186"/>
      <c r="K1445" s="186"/>
      <c r="L1445" s="186"/>
      <c r="M1445" s="186"/>
      <c r="N1445" s="186"/>
      <c r="O1445" s="186"/>
      <c r="P1445" s="188"/>
      <c r="Q1445" s="186"/>
      <c r="R1445" s="186"/>
    </row>
    <row r="1446" spans="7:18">
      <c r="G1446" s="133"/>
      <c r="H1446" s="184"/>
      <c r="I1446" s="184"/>
      <c r="J1446" s="186"/>
      <c r="K1446" s="186"/>
      <c r="L1446" s="186"/>
      <c r="M1446" s="186"/>
      <c r="N1446" s="186"/>
      <c r="O1446" s="186"/>
      <c r="P1446" s="188"/>
      <c r="Q1446" s="186"/>
      <c r="R1446" s="186"/>
    </row>
    <row r="1447" spans="7:18">
      <c r="G1447" s="133"/>
      <c r="H1447" s="184"/>
      <c r="I1447" s="184"/>
      <c r="J1447" s="186"/>
      <c r="K1447" s="186"/>
      <c r="L1447" s="186"/>
      <c r="M1447" s="186"/>
      <c r="N1447" s="186"/>
      <c r="O1447" s="186"/>
      <c r="P1447" s="188"/>
      <c r="Q1447" s="186"/>
      <c r="R1447" s="186"/>
    </row>
    <row r="1448" spans="7:18">
      <c r="G1448" s="133"/>
      <c r="H1448" s="184"/>
      <c r="I1448" s="184"/>
      <c r="J1448" s="186"/>
      <c r="K1448" s="186"/>
      <c r="L1448" s="186"/>
      <c r="M1448" s="186"/>
      <c r="N1448" s="186"/>
      <c r="O1448" s="186"/>
      <c r="P1448" s="188"/>
      <c r="Q1448" s="186"/>
      <c r="R1448" s="186"/>
    </row>
    <row r="1449" spans="7:18">
      <c r="G1449" s="133"/>
      <c r="H1449" s="184"/>
      <c r="I1449" s="184"/>
      <c r="J1449" s="186"/>
      <c r="K1449" s="186"/>
      <c r="L1449" s="186"/>
      <c r="M1449" s="186"/>
      <c r="N1449" s="186"/>
      <c r="O1449" s="186"/>
      <c r="P1449" s="188"/>
      <c r="Q1449" s="186"/>
      <c r="R1449" s="186"/>
    </row>
    <row r="1450" spans="7:18">
      <c r="G1450" s="133"/>
      <c r="H1450" s="184"/>
      <c r="I1450" s="184"/>
      <c r="J1450" s="186"/>
      <c r="K1450" s="186"/>
      <c r="L1450" s="186"/>
      <c r="M1450" s="186"/>
      <c r="N1450" s="186"/>
      <c r="O1450" s="186"/>
      <c r="P1450" s="188"/>
      <c r="Q1450" s="186"/>
      <c r="R1450" s="186"/>
    </row>
    <row r="1451" spans="7:18">
      <c r="G1451" s="133"/>
      <c r="H1451" s="184"/>
      <c r="I1451" s="184"/>
      <c r="J1451" s="186"/>
      <c r="K1451" s="186"/>
      <c r="L1451" s="186"/>
      <c r="M1451" s="186"/>
      <c r="N1451" s="186"/>
      <c r="O1451" s="186"/>
      <c r="P1451" s="188"/>
      <c r="Q1451" s="186"/>
      <c r="R1451" s="186"/>
    </row>
    <row r="1452" spans="7:18">
      <c r="G1452" s="133"/>
      <c r="H1452" s="184"/>
      <c r="I1452" s="184"/>
      <c r="J1452" s="186"/>
      <c r="K1452" s="186"/>
      <c r="L1452" s="186"/>
      <c r="M1452" s="186"/>
      <c r="N1452" s="186"/>
      <c r="O1452" s="186"/>
      <c r="P1452" s="188"/>
      <c r="Q1452" s="186"/>
      <c r="R1452" s="186"/>
    </row>
    <row r="1453" spans="7:18">
      <c r="G1453" s="133"/>
      <c r="H1453" s="184"/>
      <c r="I1453" s="184"/>
      <c r="J1453" s="186"/>
      <c r="K1453" s="186"/>
      <c r="L1453" s="186"/>
      <c r="M1453" s="186"/>
      <c r="N1453" s="186"/>
      <c r="O1453" s="186"/>
      <c r="P1453" s="188"/>
      <c r="Q1453" s="186"/>
      <c r="R1453" s="186"/>
    </row>
    <row r="1454" spans="7:18">
      <c r="G1454" s="133"/>
      <c r="H1454" s="184"/>
      <c r="I1454" s="184"/>
      <c r="J1454" s="186"/>
      <c r="K1454" s="186"/>
      <c r="L1454" s="186"/>
      <c r="M1454" s="186"/>
      <c r="N1454" s="186"/>
      <c r="O1454" s="186"/>
      <c r="P1454" s="188"/>
      <c r="Q1454" s="186"/>
      <c r="R1454" s="186"/>
    </row>
    <row r="1455" spans="7:18">
      <c r="G1455" s="133"/>
      <c r="H1455" s="184"/>
      <c r="I1455" s="184"/>
      <c r="J1455" s="186"/>
      <c r="K1455" s="186"/>
      <c r="L1455" s="186"/>
      <c r="M1455" s="186"/>
      <c r="N1455" s="186"/>
      <c r="O1455" s="186"/>
      <c r="P1455" s="188"/>
      <c r="Q1455" s="186"/>
      <c r="R1455" s="186"/>
    </row>
    <row r="1456" spans="7:18">
      <c r="G1456" s="133"/>
      <c r="H1456" s="184"/>
      <c r="I1456" s="184"/>
      <c r="J1456" s="186"/>
      <c r="K1456" s="186"/>
      <c r="L1456" s="186"/>
      <c r="M1456" s="186"/>
      <c r="N1456" s="186"/>
      <c r="O1456" s="186"/>
      <c r="P1456" s="188"/>
      <c r="Q1456" s="186"/>
      <c r="R1456" s="186"/>
    </row>
    <row r="1457" spans="7:18">
      <c r="G1457" s="133"/>
      <c r="H1457" s="184"/>
      <c r="I1457" s="184"/>
      <c r="J1457" s="186"/>
      <c r="K1457" s="186"/>
      <c r="L1457" s="186"/>
      <c r="M1457" s="186"/>
      <c r="N1457" s="186"/>
      <c r="O1457" s="186"/>
      <c r="P1457" s="188"/>
      <c r="Q1457" s="186"/>
      <c r="R1457" s="186"/>
    </row>
    <row r="1458" spans="7:18">
      <c r="G1458" s="133"/>
      <c r="H1458" s="184"/>
      <c r="I1458" s="184"/>
      <c r="J1458" s="186"/>
      <c r="K1458" s="186"/>
      <c r="L1458" s="186"/>
      <c r="M1458" s="186"/>
      <c r="N1458" s="186"/>
      <c r="O1458" s="186"/>
      <c r="P1458" s="188"/>
      <c r="Q1458" s="186"/>
      <c r="R1458" s="186"/>
    </row>
    <row r="1459" spans="7:18">
      <c r="G1459" s="133"/>
      <c r="H1459" s="184"/>
      <c r="I1459" s="184"/>
      <c r="J1459" s="186"/>
      <c r="K1459" s="186"/>
      <c r="L1459" s="186"/>
      <c r="M1459" s="186"/>
      <c r="N1459" s="186"/>
      <c r="O1459" s="186"/>
      <c r="P1459" s="188"/>
      <c r="Q1459" s="186"/>
      <c r="R1459" s="186"/>
    </row>
    <row r="1460" spans="7:18">
      <c r="G1460" s="133"/>
      <c r="H1460" s="184"/>
      <c r="I1460" s="184"/>
      <c r="J1460" s="186"/>
      <c r="K1460" s="186"/>
      <c r="L1460" s="186"/>
      <c r="M1460" s="186"/>
      <c r="N1460" s="186"/>
      <c r="O1460" s="186"/>
      <c r="P1460" s="188"/>
      <c r="Q1460" s="186"/>
      <c r="R1460" s="186"/>
    </row>
    <row r="1461" spans="7:18">
      <c r="G1461" s="133"/>
      <c r="H1461" s="184"/>
      <c r="I1461" s="184"/>
      <c r="J1461" s="186"/>
      <c r="K1461" s="186"/>
      <c r="L1461" s="186"/>
      <c r="M1461" s="186"/>
      <c r="N1461" s="186"/>
      <c r="O1461" s="186"/>
      <c r="P1461" s="188"/>
      <c r="Q1461" s="186"/>
      <c r="R1461" s="186"/>
    </row>
    <row r="1462" spans="7:18">
      <c r="G1462" s="133"/>
      <c r="H1462" s="184"/>
      <c r="I1462" s="184"/>
      <c r="J1462" s="186"/>
      <c r="K1462" s="186"/>
      <c r="L1462" s="186"/>
      <c r="M1462" s="186"/>
      <c r="N1462" s="186"/>
      <c r="O1462" s="186"/>
      <c r="P1462" s="188"/>
      <c r="Q1462" s="186"/>
      <c r="R1462" s="186"/>
    </row>
    <row r="1463" spans="7:18">
      <c r="G1463" s="133"/>
      <c r="H1463" s="184"/>
      <c r="I1463" s="184"/>
      <c r="J1463" s="186"/>
      <c r="K1463" s="186"/>
      <c r="L1463" s="186"/>
      <c r="M1463" s="186"/>
      <c r="N1463" s="186"/>
      <c r="O1463" s="186"/>
      <c r="P1463" s="188"/>
      <c r="Q1463" s="186"/>
      <c r="R1463" s="186"/>
    </row>
    <row r="1464" spans="7:18">
      <c r="G1464" s="133"/>
      <c r="H1464" s="184"/>
      <c r="I1464" s="184"/>
      <c r="J1464" s="186"/>
      <c r="K1464" s="186"/>
      <c r="L1464" s="186"/>
      <c r="M1464" s="186"/>
      <c r="N1464" s="186"/>
      <c r="O1464" s="186"/>
      <c r="P1464" s="188"/>
      <c r="Q1464" s="186"/>
      <c r="R1464" s="186"/>
    </row>
    <row r="1465" spans="7:18">
      <c r="G1465" s="133"/>
      <c r="H1465" s="184"/>
      <c r="I1465" s="184"/>
      <c r="J1465" s="186"/>
      <c r="K1465" s="186"/>
      <c r="L1465" s="186"/>
      <c r="M1465" s="186"/>
      <c r="N1465" s="186"/>
      <c r="O1465" s="186"/>
      <c r="P1465" s="188"/>
      <c r="Q1465" s="186"/>
      <c r="R1465" s="186"/>
    </row>
    <row r="1466" spans="7:18">
      <c r="G1466" s="133"/>
      <c r="H1466" s="184"/>
      <c r="I1466" s="184"/>
      <c r="J1466" s="186"/>
      <c r="K1466" s="186"/>
      <c r="L1466" s="186"/>
      <c r="M1466" s="186"/>
      <c r="N1466" s="186"/>
      <c r="O1466" s="186"/>
      <c r="P1466" s="188"/>
      <c r="Q1466" s="186"/>
      <c r="R1466" s="186"/>
    </row>
    <row r="1467" spans="7:18">
      <c r="G1467" s="133"/>
      <c r="H1467" s="184"/>
      <c r="I1467" s="184"/>
      <c r="J1467" s="186"/>
      <c r="K1467" s="186"/>
      <c r="L1467" s="186"/>
      <c r="M1467" s="186"/>
      <c r="N1467" s="186"/>
      <c r="O1467" s="186"/>
      <c r="P1467" s="188"/>
      <c r="Q1467" s="186"/>
      <c r="R1467" s="186"/>
    </row>
    <row r="1468" spans="7:18">
      <c r="G1468" s="133"/>
      <c r="H1468" s="184"/>
      <c r="I1468" s="184"/>
      <c r="J1468" s="186"/>
      <c r="K1468" s="186"/>
      <c r="L1468" s="186"/>
      <c r="M1468" s="186"/>
      <c r="N1468" s="186"/>
      <c r="O1468" s="186"/>
      <c r="P1468" s="188"/>
      <c r="Q1468" s="186"/>
      <c r="R1468" s="186"/>
    </row>
    <row r="1469" spans="7:18">
      <c r="G1469" s="133"/>
      <c r="H1469" s="184"/>
      <c r="I1469" s="184"/>
      <c r="J1469" s="186"/>
      <c r="K1469" s="186"/>
      <c r="L1469" s="186"/>
      <c r="M1469" s="186"/>
      <c r="N1469" s="186"/>
      <c r="O1469" s="186"/>
      <c r="P1469" s="188"/>
      <c r="Q1469" s="186"/>
      <c r="R1469" s="186"/>
    </row>
    <row r="1470" spans="7:18">
      <c r="G1470" s="133"/>
      <c r="H1470" s="184"/>
      <c r="I1470" s="184"/>
      <c r="J1470" s="186"/>
      <c r="K1470" s="186"/>
      <c r="L1470" s="186"/>
      <c r="M1470" s="186"/>
      <c r="N1470" s="186"/>
      <c r="O1470" s="186"/>
      <c r="P1470" s="188"/>
      <c r="Q1470" s="186"/>
      <c r="R1470" s="186"/>
    </row>
    <row r="1471" spans="7:18">
      <c r="G1471" s="133"/>
      <c r="H1471" s="184"/>
      <c r="I1471" s="184"/>
      <c r="J1471" s="186"/>
      <c r="K1471" s="186"/>
      <c r="L1471" s="186"/>
      <c r="M1471" s="186"/>
      <c r="N1471" s="186"/>
      <c r="O1471" s="186"/>
      <c r="P1471" s="188"/>
      <c r="Q1471" s="186"/>
      <c r="R1471" s="186"/>
    </row>
    <row r="1472" spans="7:18">
      <c r="G1472" s="133"/>
      <c r="H1472" s="184"/>
      <c r="I1472" s="184"/>
      <c r="J1472" s="186"/>
      <c r="K1472" s="186"/>
      <c r="L1472" s="186"/>
      <c r="M1472" s="186"/>
      <c r="N1472" s="186"/>
      <c r="O1472" s="186"/>
      <c r="P1472" s="188"/>
      <c r="Q1472" s="186"/>
      <c r="R1472" s="186"/>
    </row>
    <row r="1473" spans="7:18">
      <c r="G1473" s="133"/>
      <c r="H1473" s="184"/>
      <c r="I1473" s="184"/>
      <c r="J1473" s="186"/>
      <c r="K1473" s="186"/>
      <c r="L1473" s="186"/>
      <c r="M1473" s="186"/>
      <c r="N1473" s="186"/>
      <c r="O1473" s="186"/>
      <c r="P1473" s="188"/>
      <c r="Q1473" s="186"/>
      <c r="R1473" s="186"/>
    </row>
    <row r="1474" spans="7:18">
      <c r="G1474" s="133"/>
      <c r="H1474" s="184"/>
      <c r="I1474" s="184"/>
      <c r="J1474" s="186"/>
      <c r="K1474" s="186"/>
      <c r="L1474" s="186"/>
      <c r="M1474" s="186"/>
      <c r="N1474" s="186"/>
      <c r="O1474" s="186"/>
      <c r="P1474" s="188"/>
      <c r="Q1474" s="186"/>
      <c r="R1474" s="186"/>
    </row>
    <row r="1475" spans="7:18">
      <c r="G1475" s="133"/>
      <c r="H1475" s="184"/>
      <c r="I1475" s="184"/>
      <c r="J1475" s="186"/>
      <c r="K1475" s="186"/>
      <c r="L1475" s="186"/>
      <c r="M1475" s="186"/>
      <c r="N1475" s="186"/>
      <c r="O1475" s="186"/>
      <c r="P1475" s="188"/>
      <c r="Q1475" s="186"/>
      <c r="R1475" s="186"/>
    </row>
    <row r="1476" spans="7:18">
      <c r="G1476" s="133"/>
      <c r="H1476" s="184"/>
      <c r="I1476" s="184"/>
      <c r="J1476" s="186"/>
      <c r="K1476" s="186"/>
      <c r="L1476" s="186"/>
      <c r="M1476" s="186"/>
      <c r="N1476" s="186"/>
      <c r="O1476" s="186"/>
      <c r="P1476" s="188"/>
      <c r="Q1476" s="186"/>
      <c r="R1476" s="186"/>
    </row>
    <row r="1477" spans="7:18">
      <c r="G1477" s="133"/>
      <c r="H1477" s="184"/>
      <c r="I1477" s="184"/>
      <c r="J1477" s="186"/>
      <c r="K1477" s="186"/>
      <c r="L1477" s="186"/>
      <c r="M1477" s="186"/>
      <c r="N1477" s="186"/>
      <c r="O1477" s="186"/>
      <c r="P1477" s="188"/>
      <c r="Q1477" s="186"/>
      <c r="R1477" s="186"/>
    </row>
    <row r="1478" spans="7:18">
      <c r="G1478" s="133"/>
      <c r="H1478" s="184"/>
      <c r="I1478" s="184"/>
      <c r="J1478" s="186"/>
      <c r="K1478" s="186"/>
      <c r="L1478" s="186"/>
      <c r="M1478" s="186"/>
      <c r="N1478" s="186"/>
      <c r="O1478" s="186"/>
      <c r="P1478" s="188"/>
      <c r="Q1478" s="186"/>
      <c r="R1478" s="186"/>
    </row>
    <row r="1479" spans="7:18">
      <c r="G1479" s="133"/>
      <c r="H1479" s="184"/>
      <c r="I1479" s="184"/>
      <c r="J1479" s="186"/>
      <c r="K1479" s="186"/>
      <c r="L1479" s="186"/>
      <c r="M1479" s="186"/>
      <c r="N1479" s="186"/>
      <c r="O1479" s="186"/>
      <c r="P1479" s="188"/>
      <c r="Q1479" s="186"/>
      <c r="R1479" s="186"/>
    </row>
    <row r="1480" spans="7:18">
      <c r="G1480" s="133"/>
      <c r="H1480" s="184"/>
      <c r="I1480" s="184"/>
      <c r="J1480" s="186"/>
      <c r="K1480" s="186"/>
      <c r="L1480" s="186"/>
      <c r="M1480" s="186"/>
      <c r="N1480" s="186"/>
      <c r="O1480" s="186"/>
      <c r="P1480" s="188"/>
      <c r="Q1480" s="186"/>
      <c r="R1480" s="186"/>
    </row>
    <row r="1481" spans="7:18">
      <c r="G1481" s="133"/>
      <c r="H1481" s="184"/>
      <c r="I1481" s="184"/>
      <c r="J1481" s="186"/>
      <c r="K1481" s="186"/>
      <c r="L1481" s="186"/>
      <c r="M1481" s="186"/>
      <c r="N1481" s="186"/>
      <c r="O1481" s="186"/>
      <c r="P1481" s="188"/>
      <c r="Q1481" s="186"/>
      <c r="R1481" s="186"/>
    </row>
    <row r="1482" spans="7:18">
      <c r="G1482" s="133"/>
      <c r="H1482" s="184"/>
      <c r="I1482" s="184"/>
      <c r="J1482" s="186"/>
      <c r="K1482" s="186"/>
      <c r="L1482" s="186"/>
      <c r="M1482" s="186"/>
      <c r="N1482" s="186"/>
      <c r="O1482" s="186"/>
      <c r="P1482" s="188"/>
      <c r="Q1482" s="186"/>
      <c r="R1482" s="186"/>
    </row>
    <row r="1483" spans="7:18">
      <c r="G1483" s="133"/>
      <c r="H1483" s="184"/>
      <c r="I1483" s="184"/>
      <c r="J1483" s="186"/>
      <c r="K1483" s="186"/>
      <c r="L1483" s="186"/>
      <c r="M1483" s="186"/>
      <c r="N1483" s="186"/>
      <c r="O1483" s="186"/>
      <c r="P1483" s="188"/>
      <c r="Q1483" s="186"/>
      <c r="R1483" s="186"/>
    </row>
    <row r="1484" spans="7:18">
      <c r="G1484" s="133"/>
      <c r="H1484" s="184"/>
      <c r="I1484" s="184"/>
      <c r="J1484" s="186"/>
      <c r="K1484" s="186"/>
      <c r="L1484" s="186"/>
      <c r="M1484" s="186"/>
      <c r="N1484" s="186"/>
      <c r="O1484" s="186"/>
      <c r="P1484" s="188"/>
      <c r="Q1484" s="186"/>
      <c r="R1484" s="186"/>
    </row>
    <row r="1485" spans="7:18">
      <c r="G1485" s="133"/>
      <c r="H1485" s="184"/>
      <c r="I1485" s="184"/>
      <c r="J1485" s="186"/>
      <c r="K1485" s="186"/>
      <c r="L1485" s="186"/>
      <c r="M1485" s="186"/>
      <c r="N1485" s="186"/>
      <c r="O1485" s="186"/>
      <c r="P1485" s="188"/>
      <c r="Q1485" s="186"/>
      <c r="R1485" s="186"/>
    </row>
    <row r="1486" spans="7:18">
      <c r="G1486" s="133"/>
      <c r="H1486" s="184"/>
      <c r="I1486" s="184"/>
      <c r="J1486" s="186"/>
      <c r="K1486" s="186"/>
      <c r="L1486" s="186"/>
      <c r="M1486" s="186"/>
      <c r="N1486" s="186"/>
      <c r="O1486" s="186"/>
      <c r="P1486" s="188"/>
      <c r="Q1486" s="186"/>
      <c r="R1486" s="186"/>
    </row>
    <row r="1487" spans="7:18">
      <c r="G1487" s="133"/>
      <c r="H1487" s="184"/>
      <c r="I1487" s="184"/>
      <c r="J1487" s="186"/>
      <c r="K1487" s="186"/>
      <c r="L1487" s="186"/>
      <c r="M1487" s="186"/>
      <c r="N1487" s="186"/>
      <c r="O1487" s="186"/>
      <c r="P1487" s="188"/>
      <c r="Q1487" s="186"/>
      <c r="R1487" s="186"/>
    </row>
    <row r="1488" spans="7:18">
      <c r="G1488" s="133"/>
      <c r="H1488" s="184"/>
      <c r="I1488" s="184"/>
      <c r="J1488" s="186"/>
      <c r="K1488" s="186"/>
      <c r="L1488" s="186"/>
      <c r="M1488" s="186"/>
      <c r="N1488" s="186"/>
      <c r="O1488" s="186"/>
      <c r="P1488" s="188"/>
      <c r="Q1488" s="186"/>
      <c r="R1488" s="186"/>
    </row>
    <row r="1489" spans="7:18">
      <c r="G1489" s="133"/>
      <c r="H1489" s="184"/>
      <c r="I1489" s="184"/>
      <c r="J1489" s="186"/>
      <c r="K1489" s="186"/>
      <c r="L1489" s="186"/>
      <c r="M1489" s="186"/>
      <c r="N1489" s="186"/>
      <c r="O1489" s="186"/>
      <c r="P1489" s="188"/>
      <c r="Q1489" s="186"/>
      <c r="R1489" s="186"/>
    </row>
    <row r="1490" spans="7:18">
      <c r="G1490" s="133"/>
      <c r="H1490" s="184"/>
      <c r="I1490" s="184"/>
      <c r="J1490" s="186"/>
      <c r="K1490" s="186"/>
      <c r="L1490" s="186"/>
      <c r="M1490" s="186"/>
      <c r="N1490" s="186"/>
      <c r="O1490" s="186"/>
      <c r="P1490" s="188"/>
      <c r="Q1490" s="186"/>
      <c r="R1490" s="186"/>
    </row>
    <row r="1491" spans="7:18">
      <c r="G1491" s="133"/>
      <c r="H1491" s="184"/>
      <c r="I1491" s="184"/>
      <c r="J1491" s="186"/>
      <c r="K1491" s="186"/>
      <c r="L1491" s="186"/>
      <c r="M1491" s="186"/>
      <c r="N1491" s="186"/>
      <c r="O1491" s="186"/>
      <c r="P1491" s="188"/>
      <c r="Q1491" s="186"/>
      <c r="R1491" s="186"/>
    </row>
    <row r="1492" spans="7:18">
      <c r="G1492" s="133"/>
      <c r="H1492" s="184"/>
      <c r="I1492" s="184"/>
      <c r="J1492" s="186"/>
      <c r="K1492" s="186"/>
      <c r="L1492" s="186"/>
      <c r="M1492" s="186"/>
      <c r="N1492" s="186"/>
      <c r="O1492" s="186"/>
      <c r="P1492" s="188"/>
      <c r="Q1492" s="186"/>
      <c r="R1492" s="186"/>
    </row>
    <row r="1493" spans="7:18">
      <c r="G1493" s="133"/>
      <c r="H1493" s="184"/>
      <c r="I1493" s="184"/>
      <c r="J1493" s="186"/>
      <c r="K1493" s="186"/>
      <c r="L1493" s="186"/>
      <c r="M1493" s="186"/>
      <c r="N1493" s="186"/>
      <c r="O1493" s="186"/>
      <c r="P1493" s="188"/>
      <c r="Q1493" s="186"/>
      <c r="R1493" s="186"/>
    </row>
    <row r="1494" spans="7:18">
      <c r="G1494" s="133"/>
      <c r="H1494" s="184"/>
      <c r="I1494" s="184"/>
      <c r="J1494" s="186"/>
      <c r="K1494" s="186"/>
      <c r="L1494" s="186"/>
      <c r="M1494" s="186"/>
      <c r="N1494" s="186"/>
      <c r="O1494" s="186"/>
      <c r="P1494" s="188"/>
      <c r="Q1494" s="186"/>
      <c r="R1494" s="186"/>
    </row>
    <row r="1495" spans="7:18">
      <c r="G1495" s="133"/>
      <c r="H1495" s="184"/>
      <c r="I1495" s="184"/>
      <c r="J1495" s="186"/>
      <c r="K1495" s="186"/>
      <c r="L1495" s="186"/>
      <c r="M1495" s="186"/>
      <c r="N1495" s="186"/>
      <c r="O1495" s="186"/>
      <c r="P1495" s="188"/>
      <c r="Q1495" s="186"/>
      <c r="R1495" s="186"/>
    </row>
    <row r="1496" spans="7:18">
      <c r="G1496" s="133"/>
      <c r="H1496" s="184"/>
      <c r="I1496" s="184"/>
      <c r="J1496" s="186"/>
      <c r="K1496" s="186"/>
      <c r="L1496" s="186"/>
      <c r="M1496" s="186"/>
      <c r="N1496" s="186"/>
      <c r="O1496" s="186"/>
      <c r="P1496" s="188"/>
      <c r="Q1496" s="186"/>
      <c r="R1496" s="186"/>
    </row>
    <row r="1497" spans="7:18">
      <c r="G1497" s="133"/>
      <c r="H1497" s="184"/>
      <c r="I1497" s="184"/>
      <c r="J1497" s="186"/>
      <c r="K1497" s="186"/>
      <c r="L1497" s="186"/>
      <c r="M1497" s="186"/>
      <c r="N1497" s="186"/>
      <c r="O1497" s="186"/>
      <c r="P1497" s="188"/>
      <c r="Q1497" s="186"/>
      <c r="R1497" s="186"/>
    </row>
    <row r="1498" spans="7:18">
      <c r="G1498" s="133"/>
      <c r="H1498" s="184"/>
      <c r="I1498" s="184"/>
      <c r="J1498" s="186"/>
      <c r="K1498" s="186"/>
      <c r="L1498" s="186"/>
      <c r="M1498" s="186"/>
      <c r="N1498" s="186"/>
      <c r="O1498" s="186"/>
      <c r="P1498" s="188"/>
      <c r="Q1498" s="186"/>
      <c r="R1498" s="186"/>
    </row>
    <row r="1499" spans="7:18">
      <c r="G1499" s="133"/>
      <c r="H1499" s="184"/>
      <c r="I1499" s="184"/>
      <c r="J1499" s="186"/>
      <c r="K1499" s="186"/>
      <c r="L1499" s="186"/>
      <c r="M1499" s="186"/>
      <c r="N1499" s="186"/>
      <c r="O1499" s="186"/>
      <c r="P1499" s="188"/>
      <c r="Q1499" s="186"/>
      <c r="R1499" s="186"/>
    </row>
    <row r="1500" spans="7:18">
      <c r="G1500" s="133"/>
      <c r="H1500" s="184"/>
      <c r="I1500" s="184"/>
      <c r="J1500" s="186"/>
      <c r="K1500" s="186"/>
      <c r="L1500" s="186"/>
      <c r="M1500" s="186"/>
      <c r="N1500" s="186"/>
      <c r="O1500" s="186"/>
      <c r="P1500" s="188"/>
      <c r="Q1500" s="186"/>
      <c r="R1500" s="186"/>
    </row>
    <row r="1501" spans="7:18">
      <c r="G1501" s="133"/>
      <c r="H1501" s="184"/>
      <c r="I1501" s="184"/>
      <c r="J1501" s="186"/>
      <c r="K1501" s="186"/>
      <c r="L1501" s="186"/>
      <c r="M1501" s="186"/>
      <c r="N1501" s="186"/>
      <c r="O1501" s="186"/>
      <c r="P1501" s="188"/>
      <c r="Q1501" s="186"/>
      <c r="R1501" s="186"/>
    </row>
    <row r="1502" spans="7:18">
      <c r="G1502" s="133"/>
      <c r="H1502" s="184"/>
      <c r="I1502" s="184"/>
      <c r="J1502" s="186"/>
      <c r="K1502" s="186"/>
      <c r="L1502" s="186"/>
      <c r="M1502" s="186"/>
      <c r="N1502" s="186"/>
      <c r="O1502" s="186"/>
      <c r="P1502" s="188"/>
      <c r="Q1502" s="186"/>
      <c r="R1502" s="186"/>
    </row>
    <row r="1503" spans="7:18">
      <c r="G1503" s="133"/>
      <c r="H1503" s="184"/>
      <c r="I1503" s="184"/>
      <c r="J1503" s="186"/>
      <c r="K1503" s="186"/>
      <c r="L1503" s="186"/>
      <c r="M1503" s="186"/>
      <c r="N1503" s="186"/>
      <c r="O1503" s="186"/>
      <c r="P1503" s="188"/>
      <c r="Q1503" s="186"/>
      <c r="R1503" s="186"/>
    </row>
    <row r="1504" spans="7:18">
      <c r="G1504" s="133"/>
      <c r="H1504" s="184"/>
      <c r="I1504" s="184"/>
      <c r="J1504" s="186"/>
      <c r="K1504" s="186"/>
      <c r="L1504" s="186"/>
      <c r="M1504" s="186"/>
      <c r="N1504" s="186"/>
      <c r="O1504" s="186"/>
      <c r="P1504" s="188"/>
      <c r="Q1504" s="186"/>
      <c r="R1504" s="186"/>
    </row>
    <row r="1505" spans="7:18">
      <c r="G1505" s="133"/>
      <c r="H1505" s="184"/>
      <c r="I1505" s="184"/>
      <c r="J1505" s="186"/>
      <c r="K1505" s="186"/>
      <c r="L1505" s="186"/>
      <c r="M1505" s="186"/>
      <c r="N1505" s="186"/>
      <c r="O1505" s="186"/>
      <c r="P1505" s="188"/>
      <c r="Q1505" s="186"/>
      <c r="R1505" s="186"/>
    </row>
    <row r="1506" spans="7:18">
      <c r="G1506" s="133"/>
      <c r="H1506" s="184"/>
      <c r="I1506" s="184"/>
      <c r="J1506" s="186"/>
      <c r="K1506" s="186"/>
      <c r="L1506" s="186"/>
      <c r="M1506" s="186"/>
      <c r="N1506" s="186"/>
      <c r="O1506" s="186"/>
      <c r="P1506" s="188"/>
      <c r="Q1506" s="186"/>
      <c r="R1506" s="186"/>
    </row>
    <row r="1507" spans="7:18">
      <c r="G1507" s="133"/>
      <c r="H1507" s="184"/>
      <c r="I1507" s="184"/>
      <c r="J1507" s="186"/>
      <c r="K1507" s="186"/>
      <c r="L1507" s="186"/>
      <c r="M1507" s="186"/>
      <c r="N1507" s="186"/>
      <c r="O1507" s="186"/>
      <c r="P1507" s="188"/>
      <c r="Q1507" s="186"/>
      <c r="R1507" s="186"/>
    </row>
    <row r="1508" spans="7:18">
      <c r="G1508" s="133"/>
      <c r="H1508" s="184"/>
      <c r="I1508" s="184"/>
      <c r="J1508" s="186"/>
      <c r="K1508" s="186"/>
      <c r="L1508" s="186"/>
      <c r="M1508" s="186"/>
      <c r="N1508" s="186"/>
      <c r="O1508" s="186"/>
      <c r="P1508" s="188"/>
      <c r="Q1508" s="186"/>
      <c r="R1508" s="186"/>
    </row>
    <row r="1509" spans="7:18">
      <c r="G1509" s="133"/>
      <c r="H1509" s="184"/>
      <c r="I1509" s="184"/>
      <c r="J1509" s="186"/>
      <c r="K1509" s="186"/>
      <c r="L1509" s="186"/>
      <c r="M1509" s="186"/>
      <c r="N1509" s="186"/>
      <c r="O1509" s="186"/>
      <c r="P1509" s="188"/>
      <c r="Q1509" s="186"/>
      <c r="R1509" s="186"/>
    </row>
    <row r="1510" spans="7:18">
      <c r="G1510" s="133"/>
      <c r="H1510" s="184"/>
      <c r="I1510" s="184"/>
      <c r="J1510" s="186"/>
      <c r="K1510" s="186"/>
      <c r="L1510" s="186"/>
      <c r="M1510" s="186"/>
      <c r="N1510" s="186"/>
      <c r="O1510" s="186"/>
      <c r="P1510" s="188"/>
      <c r="Q1510" s="186"/>
      <c r="R1510" s="186"/>
    </row>
    <row r="1511" spans="7:18">
      <c r="G1511" s="133"/>
      <c r="H1511" s="184"/>
      <c r="I1511" s="184"/>
      <c r="J1511" s="186"/>
      <c r="K1511" s="186"/>
      <c r="L1511" s="186"/>
      <c r="M1511" s="186"/>
      <c r="N1511" s="186"/>
      <c r="O1511" s="186"/>
      <c r="P1511" s="188"/>
      <c r="Q1511" s="186"/>
      <c r="R1511" s="186"/>
    </row>
    <row r="1512" spans="7:18">
      <c r="G1512" s="133"/>
      <c r="H1512" s="184"/>
      <c r="I1512" s="184"/>
      <c r="J1512" s="186"/>
      <c r="K1512" s="186"/>
      <c r="L1512" s="186"/>
      <c r="M1512" s="186"/>
      <c r="N1512" s="186"/>
      <c r="O1512" s="186"/>
      <c r="P1512" s="188"/>
      <c r="Q1512" s="186"/>
      <c r="R1512" s="186"/>
    </row>
    <row r="1513" spans="7:18">
      <c r="G1513" s="133"/>
      <c r="H1513" s="184"/>
      <c r="I1513" s="184"/>
      <c r="J1513" s="186"/>
      <c r="K1513" s="186"/>
      <c r="L1513" s="186"/>
      <c r="M1513" s="186"/>
      <c r="N1513" s="186"/>
      <c r="O1513" s="186"/>
      <c r="P1513" s="188"/>
      <c r="Q1513" s="186"/>
      <c r="R1513" s="186"/>
    </row>
    <row r="1514" spans="7:18">
      <c r="G1514" s="133"/>
      <c r="H1514" s="184"/>
      <c r="I1514" s="184"/>
      <c r="J1514" s="186"/>
      <c r="K1514" s="186"/>
      <c r="L1514" s="186"/>
      <c r="M1514" s="186"/>
      <c r="N1514" s="186"/>
      <c r="O1514" s="186"/>
      <c r="P1514" s="188"/>
      <c r="Q1514" s="186"/>
      <c r="R1514" s="186"/>
    </row>
    <row r="1515" spans="7:18">
      <c r="G1515" s="133"/>
      <c r="H1515" s="184"/>
      <c r="I1515" s="184"/>
      <c r="J1515" s="186"/>
      <c r="K1515" s="186"/>
      <c r="L1515" s="186"/>
      <c r="M1515" s="186"/>
      <c r="N1515" s="186"/>
      <c r="O1515" s="186"/>
      <c r="P1515" s="188"/>
      <c r="Q1515" s="186"/>
      <c r="R1515" s="186"/>
    </row>
    <row r="1516" spans="7:18">
      <c r="G1516" s="133"/>
      <c r="H1516" s="184"/>
      <c r="I1516" s="184"/>
      <c r="J1516" s="186"/>
      <c r="K1516" s="186"/>
      <c r="L1516" s="186"/>
      <c r="M1516" s="186"/>
      <c r="N1516" s="186"/>
      <c r="O1516" s="186"/>
      <c r="P1516" s="188"/>
      <c r="Q1516" s="186"/>
      <c r="R1516" s="186"/>
    </row>
    <row r="1517" spans="7:18">
      <c r="G1517" s="133"/>
      <c r="H1517" s="184"/>
      <c r="I1517" s="184"/>
      <c r="J1517" s="186"/>
      <c r="K1517" s="186"/>
      <c r="L1517" s="186"/>
      <c r="M1517" s="186"/>
      <c r="N1517" s="186"/>
      <c r="O1517" s="186"/>
      <c r="P1517" s="188"/>
      <c r="Q1517" s="186"/>
      <c r="R1517" s="186"/>
    </row>
    <row r="1518" spans="7:18">
      <c r="G1518" s="133"/>
      <c r="H1518" s="184"/>
      <c r="I1518" s="184"/>
      <c r="J1518" s="186"/>
      <c r="K1518" s="186"/>
      <c r="L1518" s="186"/>
      <c r="M1518" s="186"/>
      <c r="N1518" s="186"/>
      <c r="O1518" s="186"/>
      <c r="P1518" s="188"/>
      <c r="Q1518" s="186"/>
      <c r="R1518" s="186"/>
    </row>
    <row r="1519" spans="7:18">
      <c r="G1519" s="133"/>
      <c r="H1519" s="184"/>
      <c r="I1519" s="184"/>
      <c r="J1519" s="186"/>
      <c r="K1519" s="186"/>
      <c r="L1519" s="186"/>
      <c r="M1519" s="186"/>
      <c r="N1519" s="186"/>
      <c r="O1519" s="186"/>
      <c r="P1519" s="188"/>
      <c r="Q1519" s="186"/>
      <c r="R1519" s="186"/>
    </row>
    <row r="1520" spans="7:18">
      <c r="G1520" s="133"/>
      <c r="H1520" s="184"/>
      <c r="I1520" s="184"/>
      <c r="J1520" s="186"/>
      <c r="K1520" s="186"/>
      <c r="L1520" s="186"/>
      <c r="M1520" s="186"/>
      <c r="N1520" s="186"/>
      <c r="O1520" s="186"/>
      <c r="P1520" s="188"/>
      <c r="Q1520" s="186"/>
      <c r="R1520" s="186"/>
    </row>
    <row r="1521" spans="7:18">
      <c r="G1521" s="133"/>
      <c r="H1521" s="184"/>
      <c r="I1521" s="184"/>
      <c r="J1521" s="186"/>
      <c r="K1521" s="186"/>
      <c r="L1521" s="186"/>
      <c r="M1521" s="186"/>
      <c r="N1521" s="186"/>
      <c r="O1521" s="186"/>
      <c r="P1521" s="188"/>
      <c r="Q1521" s="186"/>
      <c r="R1521" s="186"/>
    </row>
    <row r="1522" spans="7:18">
      <c r="G1522" s="133"/>
      <c r="H1522" s="184"/>
      <c r="I1522" s="184"/>
      <c r="J1522" s="186"/>
      <c r="K1522" s="186"/>
      <c r="L1522" s="186"/>
      <c r="M1522" s="186"/>
      <c r="N1522" s="186"/>
      <c r="O1522" s="186"/>
      <c r="P1522" s="188"/>
      <c r="Q1522" s="186"/>
      <c r="R1522" s="186"/>
    </row>
    <row r="1523" spans="7:18">
      <c r="G1523" s="133"/>
      <c r="H1523" s="184"/>
      <c r="I1523" s="184"/>
      <c r="J1523" s="186"/>
      <c r="K1523" s="186"/>
      <c r="L1523" s="186"/>
      <c r="M1523" s="186"/>
      <c r="N1523" s="186"/>
      <c r="O1523" s="186"/>
      <c r="P1523" s="188"/>
      <c r="Q1523" s="186"/>
      <c r="R1523" s="186"/>
    </row>
    <row r="1524" spans="7:18">
      <c r="G1524" s="133"/>
      <c r="H1524" s="184"/>
      <c r="I1524" s="184"/>
      <c r="J1524" s="186"/>
      <c r="K1524" s="186"/>
      <c r="L1524" s="186"/>
      <c r="M1524" s="186"/>
      <c r="N1524" s="186"/>
      <c r="O1524" s="186"/>
      <c r="P1524" s="188"/>
      <c r="Q1524" s="186"/>
      <c r="R1524" s="186"/>
    </row>
    <row r="1525" spans="7:18">
      <c r="G1525" s="133"/>
      <c r="H1525" s="184"/>
      <c r="I1525" s="184"/>
      <c r="J1525" s="186"/>
      <c r="K1525" s="186"/>
      <c r="L1525" s="186"/>
      <c r="M1525" s="186"/>
      <c r="N1525" s="186"/>
      <c r="O1525" s="186"/>
      <c r="P1525" s="188"/>
      <c r="Q1525" s="186"/>
      <c r="R1525" s="186"/>
    </row>
    <row r="1526" spans="7:18">
      <c r="G1526" s="133"/>
      <c r="H1526" s="184"/>
      <c r="I1526" s="184"/>
      <c r="J1526" s="186"/>
      <c r="K1526" s="186"/>
      <c r="L1526" s="186"/>
      <c r="M1526" s="186"/>
      <c r="N1526" s="186"/>
      <c r="O1526" s="186"/>
      <c r="P1526" s="188"/>
      <c r="Q1526" s="186"/>
      <c r="R1526" s="186"/>
    </row>
    <row r="1527" spans="7:18">
      <c r="G1527" s="133"/>
      <c r="H1527" s="184"/>
      <c r="I1527" s="184"/>
      <c r="J1527" s="186"/>
      <c r="K1527" s="186"/>
      <c r="L1527" s="186"/>
      <c r="M1527" s="186"/>
      <c r="N1527" s="186"/>
      <c r="O1527" s="186"/>
      <c r="P1527" s="188"/>
      <c r="Q1527" s="186"/>
      <c r="R1527" s="186"/>
    </row>
    <row r="1528" spans="7:18">
      <c r="G1528" s="133"/>
      <c r="H1528" s="184"/>
      <c r="I1528" s="184"/>
      <c r="J1528" s="186"/>
      <c r="K1528" s="186"/>
      <c r="L1528" s="186"/>
      <c r="M1528" s="186"/>
      <c r="N1528" s="186"/>
      <c r="O1528" s="186"/>
      <c r="P1528" s="188"/>
      <c r="Q1528" s="186"/>
      <c r="R1528" s="186"/>
    </row>
    <row r="1529" spans="7:18">
      <c r="G1529" s="133"/>
      <c r="H1529" s="184"/>
      <c r="I1529" s="184"/>
      <c r="J1529" s="186"/>
      <c r="K1529" s="186"/>
      <c r="L1529" s="186"/>
      <c r="M1529" s="186"/>
      <c r="N1529" s="186"/>
      <c r="O1529" s="186"/>
      <c r="P1529" s="188"/>
      <c r="Q1529" s="186"/>
      <c r="R1529" s="186"/>
    </row>
    <row r="1530" spans="7:18">
      <c r="G1530" s="133"/>
      <c r="H1530" s="184"/>
      <c r="I1530" s="184"/>
      <c r="J1530" s="186"/>
      <c r="K1530" s="186"/>
      <c r="L1530" s="186"/>
      <c r="M1530" s="186"/>
      <c r="N1530" s="186"/>
      <c r="O1530" s="186"/>
      <c r="P1530" s="188"/>
      <c r="Q1530" s="186"/>
      <c r="R1530" s="186"/>
    </row>
    <row r="1531" spans="7:18">
      <c r="G1531" s="133"/>
      <c r="H1531" s="184"/>
      <c r="I1531" s="184"/>
      <c r="J1531" s="186"/>
      <c r="K1531" s="186"/>
      <c r="L1531" s="186"/>
      <c r="M1531" s="186"/>
      <c r="N1531" s="186"/>
      <c r="O1531" s="186"/>
      <c r="P1531" s="188"/>
      <c r="Q1531" s="186"/>
      <c r="R1531" s="186"/>
    </row>
    <row r="1532" spans="7:18">
      <c r="G1532" s="133"/>
      <c r="H1532" s="184"/>
      <c r="I1532" s="184"/>
      <c r="J1532" s="186"/>
      <c r="K1532" s="186"/>
      <c r="L1532" s="186"/>
      <c r="M1532" s="186"/>
      <c r="N1532" s="186"/>
      <c r="O1532" s="186"/>
      <c r="P1532" s="188"/>
      <c r="Q1532" s="186"/>
      <c r="R1532" s="186"/>
    </row>
    <row r="1533" spans="7:18">
      <c r="G1533" s="133"/>
      <c r="H1533" s="184"/>
      <c r="I1533" s="184"/>
      <c r="J1533" s="186"/>
      <c r="K1533" s="186"/>
      <c r="L1533" s="186"/>
      <c r="M1533" s="186"/>
      <c r="N1533" s="186"/>
      <c r="O1533" s="186"/>
      <c r="P1533" s="188"/>
      <c r="Q1533" s="186"/>
      <c r="R1533" s="186"/>
    </row>
    <row r="1534" spans="7:18">
      <c r="G1534" s="133"/>
      <c r="H1534" s="184"/>
      <c r="I1534" s="184"/>
      <c r="J1534" s="186"/>
      <c r="K1534" s="186"/>
      <c r="L1534" s="186"/>
      <c r="M1534" s="186"/>
      <c r="N1534" s="186"/>
      <c r="O1534" s="186"/>
      <c r="P1534" s="188"/>
      <c r="Q1534" s="186"/>
      <c r="R1534" s="186"/>
    </row>
    <row r="1535" spans="7:18">
      <c r="G1535" s="133"/>
      <c r="H1535" s="184"/>
      <c r="I1535" s="184"/>
      <c r="J1535" s="186"/>
      <c r="K1535" s="186"/>
      <c r="L1535" s="186"/>
      <c r="M1535" s="186"/>
      <c r="N1535" s="186"/>
      <c r="O1535" s="186"/>
      <c r="P1535" s="188"/>
      <c r="Q1535" s="186"/>
      <c r="R1535" s="186"/>
    </row>
    <row r="1536" spans="7:18">
      <c r="G1536" s="133"/>
      <c r="H1536" s="184"/>
      <c r="I1536" s="184"/>
      <c r="J1536" s="186"/>
      <c r="K1536" s="186"/>
      <c r="L1536" s="186"/>
      <c r="M1536" s="186"/>
      <c r="N1536" s="186"/>
      <c r="O1536" s="186"/>
      <c r="P1536" s="188"/>
      <c r="Q1536" s="186"/>
      <c r="R1536" s="186"/>
    </row>
    <row r="1537" spans="7:18">
      <c r="G1537" s="133"/>
      <c r="H1537" s="184"/>
      <c r="I1537" s="184"/>
      <c r="J1537" s="186"/>
      <c r="K1537" s="186"/>
      <c r="L1537" s="186"/>
      <c r="M1537" s="186"/>
      <c r="N1537" s="186"/>
      <c r="O1537" s="186"/>
      <c r="P1537" s="188"/>
      <c r="Q1537" s="186"/>
      <c r="R1537" s="186"/>
    </row>
    <row r="1538" spans="7:18">
      <c r="G1538" s="133"/>
      <c r="H1538" s="184"/>
      <c r="I1538" s="184"/>
      <c r="J1538" s="186"/>
      <c r="K1538" s="186"/>
      <c r="L1538" s="186"/>
      <c r="M1538" s="186"/>
      <c r="N1538" s="186"/>
      <c r="O1538" s="186"/>
      <c r="P1538" s="188"/>
      <c r="Q1538" s="186"/>
      <c r="R1538" s="186"/>
    </row>
    <row r="1539" spans="7:18">
      <c r="G1539" s="133"/>
      <c r="H1539" s="184"/>
      <c r="I1539" s="184"/>
      <c r="J1539" s="186"/>
      <c r="K1539" s="186"/>
      <c r="L1539" s="186"/>
      <c r="M1539" s="186"/>
      <c r="N1539" s="186"/>
      <c r="O1539" s="186"/>
      <c r="P1539" s="188"/>
      <c r="Q1539" s="186"/>
      <c r="R1539" s="186"/>
    </row>
    <row r="1540" spans="7:18">
      <c r="G1540" s="133"/>
      <c r="H1540" s="184"/>
      <c r="I1540" s="184"/>
      <c r="J1540" s="186"/>
      <c r="K1540" s="186"/>
      <c r="L1540" s="186"/>
      <c r="M1540" s="186"/>
      <c r="N1540" s="186"/>
      <c r="O1540" s="186"/>
      <c r="P1540" s="188"/>
      <c r="Q1540" s="186"/>
      <c r="R1540" s="186"/>
    </row>
    <row r="1541" spans="7:18">
      <c r="G1541" s="133"/>
      <c r="H1541" s="184"/>
      <c r="I1541" s="184"/>
      <c r="J1541" s="186"/>
      <c r="K1541" s="186"/>
      <c r="L1541" s="186"/>
      <c r="M1541" s="186"/>
      <c r="N1541" s="186"/>
      <c r="O1541" s="186"/>
      <c r="P1541" s="188"/>
      <c r="Q1541" s="186"/>
      <c r="R1541" s="186"/>
    </row>
    <row r="1542" spans="7:18">
      <c r="G1542" s="133"/>
      <c r="H1542" s="184"/>
      <c r="I1542" s="184"/>
      <c r="J1542" s="186"/>
      <c r="K1542" s="186"/>
      <c r="L1542" s="186"/>
      <c r="M1542" s="186"/>
      <c r="N1542" s="186"/>
      <c r="O1542" s="186"/>
      <c r="P1542" s="188"/>
      <c r="Q1542" s="186"/>
      <c r="R1542" s="186"/>
    </row>
    <row r="1543" spans="7:18">
      <c r="G1543" s="133"/>
      <c r="H1543" s="184"/>
      <c r="I1543" s="184"/>
      <c r="J1543" s="186"/>
      <c r="K1543" s="186"/>
      <c r="L1543" s="186"/>
      <c r="M1543" s="186"/>
      <c r="N1543" s="186"/>
      <c r="O1543" s="186"/>
      <c r="P1543" s="188"/>
      <c r="Q1543" s="186"/>
      <c r="R1543" s="186"/>
    </row>
    <row r="1544" spans="7:18">
      <c r="G1544" s="133"/>
      <c r="H1544" s="184"/>
      <c r="I1544" s="184"/>
      <c r="J1544" s="186"/>
      <c r="K1544" s="186"/>
      <c r="L1544" s="186"/>
      <c r="M1544" s="186"/>
      <c r="N1544" s="186"/>
      <c r="O1544" s="186"/>
      <c r="P1544" s="188"/>
      <c r="Q1544" s="186"/>
      <c r="R1544" s="186"/>
    </row>
    <row r="1545" spans="7:18">
      <c r="G1545" s="133"/>
      <c r="H1545" s="184"/>
      <c r="I1545" s="184"/>
      <c r="J1545" s="186"/>
      <c r="K1545" s="186"/>
      <c r="L1545" s="186"/>
      <c r="M1545" s="186"/>
      <c r="N1545" s="186"/>
      <c r="O1545" s="186"/>
      <c r="P1545" s="188"/>
      <c r="Q1545" s="186"/>
      <c r="R1545" s="186"/>
    </row>
    <row r="1546" spans="7:18">
      <c r="G1546" s="133"/>
      <c r="H1546" s="184"/>
      <c r="I1546" s="184"/>
      <c r="J1546" s="186"/>
      <c r="K1546" s="186"/>
      <c r="L1546" s="186"/>
      <c r="M1546" s="186"/>
      <c r="N1546" s="186"/>
      <c r="O1546" s="186"/>
      <c r="P1546" s="188"/>
      <c r="Q1546" s="186"/>
      <c r="R1546" s="186"/>
    </row>
    <row r="1547" spans="7:18">
      <c r="G1547" s="133"/>
      <c r="H1547" s="184"/>
      <c r="I1547" s="184"/>
      <c r="J1547" s="186"/>
      <c r="K1547" s="186"/>
      <c r="L1547" s="186"/>
      <c r="M1547" s="186"/>
      <c r="N1547" s="186"/>
      <c r="O1547" s="186"/>
      <c r="P1547" s="188"/>
      <c r="Q1547" s="186"/>
      <c r="R1547" s="186"/>
    </row>
    <row r="1548" spans="7:18">
      <c r="G1548" s="133"/>
      <c r="H1548" s="184"/>
      <c r="I1548" s="184"/>
      <c r="J1548" s="186"/>
      <c r="K1548" s="186"/>
      <c r="L1548" s="186"/>
      <c r="M1548" s="186"/>
      <c r="N1548" s="186"/>
      <c r="O1548" s="186"/>
      <c r="P1548" s="188"/>
      <c r="Q1548" s="186"/>
      <c r="R1548" s="186"/>
    </row>
    <row r="1549" spans="7:18">
      <c r="G1549" s="133"/>
      <c r="H1549" s="184"/>
      <c r="I1549" s="184"/>
      <c r="J1549" s="186"/>
      <c r="K1549" s="186"/>
      <c r="L1549" s="186"/>
      <c r="M1549" s="186"/>
      <c r="N1549" s="186"/>
      <c r="O1549" s="186"/>
      <c r="P1549" s="188"/>
      <c r="Q1549" s="186"/>
      <c r="R1549" s="186"/>
    </row>
    <row r="1550" spans="7:18">
      <c r="G1550" s="133"/>
      <c r="H1550" s="184"/>
      <c r="I1550" s="184"/>
      <c r="J1550" s="186"/>
      <c r="K1550" s="186"/>
      <c r="L1550" s="186"/>
      <c r="M1550" s="186"/>
      <c r="N1550" s="186"/>
      <c r="O1550" s="186"/>
      <c r="P1550" s="188"/>
      <c r="Q1550" s="186"/>
      <c r="R1550" s="186"/>
    </row>
    <row r="1551" spans="7:18">
      <c r="G1551" s="133"/>
      <c r="H1551" s="184"/>
      <c r="I1551" s="184"/>
      <c r="J1551" s="186"/>
      <c r="K1551" s="186"/>
      <c r="L1551" s="186"/>
      <c r="M1551" s="186"/>
      <c r="N1551" s="186"/>
      <c r="O1551" s="186"/>
      <c r="P1551" s="188"/>
      <c r="Q1551" s="186"/>
      <c r="R1551" s="186"/>
    </row>
    <row r="1552" spans="7:18">
      <c r="G1552" s="133"/>
      <c r="H1552" s="184"/>
      <c r="I1552" s="184"/>
      <c r="J1552" s="186"/>
      <c r="K1552" s="186"/>
      <c r="L1552" s="186"/>
      <c r="M1552" s="186"/>
      <c r="N1552" s="186"/>
      <c r="O1552" s="186"/>
      <c r="P1552" s="188"/>
      <c r="Q1552" s="186"/>
      <c r="R1552" s="186"/>
    </row>
    <row r="1553" spans="7:18">
      <c r="G1553" s="133"/>
      <c r="H1553" s="184"/>
      <c r="I1553" s="184"/>
      <c r="J1553" s="186"/>
      <c r="K1553" s="186"/>
      <c r="L1553" s="186"/>
      <c r="M1553" s="186"/>
      <c r="N1553" s="186"/>
      <c r="O1553" s="186"/>
      <c r="P1553" s="188"/>
      <c r="Q1553" s="186"/>
      <c r="R1553" s="186"/>
    </row>
    <row r="1554" spans="7:18">
      <c r="G1554" s="133"/>
      <c r="H1554" s="184"/>
      <c r="I1554" s="184"/>
      <c r="J1554" s="186"/>
      <c r="K1554" s="186"/>
      <c r="L1554" s="186"/>
      <c r="M1554" s="186"/>
      <c r="N1554" s="186"/>
      <c r="O1554" s="186"/>
      <c r="P1554" s="188"/>
      <c r="Q1554" s="186"/>
      <c r="R1554" s="186"/>
    </row>
    <row r="1555" spans="7:18">
      <c r="G1555" s="133"/>
      <c r="H1555" s="184"/>
      <c r="I1555" s="184"/>
      <c r="J1555" s="186"/>
      <c r="K1555" s="186"/>
      <c r="L1555" s="186"/>
      <c r="M1555" s="186"/>
      <c r="N1555" s="186"/>
      <c r="O1555" s="186"/>
      <c r="P1555" s="188"/>
      <c r="Q1555" s="186"/>
      <c r="R1555" s="186"/>
    </row>
    <row r="1556" spans="7:18">
      <c r="G1556" s="133"/>
      <c r="H1556" s="184"/>
      <c r="I1556" s="184"/>
      <c r="J1556" s="186"/>
      <c r="K1556" s="186"/>
      <c r="L1556" s="186"/>
      <c r="M1556" s="186"/>
      <c r="N1556" s="186"/>
      <c r="O1556" s="186"/>
      <c r="P1556" s="188"/>
      <c r="Q1556" s="186"/>
      <c r="R1556" s="186"/>
    </row>
    <row r="1557" spans="7:18">
      <c r="G1557" s="133"/>
      <c r="H1557" s="184"/>
      <c r="I1557" s="184"/>
      <c r="J1557" s="186"/>
      <c r="K1557" s="186"/>
      <c r="L1557" s="186"/>
      <c r="M1557" s="186"/>
      <c r="N1557" s="186"/>
      <c r="O1557" s="186"/>
      <c r="P1557" s="188"/>
      <c r="Q1557" s="186"/>
      <c r="R1557" s="186"/>
    </row>
    <row r="1558" spans="7:18">
      <c r="G1558" s="133"/>
      <c r="H1558" s="184"/>
      <c r="I1558" s="184"/>
      <c r="J1558" s="186"/>
      <c r="K1558" s="186"/>
      <c r="L1558" s="186"/>
      <c r="M1558" s="186"/>
      <c r="N1558" s="186"/>
      <c r="O1558" s="186"/>
      <c r="P1558" s="188"/>
      <c r="Q1558" s="186"/>
      <c r="R1558" s="186"/>
    </row>
    <row r="1559" spans="7:18">
      <c r="G1559" s="133"/>
      <c r="H1559" s="184"/>
      <c r="I1559" s="184"/>
      <c r="J1559" s="186"/>
      <c r="K1559" s="186"/>
      <c r="L1559" s="186"/>
      <c r="M1559" s="186"/>
      <c r="N1559" s="186"/>
      <c r="O1559" s="186"/>
      <c r="P1559" s="188"/>
      <c r="Q1559" s="186"/>
      <c r="R1559" s="186"/>
    </row>
    <row r="1560" spans="7:18">
      <c r="G1560" s="133"/>
      <c r="H1560" s="184"/>
      <c r="I1560" s="184"/>
      <c r="J1560" s="186"/>
      <c r="K1560" s="186"/>
      <c r="L1560" s="186"/>
      <c r="M1560" s="186"/>
      <c r="N1560" s="186"/>
      <c r="O1560" s="186"/>
      <c r="P1560" s="188"/>
      <c r="Q1560" s="186"/>
      <c r="R1560" s="186"/>
    </row>
    <row r="1561" spans="7:18">
      <c r="G1561" s="133"/>
      <c r="H1561" s="184"/>
      <c r="I1561" s="184"/>
      <c r="J1561" s="186"/>
      <c r="K1561" s="186"/>
      <c r="L1561" s="186"/>
      <c r="M1561" s="186"/>
      <c r="N1561" s="186"/>
      <c r="O1561" s="186"/>
      <c r="P1561" s="188"/>
      <c r="Q1561" s="186"/>
      <c r="R1561" s="186"/>
    </row>
    <row r="1562" spans="7:18">
      <c r="G1562" s="133"/>
      <c r="H1562" s="184"/>
      <c r="I1562" s="184"/>
      <c r="J1562" s="186"/>
      <c r="K1562" s="186"/>
      <c r="L1562" s="186"/>
      <c r="M1562" s="186"/>
      <c r="N1562" s="186"/>
      <c r="O1562" s="186"/>
      <c r="P1562" s="188"/>
      <c r="Q1562" s="186"/>
      <c r="R1562" s="186"/>
    </row>
    <row r="1563" spans="7:18">
      <c r="G1563" s="133"/>
      <c r="H1563" s="184"/>
      <c r="I1563" s="184"/>
      <c r="J1563" s="186"/>
      <c r="K1563" s="186"/>
      <c r="L1563" s="186"/>
      <c r="M1563" s="186"/>
      <c r="N1563" s="186"/>
      <c r="O1563" s="186"/>
      <c r="P1563" s="188"/>
      <c r="Q1563" s="186"/>
      <c r="R1563" s="186"/>
    </row>
    <row r="1564" spans="7:18">
      <c r="G1564" s="133"/>
      <c r="H1564" s="184"/>
      <c r="I1564" s="184"/>
      <c r="J1564" s="186"/>
      <c r="K1564" s="186"/>
      <c r="L1564" s="186"/>
      <c r="M1564" s="186"/>
      <c r="N1564" s="186"/>
      <c r="O1564" s="186"/>
      <c r="P1564" s="188"/>
      <c r="Q1564" s="186"/>
      <c r="R1564" s="186"/>
    </row>
    <row r="1565" spans="7:18">
      <c r="G1565" s="133"/>
      <c r="H1565" s="184"/>
      <c r="I1565" s="184"/>
      <c r="J1565" s="186"/>
      <c r="K1565" s="186"/>
      <c r="L1565" s="186"/>
      <c r="M1565" s="186"/>
      <c r="N1565" s="186"/>
      <c r="O1565" s="186"/>
      <c r="P1565" s="188"/>
      <c r="Q1565" s="186"/>
      <c r="R1565" s="186"/>
    </row>
    <row r="1566" spans="7:18">
      <c r="G1566" s="133"/>
      <c r="H1566" s="184"/>
      <c r="I1566" s="184"/>
      <c r="J1566" s="186"/>
      <c r="K1566" s="186"/>
      <c r="L1566" s="186"/>
      <c r="M1566" s="186"/>
      <c r="N1566" s="186"/>
      <c r="O1566" s="186"/>
      <c r="P1566" s="188"/>
      <c r="Q1566" s="186"/>
      <c r="R1566" s="186"/>
    </row>
    <row r="1567" spans="7:18">
      <c r="G1567" s="133"/>
      <c r="H1567" s="184"/>
      <c r="I1567" s="184"/>
      <c r="J1567" s="186"/>
      <c r="K1567" s="186"/>
      <c r="L1567" s="186"/>
      <c r="M1567" s="186"/>
      <c r="N1567" s="186"/>
      <c r="O1567" s="186"/>
      <c r="P1567" s="188"/>
      <c r="Q1567" s="186"/>
      <c r="R1567" s="186"/>
    </row>
    <row r="1568" spans="7:18">
      <c r="G1568" s="133"/>
      <c r="H1568" s="184"/>
      <c r="I1568" s="184"/>
      <c r="J1568" s="186"/>
      <c r="K1568" s="186"/>
      <c r="L1568" s="186"/>
      <c r="M1568" s="186"/>
      <c r="N1568" s="186"/>
      <c r="O1568" s="186"/>
      <c r="P1568" s="188"/>
      <c r="Q1568" s="186"/>
      <c r="R1568" s="186"/>
    </row>
    <row r="1569" spans="7:18">
      <c r="G1569" s="133"/>
      <c r="H1569" s="184"/>
      <c r="I1569" s="184"/>
      <c r="J1569" s="186"/>
      <c r="K1569" s="186"/>
      <c r="L1569" s="186"/>
      <c r="M1569" s="186"/>
      <c r="N1569" s="186"/>
      <c r="O1569" s="186"/>
      <c r="P1569" s="188"/>
      <c r="Q1569" s="186"/>
      <c r="R1569" s="186"/>
    </row>
    <row r="1570" spans="7:18">
      <c r="G1570" s="133"/>
      <c r="H1570" s="184"/>
      <c r="I1570" s="184"/>
      <c r="J1570" s="186"/>
      <c r="K1570" s="186"/>
      <c r="L1570" s="186"/>
      <c r="M1570" s="186"/>
      <c r="N1570" s="186"/>
      <c r="O1570" s="186"/>
      <c r="P1570" s="188"/>
      <c r="Q1570" s="186"/>
      <c r="R1570" s="186"/>
    </row>
    <row r="1571" spans="7:18">
      <c r="G1571" s="133"/>
      <c r="H1571" s="184"/>
      <c r="I1571" s="184"/>
      <c r="J1571" s="186"/>
      <c r="K1571" s="186"/>
      <c r="L1571" s="186"/>
      <c r="M1571" s="186"/>
      <c r="N1571" s="186"/>
      <c r="O1571" s="186"/>
      <c r="P1571" s="188"/>
      <c r="Q1571" s="186"/>
      <c r="R1571" s="186"/>
    </row>
    <row r="1572" spans="7:18">
      <c r="G1572" s="133"/>
      <c r="H1572" s="184"/>
      <c r="I1572" s="184"/>
      <c r="J1572" s="186"/>
      <c r="K1572" s="186"/>
      <c r="L1572" s="186"/>
      <c r="M1572" s="186"/>
      <c r="N1572" s="186"/>
      <c r="O1572" s="186"/>
      <c r="P1572" s="188"/>
      <c r="Q1572" s="186"/>
      <c r="R1572" s="186"/>
    </row>
    <row r="1573" spans="7:18">
      <c r="G1573" s="133"/>
      <c r="H1573" s="184"/>
      <c r="I1573" s="184"/>
      <c r="J1573" s="186"/>
      <c r="K1573" s="186"/>
      <c r="L1573" s="186"/>
      <c r="M1573" s="186"/>
      <c r="N1573" s="186"/>
      <c r="O1573" s="186"/>
      <c r="P1573" s="188"/>
      <c r="Q1573" s="186"/>
      <c r="R1573" s="186"/>
    </row>
    <row r="1574" spans="7:18">
      <c r="G1574" s="133"/>
      <c r="H1574" s="184"/>
      <c r="I1574" s="184"/>
      <c r="J1574" s="186"/>
      <c r="K1574" s="186"/>
      <c r="L1574" s="186"/>
      <c r="M1574" s="186"/>
      <c r="N1574" s="186"/>
      <c r="O1574" s="186"/>
      <c r="P1574" s="188"/>
      <c r="Q1574" s="186"/>
      <c r="R1574" s="186"/>
    </row>
    <row r="1575" spans="7:18">
      <c r="G1575" s="133"/>
      <c r="H1575" s="184"/>
      <c r="I1575" s="184"/>
      <c r="J1575" s="186"/>
      <c r="K1575" s="186"/>
      <c r="L1575" s="186"/>
      <c r="M1575" s="186"/>
      <c r="N1575" s="186"/>
      <c r="O1575" s="186"/>
      <c r="P1575" s="188"/>
      <c r="Q1575" s="186"/>
      <c r="R1575" s="186"/>
    </row>
    <row r="1576" spans="7:18">
      <c r="G1576" s="133"/>
      <c r="H1576" s="184"/>
      <c r="I1576" s="184"/>
      <c r="J1576" s="186"/>
      <c r="K1576" s="186"/>
      <c r="L1576" s="186"/>
      <c r="M1576" s="186"/>
      <c r="N1576" s="186"/>
      <c r="O1576" s="186"/>
      <c r="P1576" s="188"/>
      <c r="Q1576" s="186"/>
      <c r="R1576" s="186"/>
    </row>
    <row r="1577" spans="7:18">
      <c r="G1577" s="133"/>
      <c r="H1577" s="184"/>
      <c r="I1577" s="184"/>
      <c r="J1577" s="186"/>
      <c r="K1577" s="186"/>
      <c r="L1577" s="186"/>
      <c r="M1577" s="186"/>
      <c r="N1577" s="186"/>
      <c r="O1577" s="186"/>
      <c r="P1577" s="188"/>
      <c r="Q1577" s="186"/>
      <c r="R1577" s="186"/>
    </row>
    <row r="1578" spans="7:18">
      <c r="G1578" s="133"/>
      <c r="H1578" s="184"/>
      <c r="I1578" s="184"/>
      <c r="J1578" s="186"/>
      <c r="K1578" s="186"/>
      <c r="L1578" s="186"/>
      <c r="M1578" s="186"/>
      <c r="N1578" s="186"/>
      <c r="O1578" s="186"/>
      <c r="P1578" s="188"/>
      <c r="Q1578" s="186"/>
      <c r="R1578" s="186"/>
    </row>
    <row r="1579" spans="7:18">
      <c r="G1579" s="133"/>
      <c r="H1579" s="184"/>
      <c r="I1579" s="184"/>
      <c r="J1579" s="186"/>
      <c r="K1579" s="186"/>
      <c r="L1579" s="186"/>
      <c r="M1579" s="186"/>
      <c r="N1579" s="186"/>
      <c r="O1579" s="186"/>
      <c r="P1579" s="188"/>
      <c r="Q1579" s="186"/>
      <c r="R1579" s="186"/>
    </row>
    <row r="1580" spans="7:18">
      <c r="G1580" s="133"/>
      <c r="H1580" s="184"/>
      <c r="I1580" s="184"/>
      <c r="J1580" s="186"/>
      <c r="K1580" s="186"/>
      <c r="L1580" s="186"/>
      <c r="M1580" s="186"/>
      <c r="N1580" s="186"/>
      <c r="O1580" s="186"/>
      <c r="P1580" s="188"/>
      <c r="Q1580" s="186"/>
      <c r="R1580" s="186"/>
    </row>
    <row r="1581" spans="7:18">
      <c r="G1581" s="133"/>
      <c r="H1581" s="184"/>
      <c r="I1581" s="184"/>
      <c r="J1581" s="186"/>
      <c r="K1581" s="186"/>
      <c r="L1581" s="186"/>
      <c r="M1581" s="186"/>
      <c r="N1581" s="186"/>
      <c r="O1581" s="186"/>
      <c r="P1581" s="188"/>
      <c r="Q1581" s="186"/>
      <c r="R1581" s="186"/>
    </row>
    <row r="1582" spans="7:18">
      <c r="G1582" s="133"/>
      <c r="H1582" s="184"/>
      <c r="I1582" s="184"/>
      <c r="J1582" s="186"/>
      <c r="K1582" s="186"/>
      <c r="L1582" s="186"/>
      <c r="M1582" s="186"/>
      <c r="N1582" s="186"/>
      <c r="O1582" s="186"/>
      <c r="P1582" s="188"/>
      <c r="Q1582" s="186"/>
      <c r="R1582" s="186"/>
    </row>
    <row r="1583" spans="7:18">
      <c r="G1583" s="133"/>
      <c r="H1583" s="184"/>
      <c r="I1583" s="184"/>
      <c r="J1583" s="186"/>
      <c r="K1583" s="186"/>
      <c r="L1583" s="186"/>
      <c r="M1583" s="186"/>
      <c r="N1583" s="186"/>
      <c r="O1583" s="186"/>
      <c r="P1583" s="188"/>
      <c r="Q1583" s="186"/>
      <c r="R1583" s="186"/>
    </row>
    <row r="1584" spans="7:18">
      <c r="G1584" s="133"/>
      <c r="H1584" s="184"/>
      <c r="I1584" s="184"/>
      <c r="J1584" s="186"/>
      <c r="K1584" s="186"/>
      <c r="L1584" s="186"/>
      <c r="M1584" s="186"/>
      <c r="N1584" s="186"/>
      <c r="O1584" s="186"/>
      <c r="P1584" s="188"/>
      <c r="Q1584" s="186"/>
      <c r="R1584" s="186"/>
    </row>
    <row r="1585" spans="7:18">
      <c r="G1585" s="133"/>
      <c r="H1585" s="184"/>
      <c r="I1585" s="184"/>
      <c r="J1585" s="186"/>
      <c r="K1585" s="186"/>
      <c r="L1585" s="186"/>
      <c r="M1585" s="186"/>
      <c r="N1585" s="186"/>
      <c r="O1585" s="186"/>
      <c r="P1585" s="188"/>
      <c r="Q1585" s="186"/>
      <c r="R1585" s="186"/>
    </row>
    <row r="1586" spans="7:18">
      <c r="G1586" s="133"/>
      <c r="H1586" s="184"/>
      <c r="I1586" s="184"/>
      <c r="J1586" s="186"/>
      <c r="K1586" s="186"/>
      <c r="L1586" s="186"/>
      <c r="M1586" s="186"/>
      <c r="N1586" s="186"/>
      <c r="O1586" s="186"/>
      <c r="P1586" s="188"/>
      <c r="Q1586" s="186"/>
      <c r="R1586" s="186"/>
    </row>
    <row r="1587" spans="7:18">
      <c r="G1587" s="133"/>
      <c r="H1587" s="184"/>
      <c r="I1587" s="184"/>
      <c r="J1587" s="186"/>
      <c r="K1587" s="186"/>
      <c r="L1587" s="186"/>
      <c r="M1587" s="186"/>
      <c r="N1587" s="186"/>
      <c r="O1587" s="186"/>
      <c r="P1587" s="188"/>
      <c r="Q1587" s="186"/>
      <c r="R1587" s="186"/>
    </row>
    <row r="1588" spans="7:18">
      <c r="G1588" s="133"/>
      <c r="H1588" s="184"/>
      <c r="I1588" s="184"/>
      <c r="J1588" s="186"/>
      <c r="K1588" s="186"/>
      <c r="L1588" s="186"/>
      <c r="M1588" s="186"/>
      <c r="N1588" s="186"/>
      <c r="O1588" s="186"/>
      <c r="P1588" s="188"/>
      <c r="Q1588" s="186"/>
      <c r="R1588" s="186"/>
    </row>
    <row r="1589" spans="7:18">
      <c r="G1589" s="133"/>
      <c r="H1589" s="184"/>
      <c r="I1589" s="184"/>
      <c r="J1589" s="186"/>
      <c r="K1589" s="186"/>
      <c r="L1589" s="186"/>
      <c r="M1589" s="186"/>
      <c r="N1589" s="186"/>
      <c r="O1589" s="186"/>
      <c r="P1589" s="188"/>
      <c r="Q1589" s="186"/>
      <c r="R1589" s="186"/>
    </row>
    <row r="1590" spans="7:18">
      <c r="G1590" s="133"/>
      <c r="H1590" s="184"/>
      <c r="I1590" s="184"/>
      <c r="J1590" s="186"/>
      <c r="K1590" s="186"/>
      <c r="L1590" s="186"/>
      <c r="M1590" s="186"/>
      <c r="N1590" s="186"/>
      <c r="O1590" s="186"/>
      <c r="P1590" s="188"/>
      <c r="Q1590" s="186"/>
      <c r="R1590" s="186"/>
    </row>
    <row r="1591" spans="7:18">
      <c r="G1591" s="133"/>
      <c r="H1591" s="184"/>
      <c r="I1591" s="184"/>
      <c r="J1591" s="186"/>
      <c r="K1591" s="186"/>
      <c r="L1591" s="186"/>
      <c r="M1591" s="186"/>
      <c r="N1591" s="186"/>
      <c r="O1591" s="186"/>
      <c r="P1591" s="188"/>
      <c r="Q1591" s="186"/>
      <c r="R1591" s="186"/>
    </row>
    <row r="1592" spans="7:18">
      <c r="G1592" s="133"/>
      <c r="H1592" s="184"/>
      <c r="I1592" s="184"/>
      <c r="J1592" s="186"/>
      <c r="K1592" s="186"/>
      <c r="L1592" s="186"/>
      <c r="M1592" s="186"/>
      <c r="N1592" s="186"/>
      <c r="O1592" s="186"/>
      <c r="P1592" s="188"/>
      <c r="Q1592" s="186"/>
      <c r="R1592" s="186"/>
    </row>
    <row r="1593" spans="7:18">
      <c r="G1593" s="133"/>
      <c r="H1593" s="184"/>
      <c r="I1593" s="184"/>
      <c r="J1593" s="186"/>
      <c r="K1593" s="186"/>
      <c r="L1593" s="186"/>
      <c r="M1593" s="186"/>
      <c r="N1593" s="186"/>
      <c r="O1593" s="186"/>
      <c r="P1593" s="188"/>
      <c r="Q1593" s="186"/>
      <c r="R1593" s="186"/>
    </row>
    <row r="1594" spans="7:18">
      <c r="G1594" s="133"/>
      <c r="H1594" s="184"/>
      <c r="I1594" s="184"/>
      <c r="J1594" s="186"/>
      <c r="K1594" s="186"/>
      <c r="L1594" s="186"/>
      <c r="M1594" s="186"/>
      <c r="N1594" s="186"/>
      <c r="O1594" s="186"/>
      <c r="P1594" s="188"/>
      <c r="Q1594" s="186"/>
      <c r="R1594" s="186"/>
    </row>
    <row r="1595" spans="7:18">
      <c r="G1595" s="133"/>
      <c r="H1595" s="184"/>
      <c r="I1595" s="184"/>
      <c r="J1595" s="186"/>
      <c r="K1595" s="186"/>
      <c r="L1595" s="186"/>
      <c r="M1595" s="186"/>
      <c r="N1595" s="186"/>
      <c r="O1595" s="186"/>
      <c r="P1595" s="188"/>
      <c r="Q1595" s="186"/>
      <c r="R1595" s="186"/>
    </row>
    <row r="1596" spans="7:18">
      <c r="G1596" s="133"/>
      <c r="H1596" s="184"/>
      <c r="I1596" s="184"/>
      <c r="J1596" s="186"/>
      <c r="K1596" s="186"/>
      <c r="L1596" s="186"/>
      <c r="M1596" s="186"/>
      <c r="N1596" s="186"/>
      <c r="O1596" s="186"/>
      <c r="P1596" s="188"/>
      <c r="Q1596" s="186"/>
      <c r="R1596" s="186"/>
    </row>
    <row r="1597" spans="7:18">
      <c r="G1597" s="133"/>
      <c r="H1597" s="184"/>
      <c r="I1597" s="184"/>
      <c r="J1597" s="186"/>
      <c r="K1597" s="186"/>
      <c r="L1597" s="186"/>
      <c r="M1597" s="186"/>
      <c r="N1597" s="186"/>
      <c r="O1597" s="186"/>
      <c r="P1597" s="188"/>
      <c r="Q1597" s="186"/>
      <c r="R1597" s="186"/>
    </row>
    <row r="1598" spans="7:18">
      <c r="G1598" s="133"/>
      <c r="H1598" s="184"/>
      <c r="I1598" s="184"/>
      <c r="J1598" s="186"/>
      <c r="K1598" s="186"/>
      <c r="L1598" s="186"/>
      <c r="M1598" s="186"/>
      <c r="N1598" s="186"/>
      <c r="O1598" s="186"/>
      <c r="P1598" s="188"/>
      <c r="Q1598" s="186"/>
      <c r="R1598" s="186"/>
    </row>
    <row r="1599" spans="7:18">
      <c r="G1599" s="133"/>
      <c r="H1599" s="184"/>
      <c r="I1599" s="184"/>
      <c r="J1599" s="186"/>
      <c r="K1599" s="186"/>
      <c r="L1599" s="186"/>
      <c r="M1599" s="186"/>
      <c r="N1599" s="186"/>
      <c r="O1599" s="186"/>
      <c r="P1599" s="188"/>
      <c r="Q1599" s="186"/>
      <c r="R1599" s="186"/>
    </row>
    <row r="1600" spans="7:18">
      <c r="G1600" s="133"/>
      <c r="H1600" s="184"/>
      <c r="I1600" s="184"/>
      <c r="J1600" s="186"/>
      <c r="K1600" s="186"/>
      <c r="L1600" s="186"/>
      <c r="M1600" s="186"/>
      <c r="N1600" s="186"/>
      <c r="O1600" s="186"/>
      <c r="P1600" s="188"/>
      <c r="Q1600" s="186"/>
      <c r="R1600" s="186"/>
    </row>
    <row r="1601" spans="7:18">
      <c r="G1601" s="133"/>
      <c r="H1601" s="184"/>
      <c r="I1601" s="184"/>
      <c r="J1601" s="186"/>
      <c r="K1601" s="186"/>
      <c r="L1601" s="186"/>
      <c r="M1601" s="186"/>
      <c r="N1601" s="186"/>
      <c r="O1601" s="186"/>
      <c r="P1601" s="188"/>
      <c r="Q1601" s="186"/>
      <c r="R1601" s="186"/>
    </row>
    <row r="1602" spans="7:18">
      <c r="G1602" s="133"/>
      <c r="H1602" s="184"/>
      <c r="I1602" s="184"/>
      <c r="J1602" s="186"/>
      <c r="K1602" s="186"/>
      <c r="L1602" s="186"/>
      <c r="M1602" s="186"/>
      <c r="N1602" s="186"/>
      <c r="O1602" s="186"/>
      <c r="P1602" s="188"/>
      <c r="Q1602" s="186"/>
      <c r="R1602" s="186"/>
    </row>
    <row r="1603" spans="7:18">
      <c r="G1603" s="133"/>
      <c r="H1603" s="184"/>
      <c r="I1603" s="184"/>
      <c r="J1603" s="186"/>
      <c r="K1603" s="186"/>
      <c r="L1603" s="186"/>
      <c r="M1603" s="186"/>
      <c r="N1603" s="186"/>
      <c r="O1603" s="186"/>
      <c r="P1603" s="188"/>
      <c r="Q1603" s="186"/>
      <c r="R1603" s="186"/>
    </row>
    <row r="1604" spans="7:18">
      <c r="G1604" s="133"/>
      <c r="H1604" s="184"/>
      <c r="I1604" s="184"/>
      <c r="J1604" s="186"/>
      <c r="K1604" s="186"/>
      <c r="L1604" s="186"/>
      <c r="M1604" s="186"/>
      <c r="N1604" s="186"/>
      <c r="O1604" s="186"/>
      <c r="P1604" s="188"/>
      <c r="Q1604" s="186"/>
      <c r="R1604" s="186"/>
    </row>
    <row r="1605" spans="7:18">
      <c r="G1605" s="133"/>
      <c r="H1605" s="184"/>
      <c r="I1605" s="184"/>
      <c r="J1605" s="186"/>
      <c r="K1605" s="186"/>
      <c r="L1605" s="186"/>
      <c r="M1605" s="186"/>
      <c r="N1605" s="186"/>
      <c r="O1605" s="186"/>
      <c r="P1605" s="188"/>
      <c r="Q1605" s="186"/>
      <c r="R1605" s="186"/>
    </row>
    <row r="1606" spans="7:18">
      <c r="G1606" s="133"/>
      <c r="H1606" s="184"/>
      <c r="I1606" s="184"/>
      <c r="J1606" s="186"/>
      <c r="K1606" s="186"/>
      <c r="L1606" s="186"/>
      <c r="M1606" s="186"/>
      <c r="N1606" s="186"/>
      <c r="O1606" s="186"/>
      <c r="P1606" s="188"/>
      <c r="Q1606" s="186"/>
      <c r="R1606" s="186"/>
    </row>
    <row r="1607" spans="7:18">
      <c r="G1607" s="133"/>
      <c r="H1607" s="184"/>
      <c r="I1607" s="184"/>
      <c r="J1607" s="186"/>
      <c r="K1607" s="186"/>
      <c r="L1607" s="186"/>
      <c r="M1607" s="186"/>
      <c r="N1607" s="186"/>
      <c r="O1607" s="186"/>
      <c r="P1607" s="188"/>
      <c r="Q1607" s="186"/>
      <c r="R1607" s="186"/>
    </row>
    <row r="1608" spans="7:18">
      <c r="G1608" s="133"/>
      <c r="H1608" s="184"/>
      <c r="I1608" s="184"/>
      <c r="J1608" s="186"/>
      <c r="K1608" s="186"/>
      <c r="L1608" s="186"/>
      <c r="M1608" s="186"/>
      <c r="N1608" s="186"/>
      <c r="O1608" s="186"/>
      <c r="P1608" s="188"/>
      <c r="Q1608" s="186"/>
      <c r="R1608" s="186"/>
    </row>
    <row r="1609" spans="7:18">
      <c r="G1609" s="133"/>
      <c r="H1609" s="184"/>
      <c r="I1609" s="184"/>
      <c r="J1609" s="186"/>
      <c r="K1609" s="186"/>
      <c r="L1609" s="186"/>
      <c r="M1609" s="186"/>
      <c r="N1609" s="186"/>
      <c r="O1609" s="186"/>
      <c r="P1609" s="188"/>
      <c r="Q1609" s="186"/>
      <c r="R1609" s="186"/>
    </row>
    <row r="1610" spans="7:18">
      <c r="G1610" s="133"/>
      <c r="H1610" s="184"/>
      <c r="I1610" s="184"/>
      <c r="J1610" s="186"/>
      <c r="K1610" s="186"/>
      <c r="L1610" s="186"/>
      <c r="M1610" s="186"/>
      <c r="N1610" s="186"/>
      <c r="O1610" s="186"/>
      <c r="P1610" s="188"/>
      <c r="Q1610" s="186"/>
      <c r="R1610" s="186"/>
    </row>
    <row r="1611" spans="7:18">
      <c r="G1611" s="133"/>
      <c r="H1611" s="184"/>
      <c r="I1611" s="184"/>
      <c r="J1611" s="186"/>
      <c r="K1611" s="186"/>
      <c r="L1611" s="186"/>
      <c r="M1611" s="186"/>
      <c r="N1611" s="186"/>
      <c r="O1611" s="186"/>
      <c r="P1611" s="188"/>
      <c r="Q1611" s="186"/>
      <c r="R1611" s="186"/>
    </row>
    <row r="1612" spans="7:18">
      <c r="G1612" s="133"/>
      <c r="H1612" s="184"/>
      <c r="I1612" s="184"/>
      <c r="J1612" s="186"/>
      <c r="K1612" s="186"/>
      <c r="L1612" s="186"/>
      <c r="M1612" s="186"/>
      <c r="N1612" s="186"/>
      <c r="O1612" s="186"/>
      <c r="P1612" s="188"/>
      <c r="Q1612" s="186"/>
      <c r="R1612" s="186"/>
    </row>
    <row r="1613" spans="7:18">
      <c r="G1613" s="133"/>
      <c r="H1613" s="184"/>
      <c r="I1613" s="184"/>
      <c r="J1613" s="186"/>
      <c r="K1613" s="186"/>
      <c r="L1613" s="186"/>
      <c r="M1613" s="186"/>
      <c r="N1613" s="186"/>
      <c r="O1613" s="186"/>
      <c r="P1613" s="188"/>
      <c r="Q1613" s="186"/>
      <c r="R1613" s="186"/>
    </row>
    <row r="1614" spans="7:18">
      <c r="G1614" s="133"/>
      <c r="H1614" s="184"/>
      <c r="I1614" s="184"/>
      <c r="J1614" s="186"/>
      <c r="K1614" s="186"/>
      <c r="L1614" s="186"/>
      <c r="M1614" s="186"/>
      <c r="N1614" s="186"/>
      <c r="O1614" s="186"/>
      <c r="P1614" s="188"/>
      <c r="Q1614" s="186"/>
      <c r="R1614" s="186"/>
    </row>
    <row r="1615" spans="7:18">
      <c r="G1615" s="133"/>
      <c r="H1615" s="184"/>
      <c r="I1615" s="184"/>
      <c r="J1615" s="186"/>
      <c r="K1615" s="186"/>
      <c r="L1615" s="186"/>
      <c r="M1615" s="186"/>
      <c r="N1615" s="186"/>
      <c r="O1615" s="186"/>
      <c r="P1615" s="188"/>
      <c r="Q1615" s="186"/>
      <c r="R1615" s="186"/>
    </row>
    <row r="1616" spans="7:18">
      <c r="G1616" s="133"/>
      <c r="H1616" s="184"/>
      <c r="I1616" s="184"/>
      <c r="J1616" s="186"/>
      <c r="K1616" s="186"/>
      <c r="L1616" s="186"/>
      <c r="M1616" s="186"/>
      <c r="N1616" s="186"/>
      <c r="O1616" s="186"/>
      <c r="P1616" s="188"/>
      <c r="Q1616" s="186"/>
      <c r="R1616" s="186"/>
    </row>
    <row r="1617" spans="7:18">
      <c r="G1617" s="133"/>
      <c r="H1617" s="184"/>
      <c r="I1617" s="184"/>
      <c r="J1617" s="186"/>
      <c r="K1617" s="186"/>
      <c r="L1617" s="186"/>
      <c r="M1617" s="186"/>
      <c r="N1617" s="186"/>
      <c r="O1617" s="186"/>
      <c r="P1617" s="188"/>
      <c r="Q1617" s="186"/>
      <c r="R1617" s="186"/>
    </row>
    <row r="1618" spans="7:18">
      <c r="G1618" s="133"/>
      <c r="H1618" s="184"/>
      <c r="I1618" s="184"/>
      <c r="J1618" s="186"/>
      <c r="K1618" s="186"/>
      <c r="L1618" s="186"/>
      <c r="M1618" s="186"/>
      <c r="N1618" s="186"/>
      <c r="O1618" s="186"/>
      <c r="P1618" s="188"/>
      <c r="Q1618" s="186"/>
      <c r="R1618" s="186"/>
    </row>
    <row r="1619" spans="7:18">
      <c r="G1619" s="133"/>
      <c r="H1619" s="184"/>
      <c r="I1619" s="184"/>
      <c r="J1619" s="186"/>
      <c r="K1619" s="186"/>
      <c r="L1619" s="186"/>
      <c r="M1619" s="186"/>
      <c r="N1619" s="186"/>
      <c r="O1619" s="186"/>
      <c r="P1619" s="188"/>
      <c r="Q1619" s="186"/>
      <c r="R1619" s="186"/>
    </row>
    <row r="1620" spans="7:18">
      <c r="G1620" s="133"/>
      <c r="H1620" s="184"/>
      <c r="I1620" s="184"/>
      <c r="J1620" s="186"/>
      <c r="K1620" s="186"/>
      <c r="L1620" s="186"/>
      <c r="M1620" s="186"/>
      <c r="N1620" s="186"/>
      <c r="O1620" s="186"/>
      <c r="P1620" s="188"/>
      <c r="Q1620" s="186"/>
      <c r="R1620" s="186"/>
    </row>
    <row r="1621" spans="7:18">
      <c r="G1621" s="133"/>
      <c r="H1621" s="184"/>
      <c r="I1621" s="184"/>
      <c r="J1621" s="186"/>
      <c r="K1621" s="186"/>
      <c r="L1621" s="186"/>
      <c r="M1621" s="186"/>
      <c r="N1621" s="186"/>
      <c r="O1621" s="186"/>
      <c r="P1621" s="188"/>
      <c r="Q1621" s="186"/>
      <c r="R1621" s="186"/>
    </row>
    <row r="1622" spans="7:18">
      <c r="G1622" s="133"/>
      <c r="H1622" s="184"/>
      <c r="I1622" s="184"/>
      <c r="J1622" s="186"/>
      <c r="K1622" s="186"/>
      <c r="L1622" s="186"/>
      <c r="M1622" s="186"/>
      <c r="N1622" s="186"/>
      <c r="O1622" s="186"/>
      <c r="P1622" s="188"/>
      <c r="Q1622" s="186"/>
      <c r="R1622" s="186"/>
    </row>
    <row r="1623" spans="7:18">
      <c r="G1623" s="133"/>
      <c r="H1623" s="184"/>
      <c r="I1623" s="184"/>
      <c r="J1623" s="186"/>
      <c r="K1623" s="186"/>
      <c r="L1623" s="186"/>
      <c r="M1623" s="186"/>
      <c r="N1623" s="186"/>
      <c r="O1623" s="186"/>
      <c r="P1623" s="188"/>
      <c r="Q1623" s="186"/>
      <c r="R1623" s="186"/>
    </row>
    <row r="1624" spans="7:18">
      <c r="G1624" s="133"/>
      <c r="H1624" s="184"/>
      <c r="I1624" s="184"/>
      <c r="J1624" s="186"/>
      <c r="K1624" s="186"/>
      <c r="L1624" s="186"/>
      <c r="M1624" s="186"/>
      <c r="N1624" s="186"/>
      <c r="O1624" s="186"/>
      <c r="P1624" s="188"/>
      <c r="Q1624" s="186"/>
      <c r="R1624" s="186"/>
    </row>
    <row r="1625" spans="7:18">
      <c r="G1625" s="133"/>
      <c r="H1625" s="184"/>
      <c r="I1625" s="184"/>
      <c r="J1625" s="186"/>
      <c r="K1625" s="186"/>
      <c r="L1625" s="186"/>
      <c r="M1625" s="186"/>
      <c r="N1625" s="186"/>
      <c r="O1625" s="186"/>
      <c r="P1625" s="188"/>
      <c r="Q1625" s="186"/>
      <c r="R1625" s="186"/>
    </row>
    <row r="1626" spans="7:18">
      <c r="G1626" s="133"/>
      <c r="H1626" s="184"/>
      <c r="I1626" s="184"/>
      <c r="J1626" s="186"/>
      <c r="K1626" s="186"/>
      <c r="L1626" s="186"/>
      <c r="M1626" s="186"/>
      <c r="N1626" s="186"/>
      <c r="O1626" s="186"/>
      <c r="P1626" s="188"/>
      <c r="Q1626" s="186"/>
      <c r="R1626" s="186"/>
    </row>
    <row r="1627" spans="7:18">
      <c r="G1627" s="133"/>
      <c r="H1627" s="184"/>
      <c r="I1627" s="184"/>
      <c r="J1627" s="186"/>
      <c r="K1627" s="186"/>
      <c r="L1627" s="186"/>
      <c r="M1627" s="186"/>
      <c r="N1627" s="186"/>
      <c r="O1627" s="186"/>
      <c r="P1627" s="188"/>
      <c r="Q1627" s="186"/>
      <c r="R1627" s="186"/>
    </row>
    <row r="1628" spans="7:18">
      <c r="G1628" s="133"/>
      <c r="H1628" s="184"/>
      <c r="I1628" s="184"/>
      <c r="J1628" s="186"/>
      <c r="K1628" s="186"/>
      <c r="L1628" s="186"/>
      <c r="M1628" s="186"/>
      <c r="N1628" s="186"/>
      <c r="O1628" s="186"/>
      <c r="P1628" s="188"/>
      <c r="Q1628" s="186"/>
      <c r="R1628" s="186"/>
    </row>
    <row r="1629" spans="7:18">
      <c r="G1629" s="133"/>
      <c r="H1629" s="184"/>
      <c r="I1629" s="184"/>
      <c r="J1629" s="186"/>
      <c r="K1629" s="186"/>
      <c r="L1629" s="186"/>
      <c r="M1629" s="186"/>
      <c r="N1629" s="186"/>
      <c r="O1629" s="186"/>
      <c r="P1629" s="188"/>
      <c r="Q1629" s="186"/>
      <c r="R1629" s="186"/>
    </row>
    <row r="1630" spans="7:18">
      <c r="G1630" s="133"/>
      <c r="H1630" s="184"/>
      <c r="I1630" s="184"/>
      <c r="J1630" s="186"/>
      <c r="K1630" s="186"/>
      <c r="L1630" s="186"/>
      <c r="M1630" s="186"/>
      <c r="N1630" s="186"/>
      <c r="O1630" s="186"/>
      <c r="P1630" s="188"/>
      <c r="Q1630" s="186"/>
      <c r="R1630" s="186"/>
    </row>
    <row r="1631" spans="7:18">
      <c r="G1631" s="133"/>
      <c r="H1631" s="184"/>
      <c r="I1631" s="184"/>
      <c r="J1631" s="186"/>
      <c r="K1631" s="186"/>
      <c r="L1631" s="186"/>
      <c r="M1631" s="186"/>
      <c r="N1631" s="186"/>
      <c r="O1631" s="186"/>
      <c r="P1631" s="188"/>
      <c r="Q1631" s="186"/>
      <c r="R1631" s="186"/>
    </row>
    <row r="1632" spans="7:18">
      <c r="G1632" s="133"/>
      <c r="H1632" s="184"/>
      <c r="I1632" s="184"/>
      <c r="J1632" s="186"/>
      <c r="K1632" s="186"/>
      <c r="L1632" s="186"/>
      <c r="M1632" s="186"/>
      <c r="N1632" s="186"/>
      <c r="O1632" s="186"/>
      <c r="P1632" s="188"/>
      <c r="Q1632" s="186"/>
      <c r="R1632" s="186"/>
    </row>
    <row r="1633" spans="7:18">
      <c r="G1633" s="133"/>
      <c r="H1633" s="184"/>
      <c r="I1633" s="184"/>
      <c r="J1633" s="186"/>
      <c r="K1633" s="186"/>
      <c r="L1633" s="186"/>
      <c r="M1633" s="186"/>
      <c r="N1633" s="186"/>
      <c r="O1633" s="186"/>
      <c r="P1633" s="188"/>
      <c r="Q1633" s="186"/>
      <c r="R1633" s="186"/>
    </row>
    <row r="1634" spans="7:18">
      <c r="G1634" s="133"/>
      <c r="H1634" s="184"/>
      <c r="I1634" s="184"/>
      <c r="J1634" s="186"/>
      <c r="K1634" s="186"/>
      <c r="L1634" s="186"/>
      <c r="M1634" s="186"/>
      <c r="N1634" s="186"/>
      <c r="O1634" s="186"/>
      <c r="P1634" s="188"/>
      <c r="Q1634" s="186"/>
      <c r="R1634" s="186"/>
    </row>
    <row r="1635" spans="7:18">
      <c r="G1635" s="133"/>
      <c r="H1635" s="184"/>
      <c r="I1635" s="184"/>
      <c r="J1635" s="186"/>
      <c r="K1635" s="186"/>
      <c r="L1635" s="186"/>
      <c r="M1635" s="186"/>
      <c r="N1635" s="186"/>
      <c r="O1635" s="186"/>
      <c r="P1635" s="188"/>
      <c r="Q1635" s="186"/>
      <c r="R1635" s="186"/>
    </row>
    <row r="1636" spans="7:18">
      <c r="G1636" s="133"/>
      <c r="H1636" s="184"/>
      <c r="I1636" s="184"/>
      <c r="J1636" s="186"/>
      <c r="K1636" s="186"/>
      <c r="L1636" s="186"/>
      <c r="M1636" s="186"/>
      <c r="N1636" s="186"/>
      <c r="O1636" s="186"/>
      <c r="P1636" s="188"/>
      <c r="Q1636" s="186"/>
      <c r="R1636" s="186"/>
    </row>
    <row r="1637" spans="7:18">
      <c r="G1637" s="133"/>
      <c r="H1637" s="184"/>
      <c r="I1637" s="184"/>
      <c r="J1637" s="186"/>
      <c r="K1637" s="186"/>
      <c r="L1637" s="186"/>
      <c r="M1637" s="186"/>
      <c r="N1637" s="186"/>
      <c r="O1637" s="186"/>
      <c r="P1637" s="188"/>
      <c r="Q1637" s="186"/>
      <c r="R1637" s="186"/>
    </row>
    <row r="1638" spans="7:18">
      <c r="G1638" s="133"/>
      <c r="H1638" s="184"/>
      <c r="I1638" s="184"/>
      <c r="J1638" s="186"/>
      <c r="K1638" s="186"/>
      <c r="L1638" s="186"/>
      <c r="M1638" s="186"/>
      <c r="N1638" s="186"/>
      <c r="O1638" s="186"/>
      <c r="P1638" s="188"/>
      <c r="Q1638" s="186"/>
      <c r="R1638" s="186"/>
    </row>
    <row r="1639" spans="7:18">
      <c r="G1639" s="133"/>
      <c r="H1639" s="184"/>
      <c r="I1639" s="184"/>
      <c r="J1639" s="186"/>
      <c r="K1639" s="186"/>
      <c r="L1639" s="186"/>
      <c r="M1639" s="186"/>
      <c r="N1639" s="186"/>
      <c r="O1639" s="186"/>
      <c r="P1639" s="188"/>
      <c r="Q1639" s="186"/>
      <c r="R1639" s="186"/>
    </row>
    <row r="1640" spans="7:18">
      <c r="G1640" s="133"/>
      <c r="H1640" s="184"/>
      <c r="I1640" s="184"/>
      <c r="J1640" s="186"/>
      <c r="K1640" s="186"/>
      <c r="L1640" s="186"/>
      <c r="M1640" s="186"/>
      <c r="N1640" s="186"/>
      <c r="O1640" s="186"/>
      <c r="P1640" s="188"/>
      <c r="Q1640" s="186"/>
      <c r="R1640" s="186"/>
    </row>
    <row r="1641" spans="7:18">
      <c r="G1641" s="133"/>
      <c r="H1641" s="184"/>
      <c r="I1641" s="184"/>
      <c r="J1641" s="186"/>
      <c r="K1641" s="186"/>
      <c r="L1641" s="186"/>
      <c r="M1641" s="186"/>
      <c r="N1641" s="186"/>
      <c r="O1641" s="186"/>
      <c r="P1641" s="188"/>
      <c r="Q1641" s="186"/>
      <c r="R1641" s="186"/>
    </row>
    <row r="1642" spans="7:18">
      <c r="G1642" s="133"/>
      <c r="H1642" s="184"/>
      <c r="I1642" s="184"/>
      <c r="J1642" s="186"/>
      <c r="K1642" s="186"/>
      <c r="L1642" s="186"/>
      <c r="M1642" s="186"/>
      <c r="N1642" s="186"/>
      <c r="O1642" s="186"/>
      <c r="P1642" s="188"/>
      <c r="Q1642" s="186"/>
      <c r="R1642" s="186"/>
    </row>
    <row r="1643" spans="7:18">
      <c r="G1643" s="133"/>
      <c r="H1643" s="184"/>
      <c r="I1643" s="184"/>
      <c r="J1643" s="186"/>
      <c r="K1643" s="186"/>
      <c r="L1643" s="186"/>
      <c r="M1643" s="186"/>
      <c r="N1643" s="186"/>
      <c r="O1643" s="186"/>
      <c r="P1643" s="188"/>
      <c r="Q1643" s="186"/>
      <c r="R1643" s="186"/>
    </row>
    <row r="1644" spans="7:18">
      <c r="G1644" s="133"/>
      <c r="H1644" s="184"/>
      <c r="I1644" s="184"/>
      <c r="J1644" s="186"/>
      <c r="K1644" s="186"/>
      <c r="L1644" s="186"/>
      <c r="M1644" s="186"/>
      <c r="N1644" s="186"/>
      <c r="O1644" s="186"/>
      <c r="P1644" s="188"/>
      <c r="Q1644" s="186"/>
      <c r="R1644" s="186"/>
    </row>
    <row r="1645" spans="7:18">
      <c r="G1645" s="133"/>
      <c r="H1645" s="184"/>
      <c r="I1645" s="184"/>
      <c r="J1645" s="186"/>
      <c r="K1645" s="186"/>
      <c r="L1645" s="186"/>
      <c r="M1645" s="186"/>
      <c r="N1645" s="186"/>
      <c r="O1645" s="186"/>
      <c r="P1645" s="188"/>
      <c r="Q1645" s="186"/>
      <c r="R1645" s="186"/>
    </row>
    <row r="1646" spans="7:18">
      <c r="G1646" s="133"/>
      <c r="H1646" s="184"/>
      <c r="I1646" s="184"/>
      <c r="J1646" s="186"/>
      <c r="K1646" s="186"/>
      <c r="L1646" s="186"/>
      <c r="M1646" s="186"/>
      <c r="N1646" s="186"/>
      <c r="O1646" s="186"/>
      <c r="P1646" s="188"/>
      <c r="Q1646" s="186"/>
      <c r="R1646" s="186"/>
    </row>
    <row r="1647" spans="7:18">
      <c r="G1647" s="133"/>
      <c r="H1647" s="184"/>
      <c r="I1647" s="184"/>
      <c r="J1647" s="186"/>
      <c r="K1647" s="186"/>
      <c r="L1647" s="186"/>
      <c r="M1647" s="186"/>
      <c r="N1647" s="186"/>
      <c r="O1647" s="186"/>
      <c r="P1647" s="188"/>
      <c r="Q1647" s="186"/>
      <c r="R1647" s="186"/>
    </row>
    <row r="1648" spans="7:18">
      <c r="G1648" s="133"/>
      <c r="H1648" s="184"/>
      <c r="I1648" s="184"/>
      <c r="J1648" s="186"/>
      <c r="K1648" s="186"/>
      <c r="L1648" s="186"/>
      <c r="M1648" s="186"/>
      <c r="N1648" s="186"/>
      <c r="O1648" s="186"/>
      <c r="P1648" s="188"/>
      <c r="Q1648" s="186"/>
      <c r="R1648" s="186"/>
    </row>
    <row r="1649" spans="7:18">
      <c r="G1649" s="133"/>
      <c r="H1649" s="184"/>
      <c r="I1649" s="184"/>
      <c r="J1649" s="186"/>
      <c r="K1649" s="186"/>
      <c r="L1649" s="186"/>
      <c r="M1649" s="186"/>
      <c r="N1649" s="186"/>
      <c r="O1649" s="186"/>
      <c r="P1649" s="188"/>
      <c r="Q1649" s="186"/>
      <c r="R1649" s="186"/>
    </row>
    <row r="1650" spans="7:18">
      <c r="G1650" s="133"/>
      <c r="H1650" s="184"/>
      <c r="I1650" s="184"/>
      <c r="J1650" s="186"/>
      <c r="K1650" s="186"/>
      <c r="L1650" s="186"/>
      <c r="M1650" s="186"/>
      <c r="N1650" s="186"/>
      <c r="O1650" s="186"/>
      <c r="P1650" s="188"/>
      <c r="Q1650" s="186"/>
      <c r="R1650" s="186"/>
    </row>
    <row r="1651" spans="7:18">
      <c r="G1651" s="133"/>
      <c r="H1651" s="184"/>
      <c r="I1651" s="184"/>
      <c r="J1651" s="186"/>
      <c r="K1651" s="186"/>
      <c r="L1651" s="186"/>
      <c r="M1651" s="186"/>
      <c r="N1651" s="186"/>
      <c r="O1651" s="186"/>
      <c r="P1651" s="188"/>
      <c r="Q1651" s="186"/>
      <c r="R1651" s="186"/>
    </row>
    <row r="1652" spans="7:18">
      <c r="G1652" s="133"/>
      <c r="H1652" s="184"/>
      <c r="I1652" s="184"/>
      <c r="J1652" s="186"/>
      <c r="K1652" s="186"/>
      <c r="L1652" s="186"/>
      <c r="M1652" s="186"/>
      <c r="N1652" s="186"/>
      <c r="O1652" s="186"/>
      <c r="P1652" s="188"/>
      <c r="Q1652" s="186"/>
      <c r="R1652" s="186"/>
    </row>
    <row r="1653" spans="7:18">
      <c r="G1653" s="133"/>
      <c r="H1653" s="184"/>
      <c r="I1653" s="184"/>
      <c r="J1653" s="186"/>
      <c r="K1653" s="186"/>
      <c r="L1653" s="186"/>
      <c r="M1653" s="186"/>
      <c r="N1653" s="186"/>
      <c r="O1653" s="186"/>
      <c r="P1653" s="188"/>
      <c r="Q1653" s="186"/>
      <c r="R1653" s="186"/>
    </row>
    <row r="1654" spans="7:18">
      <c r="G1654" s="133"/>
      <c r="H1654" s="184"/>
      <c r="I1654" s="184"/>
      <c r="J1654" s="186"/>
      <c r="K1654" s="186"/>
      <c r="L1654" s="186"/>
      <c r="M1654" s="186"/>
      <c r="N1654" s="186"/>
      <c r="O1654" s="186"/>
      <c r="P1654" s="188"/>
      <c r="Q1654" s="186"/>
      <c r="R1654" s="186"/>
    </row>
    <row r="1655" spans="7:18">
      <c r="G1655" s="133"/>
      <c r="H1655" s="184"/>
      <c r="I1655" s="184"/>
      <c r="J1655" s="186"/>
      <c r="K1655" s="186"/>
      <c r="L1655" s="186"/>
      <c r="M1655" s="186"/>
      <c r="N1655" s="186"/>
      <c r="O1655" s="186"/>
      <c r="P1655" s="188"/>
      <c r="Q1655" s="186"/>
      <c r="R1655" s="186"/>
    </row>
    <row r="1656" spans="7:18">
      <c r="G1656" s="133"/>
      <c r="H1656" s="184"/>
      <c r="I1656" s="184"/>
      <c r="J1656" s="186"/>
      <c r="K1656" s="186"/>
      <c r="L1656" s="186"/>
      <c r="M1656" s="186"/>
      <c r="N1656" s="186"/>
      <c r="O1656" s="186"/>
      <c r="P1656" s="188"/>
      <c r="Q1656" s="186"/>
      <c r="R1656" s="186"/>
    </row>
    <row r="1657" spans="7:18">
      <c r="G1657" s="133"/>
      <c r="H1657" s="184"/>
      <c r="I1657" s="184"/>
      <c r="J1657" s="186"/>
      <c r="K1657" s="186"/>
      <c r="L1657" s="186"/>
      <c r="M1657" s="186"/>
      <c r="N1657" s="186"/>
      <c r="O1657" s="186"/>
      <c r="P1657" s="188"/>
      <c r="Q1657" s="186"/>
      <c r="R1657" s="186"/>
    </row>
    <row r="1658" spans="7:18">
      <c r="G1658" s="133"/>
      <c r="H1658" s="184"/>
      <c r="I1658" s="184"/>
      <c r="J1658" s="186"/>
      <c r="K1658" s="186"/>
      <c r="L1658" s="186"/>
      <c r="M1658" s="186"/>
      <c r="N1658" s="186"/>
      <c r="O1658" s="186"/>
      <c r="P1658" s="188"/>
      <c r="Q1658" s="186"/>
      <c r="R1658" s="186"/>
    </row>
    <row r="1659" spans="7:18">
      <c r="G1659" s="133"/>
      <c r="H1659" s="184"/>
      <c r="I1659" s="184"/>
      <c r="J1659" s="186"/>
      <c r="K1659" s="186"/>
      <c r="L1659" s="186"/>
      <c r="M1659" s="186"/>
      <c r="N1659" s="186"/>
      <c r="O1659" s="186"/>
      <c r="P1659" s="188"/>
      <c r="Q1659" s="186"/>
      <c r="R1659" s="186"/>
    </row>
    <row r="1660" spans="7:18">
      <c r="G1660" s="133"/>
      <c r="H1660" s="184"/>
      <c r="I1660" s="184"/>
      <c r="J1660" s="186"/>
      <c r="K1660" s="186"/>
      <c r="L1660" s="186"/>
      <c r="M1660" s="186"/>
      <c r="N1660" s="186"/>
      <c r="O1660" s="186"/>
      <c r="P1660" s="188"/>
      <c r="Q1660" s="186"/>
      <c r="R1660" s="186"/>
    </row>
    <row r="1661" spans="7:18">
      <c r="G1661" s="133"/>
      <c r="H1661" s="184"/>
      <c r="I1661" s="184"/>
      <c r="J1661" s="186"/>
      <c r="K1661" s="186"/>
      <c r="L1661" s="186"/>
      <c r="M1661" s="186"/>
      <c r="N1661" s="186"/>
      <c r="O1661" s="186"/>
      <c r="P1661" s="188"/>
      <c r="Q1661" s="186"/>
      <c r="R1661" s="186"/>
    </row>
    <row r="1662" spans="7:18">
      <c r="G1662" s="133"/>
      <c r="H1662" s="184"/>
      <c r="I1662" s="184"/>
      <c r="J1662" s="186"/>
      <c r="K1662" s="186"/>
      <c r="L1662" s="186"/>
      <c r="M1662" s="186"/>
      <c r="N1662" s="186"/>
      <c r="O1662" s="186"/>
      <c r="P1662" s="188"/>
      <c r="Q1662" s="186"/>
      <c r="R1662" s="186"/>
    </row>
    <row r="1663" spans="7:18">
      <c r="G1663" s="133"/>
      <c r="H1663" s="184"/>
      <c r="I1663" s="184"/>
      <c r="J1663" s="186"/>
      <c r="K1663" s="186"/>
      <c r="L1663" s="186"/>
      <c r="M1663" s="186"/>
      <c r="N1663" s="186"/>
      <c r="O1663" s="186"/>
      <c r="P1663" s="188"/>
      <c r="Q1663" s="186"/>
      <c r="R1663" s="186"/>
    </row>
    <row r="1664" spans="7:18">
      <c r="G1664" s="133"/>
      <c r="H1664" s="184"/>
      <c r="I1664" s="184"/>
      <c r="J1664" s="186"/>
      <c r="K1664" s="186"/>
      <c r="L1664" s="186"/>
      <c r="M1664" s="186"/>
      <c r="N1664" s="186"/>
      <c r="O1664" s="186"/>
      <c r="P1664" s="188"/>
      <c r="Q1664" s="186"/>
      <c r="R1664" s="186"/>
    </row>
    <row r="1665" spans="7:18">
      <c r="G1665" s="133"/>
      <c r="H1665" s="184"/>
      <c r="I1665" s="184"/>
      <c r="J1665" s="186"/>
      <c r="K1665" s="186"/>
      <c r="L1665" s="186"/>
      <c r="M1665" s="186"/>
      <c r="N1665" s="186"/>
      <c r="O1665" s="186"/>
      <c r="P1665" s="188"/>
      <c r="Q1665" s="186"/>
      <c r="R1665" s="186"/>
    </row>
    <row r="1666" spans="7:18">
      <c r="G1666" s="133"/>
      <c r="H1666" s="184"/>
      <c r="I1666" s="184"/>
      <c r="J1666" s="186"/>
      <c r="K1666" s="186"/>
      <c r="L1666" s="186"/>
      <c r="M1666" s="186"/>
      <c r="N1666" s="186"/>
      <c r="O1666" s="186"/>
      <c r="P1666" s="188"/>
      <c r="Q1666" s="186"/>
      <c r="R1666" s="186"/>
    </row>
    <row r="1667" spans="7:18">
      <c r="G1667" s="133"/>
      <c r="H1667" s="184"/>
      <c r="I1667" s="184"/>
      <c r="J1667" s="186"/>
      <c r="K1667" s="186"/>
      <c r="L1667" s="186"/>
      <c r="M1667" s="186"/>
      <c r="N1667" s="186"/>
      <c r="O1667" s="186"/>
      <c r="P1667" s="188"/>
      <c r="Q1667" s="186"/>
      <c r="R1667" s="186"/>
    </row>
    <row r="1668" spans="7:18">
      <c r="G1668" s="133"/>
      <c r="H1668" s="184"/>
      <c r="I1668" s="184"/>
      <c r="J1668" s="186"/>
      <c r="K1668" s="186"/>
      <c r="L1668" s="186"/>
      <c r="M1668" s="186"/>
      <c r="N1668" s="186"/>
      <c r="O1668" s="186"/>
      <c r="P1668" s="188"/>
      <c r="Q1668" s="186"/>
      <c r="R1668" s="186"/>
    </row>
    <row r="1669" spans="7:18">
      <c r="G1669" s="133"/>
      <c r="H1669" s="184"/>
      <c r="I1669" s="184"/>
      <c r="J1669" s="186"/>
      <c r="K1669" s="186"/>
      <c r="L1669" s="186"/>
      <c r="M1669" s="186"/>
      <c r="N1669" s="186"/>
      <c r="O1669" s="186"/>
      <c r="P1669" s="188"/>
      <c r="Q1669" s="186"/>
      <c r="R1669" s="186"/>
    </row>
    <row r="1670" spans="7:18">
      <c r="G1670" s="133"/>
      <c r="H1670" s="184"/>
      <c r="I1670" s="184"/>
      <c r="J1670" s="186"/>
      <c r="K1670" s="186"/>
      <c r="L1670" s="186"/>
      <c r="M1670" s="186"/>
      <c r="N1670" s="186"/>
      <c r="O1670" s="186"/>
      <c r="P1670" s="188"/>
      <c r="Q1670" s="186"/>
      <c r="R1670" s="186"/>
    </row>
    <row r="1671" spans="7:18">
      <c r="G1671" s="133"/>
      <c r="H1671" s="184"/>
      <c r="I1671" s="184"/>
      <c r="J1671" s="186"/>
      <c r="K1671" s="186"/>
      <c r="L1671" s="186"/>
      <c r="M1671" s="186"/>
      <c r="N1671" s="186"/>
      <c r="O1671" s="186"/>
      <c r="P1671" s="188"/>
      <c r="Q1671" s="186"/>
      <c r="R1671" s="186"/>
    </row>
    <row r="1672" spans="7:18">
      <c r="G1672" s="133"/>
      <c r="H1672" s="184"/>
      <c r="I1672" s="184"/>
      <c r="J1672" s="186"/>
      <c r="K1672" s="186"/>
      <c r="L1672" s="186"/>
      <c r="M1672" s="186"/>
      <c r="N1672" s="186"/>
      <c r="O1672" s="186"/>
      <c r="P1672" s="188"/>
      <c r="Q1672" s="186"/>
      <c r="R1672" s="186"/>
    </row>
    <row r="1673" spans="7:18">
      <c r="G1673" s="133"/>
      <c r="H1673" s="184"/>
      <c r="I1673" s="184"/>
      <c r="J1673" s="186"/>
      <c r="K1673" s="186"/>
      <c r="L1673" s="186"/>
      <c r="M1673" s="186"/>
      <c r="N1673" s="186"/>
      <c r="O1673" s="186"/>
      <c r="P1673" s="188"/>
      <c r="Q1673" s="186"/>
      <c r="R1673" s="186"/>
    </row>
    <row r="1674" spans="7:18">
      <c r="G1674" s="133"/>
      <c r="H1674" s="184"/>
      <c r="I1674" s="184"/>
      <c r="J1674" s="186"/>
      <c r="K1674" s="186"/>
      <c r="L1674" s="186"/>
      <c r="M1674" s="186"/>
      <c r="N1674" s="186"/>
      <c r="O1674" s="186"/>
      <c r="P1674" s="188"/>
      <c r="Q1674" s="186"/>
      <c r="R1674" s="186"/>
    </row>
    <row r="1675" spans="7:18">
      <c r="G1675" s="133"/>
      <c r="H1675" s="184"/>
      <c r="I1675" s="184"/>
      <c r="J1675" s="186"/>
      <c r="K1675" s="186"/>
      <c r="L1675" s="186"/>
      <c r="M1675" s="186"/>
      <c r="N1675" s="186"/>
      <c r="O1675" s="186"/>
      <c r="P1675" s="188"/>
      <c r="Q1675" s="186"/>
      <c r="R1675" s="186"/>
    </row>
    <row r="1676" spans="7:18">
      <c r="G1676" s="133"/>
      <c r="H1676" s="184"/>
      <c r="I1676" s="184"/>
      <c r="J1676" s="186"/>
      <c r="K1676" s="186"/>
      <c r="L1676" s="186"/>
      <c r="M1676" s="186"/>
      <c r="N1676" s="186"/>
      <c r="O1676" s="186"/>
      <c r="P1676" s="188"/>
      <c r="Q1676" s="186"/>
      <c r="R1676" s="186"/>
    </row>
    <row r="1677" spans="7:18">
      <c r="G1677" s="133"/>
      <c r="H1677" s="184"/>
      <c r="I1677" s="184"/>
      <c r="J1677" s="186"/>
      <c r="K1677" s="186"/>
      <c r="L1677" s="186"/>
      <c r="M1677" s="186"/>
      <c r="N1677" s="186"/>
      <c r="O1677" s="186"/>
      <c r="P1677" s="188"/>
      <c r="Q1677" s="186"/>
      <c r="R1677" s="186"/>
    </row>
    <row r="1678" spans="7:18">
      <c r="G1678" s="133"/>
      <c r="H1678" s="184"/>
      <c r="I1678" s="184"/>
      <c r="J1678" s="186"/>
      <c r="K1678" s="186"/>
      <c r="L1678" s="186"/>
      <c r="M1678" s="186"/>
      <c r="N1678" s="186"/>
      <c r="O1678" s="186"/>
      <c r="P1678" s="188"/>
      <c r="Q1678" s="186"/>
      <c r="R1678" s="186"/>
    </row>
    <row r="1679" spans="7:18">
      <c r="G1679" s="133"/>
      <c r="H1679" s="184"/>
      <c r="I1679" s="184"/>
      <c r="J1679" s="186"/>
      <c r="K1679" s="186"/>
      <c r="L1679" s="186"/>
      <c r="M1679" s="186"/>
      <c r="N1679" s="186"/>
      <c r="O1679" s="186"/>
      <c r="P1679" s="188"/>
      <c r="Q1679" s="186"/>
      <c r="R1679" s="186"/>
    </row>
    <row r="1680" spans="7:18">
      <c r="G1680" s="133"/>
      <c r="H1680" s="184"/>
      <c r="I1680" s="184"/>
      <c r="J1680" s="186"/>
      <c r="K1680" s="186"/>
      <c r="L1680" s="186"/>
      <c r="M1680" s="186"/>
      <c r="N1680" s="186"/>
      <c r="O1680" s="186"/>
      <c r="P1680" s="188"/>
      <c r="Q1680" s="186"/>
      <c r="R1680" s="186"/>
    </row>
    <row r="1681" spans="7:18">
      <c r="G1681" s="133"/>
      <c r="H1681" s="184"/>
      <c r="I1681" s="184"/>
      <c r="J1681" s="186"/>
      <c r="K1681" s="186"/>
      <c r="L1681" s="186"/>
      <c r="M1681" s="186"/>
      <c r="N1681" s="186"/>
      <c r="O1681" s="186"/>
      <c r="P1681" s="188"/>
      <c r="Q1681" s="186"/>
      <c r="R1681" s="186"/>
    </row>
    <row r="1682" spans="7:18">
      <c r="G1682" s="133"/>
      <c r="H1682" s="184"/>
      <c r="I1682" s="184"/>
      <c r="J1682" s="186"/>
      <c r="K1682" s="186"/>
      <c r="L1682" s="186"/>
      <c r="M1682" s="186"/>
      <c r="N1682" s="186"/>
      <c r="O1682" s="186"/>
      <c r="P1682" s="188"/>
      <c r="Q1682" s="186"/>
      <c r="R1682" s="186"/>
    </row>
    <row r="1683" spans="7:18">
      <c r="G1683" s="133"/>
      <c r="H1683" s="184"/>
      <c r="I1683" s="184"/>
      <c r="J1683" s="186"/>
      <c r="K1683" s="186"/>
      <c r="L1683" s="186"/>
      <c r="M1683" s="186"/>
      <c r="N1683" s="186"/>
      <c r="O1683" s="186"/>
      <c r="P1683" s="188"/>
      <c r="Q1683" s="186"/>
      <c r="R1683" s="186"/>
    </row>
    <row r="1684" spans="7:18">
      <c r="G1684" s="133"/>
      <c r="H1684" s="184"/>
      <c r="I1684" s="184"/>
      <c r="J1684" s="186"/>
      <c r="K1684" s="186"/>
      <c r="L1684" s="186"/>
      <c r="M1684" s="186"/>
      <c r="N1684" s="186"/>
      <c r="O1684" s="186"/>
      <c r="P1684" s="188"/>
      <c r="Q1684" s="186"/>
      <c r="R1684" s="186"/>
    </row>
    <row r="1685" spans="7:18">
      <c r="G1685" s="133"/>
      <c r="H1685" s="184"/>
      <c r="I1685" s="184"/>
      <c r="J1685" s="186"/>
      <c r="K1685" s="186"/>
      <c r="L1685" s="186"/>
      <c r="M1685" s="186"/>
      <c r="N1685" s="186"/>
      <c r="O1685" s="186"/>
      <c r="P1685" s="188"/>
      <c r="Q1685" s="186"/>
      <c r="R1685" s="186"/>
    </row>
    <row r="1686" spans="7:18">
      <c r="G1686" s="133"/>
      <c r="H1686" s="184"/>
      <c r="I1686" s="184"/>
      <c r="J1686" s="186"/>
      <c r="K1686" s="186"/>
      <c r="L1686" s="186"/>
      <c r="M1686" s="186"/>
      <c r="N1686" s="186"/>
      <c r="O1686" s="186"/>
      <c r="P1686" s="188"/>
      <c r="Q1686" s="186"/>
      <c r="R1686" s="186"/>
    </row>
    <row r="1687" spans="7:18">
      <c r="G1687" s="133"/>
      <c r="H1687" s="184"/>
      <c r="I1687" s="184"/>
      <c r="J1687" s="186"/>
      <c r="K1687" s="186"/>
      <c r="L1687" s="186"/>
      <c r="M1687" s="186"/>
      <c r="N1687" s="186"/>
      <c r="O1687" s="186"/>
      <c r="P1687" s="188"/>
      <c r="Q1687" s="186"/>
      <c r="R1687" s="186"/>
    </row>
    <row r="1688" spans="7:18">
      <c r="G1688" s="133"/>
      <c r="H1688" s="184"/>
      <c r="I1688" s="184"/>
      <c r="J1688" s="186"/>
      <c r="K1688" s="186"/>
      <c r="L1688" s="186"/>
      <c r="M1688" s="186"/>
      <c r="N1688" s="186"/>
      <c r="O1688" s="186"/>
      <c r="P1688" s="188"/>
      <c r="Q1688" s="186"/>
      <c r="R1688" s="186"/>
    </row>
    <row r="1689" spans="7:18">
      <c r="G1689" s="133"/>
      <c r="H1689" s="184"/>
      <c r="I1689" s="184"/>
      <c r="J1689" s="186"/>
      <c r="K1689" s="186"/>
      <c r="L1689" s="186"/>
      <c r="M1689" s="186"/>
      <c r="N1689" s="186"/>
      <c r="O1689" s="186"/>
      <c r="P1689" s="188"/>
      <c r="Q1689" s="186"/>
      <c r="R1689" s="186"/>
    </row>
    <row r="1690" spans="7:18">
      <c r="G1690" s="133"/>
      <c r="H1690" s="184"/>
      <c r="I1690" s="184"/>
      <c r="J1690" s="186"/>
      <c r="K1690" s="186"/>
      <c r="L1690" s="186"/>
      <c r="M1690" s="186"/>
      <c r="N1690" s="186"/>
      <c r="O1690" s="186"/>
      <c r="P1690" s="188"/>
      <c r="Q1690" s="186"/>
      <c r="R1690" s="186"/>
    </row>
    <row r="1691" spans="7:18">
      <c r="G1691" s="133"/>
      <c r="H1691" s="184"/>
      <c r="I1691" s="184"/>
      <c r="J1691" s="186"/>
      <c r="K1691" s="186"/>
      <c r="L1691" s="186"/>
      <c r="M1691" s="186"/>
      <c r="N1691" s="186"/>
      <c r="O1691" s="186"/>
      <c r="P1691" s="188"/>
      <c r="Q1691" s="186"/>
      <c r="R1691" s="186"/>
    </row>
    <row r="1692" spans="7:18">
      <c r="G1692" s="133"/>
      <c r="H1692" s="184"/>
      <c r="I1692" s="184"/>
      <c r="J1692" s="186"/>
      <c r="K1692" s="186"/>
      <c r="L1692" s="186"/>
      <c r="M1692" s="186"/>
      <c r="N1692" s="186"/>
      <c r="O1692" s="186"/>
      <c r="P1692" s="188"/>
      <c r="Q1692" s="186"/>
      <c r="R1692" s="186"/>
    </row>
    <row r="1693" spans="7:18">
      <c r="G1693" s="133"/>
      <c r="H1693" s="184"/>
      <c r="I1693" s="184"/>
      <c r="J1693" s="186"/>
      <c r="K1693" s="186"/>
      <c r="L1693" s="186"/>
      <c r="M1693" s="186"/>
      <c r="N1693" s="186"/>
      <c r="O1693" s="186"/>
      <c r="P1693" s="188"/>
      <c r="Q1693" s="186"/>
      <c r="R1693" s="186"/>
    </row>
    <row r="1694" spans="7:18">
      <c r="G1694" s="133"/>
      <c r="H1694" s="184"/>
      <c r="I1694" s="184"/>
      <c r="J1694" s="186"/>
      <c r="K1694" s="186"/>
      <c r="L1694" s="186"/>
      <c r="M1694" s="186"/>
      <c r="N1694" s="186"/>
      <c r="O1694" s="186"/>
      <c r="P1694" s="188"/>
      <c r="Q1694" s="186"/>
      <c r="R1694" s="186"/>
    </row>
    <row r="1695" spans="7:18">
      <c r="G1695" s="133"/>
      <c r="H1695" s="184"/>
      <c r="I1695" s="184"/>
      <c r="J1695" s="186"/>
      <c r="K1695" s="186"/>
      <c r="L1695" s="186"/>
      <c r="M1695" s="186"/>
      <c r="N1695" s="186"/>
      <c r="O1695" s="186"/>
      <c r="P1695" s="188"/>
      <c r="Q1695" s="186"/>
      <c r="R1695" s="186"/>
    </row>
    <row r="1696" spans="7:18">
      <c r="G1696" s="133"/>
      <c r="H1696" s="184"/>
      <c r="I1696" s="184"/>
      <c r="J1696" s="186"/>
      <c r="K1696" s="186"/>
      <c r="L1696" s="186"/>
      <c r="M1696" s="186"/>
      <c r="N1696" s="186"/>
      <c r="O1696" s="186"/>
      <c r="P1696" s="188"/>
      <c r="Q1696" s="186"/>
      <c r="R1696" s="186"/>
    </row>
    <row r="1697" spans="7:18">
      <c r="G1697" s="133"/>
      <c r="H1697" s="184"/>
      <c r="I1697" s="184"/>
      <c r="J1697" s="186"/>
      <c r="K1697" s="186"/>
      <c r="L1697" s="186"/>
      <c r="M1697" s="186"/>
      <c r="N1697" s="186"/>
      <c r="O1697" s="186"/>
      <c r="P1697" s="188"/>
      <c r="Q1697" s="186"/>
      <c r="R1697" s="186"/>
    </row>
    <row r="1698" spans="7:18">
      <c r="G1698" s="133"/>
      <c r="H1698" s="184"/>
      <c r="I1698" s="184"/>
      <c r="J1698" s="186"/>
      <c r="K1698" s="186"/>
      <c r="L1698" s="186"/>
      <c r="M1698" s="186"/>
      <c r="N1698" s="186"/>
      <c r="O1698" s="186"/>
      <c r="P1698" s="188"/>
      <c r="Q1698" s="186"/>
      <c r="R1698" s="186"/>
    </row>
    <row r="1699" spans="7:18">
      <c r="G1699" s="133"/>
      <c r="H1699" s="184"/>
      <c r="I1699" s="184"/>
      <c r="J1699" s="186"/>
      <c r="K1699" s="186"/>
      <c r="L1699" s="186"/>
      <c r="M1699" s="186"/>
      <c r="N1699" s="186"/>
      <c r="O1699" s="186"/>
      <c r="P1699" s="188"/>
      <c r="Q1699" s="186"/>
      <c r="R1699" s="186"/>
    </row>
    <row r="1700" spans="7:18">
      <c r="G1700" s="133"/>
      <c r="H1700" s="184"/>
      <c r="I1700" s="184"/>
      <c r="J1700" s="186"/>
      <c r="K1700" s="186"/>
      <c r="L1700" s="186"/>
      <c r="M1700" s="186"/>
      <c r="N1700" s="186"/>
      <c r="O1700" s="186"/>
      <c r="P1700" s="188"/>
      <c r="Q1700" s="186"/>
      <c r="R1700" s="186"/>
    </row>
    <row r="1701" spans="7:18">
      <c r="G1701" s="133"/>
      <c r="H1701" s="184"/>
      <c r="I1701" s="184"/>
      <c r="J1701" s="186"/>
      <c r="K1701" s="186"/>
      <c r="L1701" s="186"/>
      <c r="M1701" s="186"/>
      <c r="N1701" s="186"/>
      <c r="O1701" s="186"/>
      <c r="P1701" s="188"/>
      <c r="Q1701" s="186"/>
      <c r="R1701" s="186"/>
    </row>
    <row r="1702" spans="7:18">
      <c r="G1702" s="133"/>
      <c r="H1702" s="184"/>
      <c r="I1702" s="184"/>
      <c r="J1702" s="186"/>
      <c r="K1702" s="186"/>
      <c r="L1702" s="186"/>
      <c r="M1702" s="186"/>
      <c r="N1702" s="186"/>
      <c r="O1702" s="186"/>
      <c r="P1702" s="188"/>
      <c r="Q1702" s="186"/>
      <c r="R1702" s="186"/>
    </row>
    <row r="1703" spans="7:18">
      <c r="G1703" s="133"/>
      <c r="H1703" s="184"/>
      <c r="I1703" s="184"/>
      <c r="J1703" s="186"/>
      <c r="K1703" s="186"/>
      <c r="L1703" s="186"/>
      <c r="M1703" s="186"/>
      <c r="N1703" s="186"/>
      <c r="O1703" s="186"/>
      <c r="P1703" s="188"/>
      <c r="Q1703" s="186"/>
      <c r="R1703" s="186"/>
    </row>
    <row r="1704" spans="7:18">
      <c r="G1704" s="133"/>
      <c r="H1704" s="184"/>
      <c r="I1704" s="184"/>
      <c r="J1704" s="186"/>
      <c r="K1704" s="186"/>
      <c r="L1704" s="186"/>
      <c r="M1704" s="186"/>
      <c r="N1704" s="186"/>
      <c r="O1704" s="186"/>
      <c r="P1704" s="188"/>
      <c r="Q1704" s="186"/>
      <c r="R1704" s="186"/>
    </row>
    <row r="1705" spans="7:18">
      <c r="G1705" s="133"/>
      <c r="H1705" s="184"/>
      <c r="I1705" s="184"/>
      <c r="J1705" s="186"/>
      <c r="K1705" s="186"/>
      <c r="L1705" s="186"/>
      <c r="M1705" s="186"/>
      <c r="N1705" s="186"/>
      <c r="O1705" s="186"/>
      <c r="P1705" s="188"/>
      <c r="Q1705" s="186"/>
      <c r="R1705" s="186"/>
    </row>
    <row r="1706" spans="7:18">
      <c r="G1706" s="133"/>
      <c r="H1706" s="184"/>
      <c r="I1706" s="184"/>
      <c r="J1706" s="186"/>
      <c r="K1706" s="186"/>
      <c r="L1706" s="186"/>
      <c r="M1706" s="186"/>
      <c r="N1706" s="186"/>
      <c r="O1706" s="186"/>
      <c r="P1706" s="188"/>
      <c r="Q1706" s="186"/>
      <c r="R1706" s="186"/>
    </row>
    <row r="1707" spans="7:18">
      <c r="G1707" s="133"/>
      <c r="H1707" s="184"/>
      <c r="I1707" s="184"/>
      <c r="J1707" s="186"/>
      <c r="K1707" s="186"/>
      <c r="L1707" s="186"/>
      <c r="M1707" s="186"/>
      <c r="N1707" s="186"/>
      <c r="O1707" s="186"/>
      <c r="P1707" s="188"/>
      <c r="Q1707" s="186"/>
      <c r="R1707" s="186"/>
    </row>
    <row r="1708" spans="7:18">
      <c r="G1708" s="133"/>
      <c r="H1708" s="184"/>
      <c r="I1708" s="184"/>
      <c r="J1708" s="186"/>
      <c r="K1708" s="186"/>
      <c r="L1708" s="186"/>
      <c r="M1708" s="186"/>
      <c r="N1708" s="186"/>
      <c r="O1708" s="186"/>
      <c r="P1708" s="188"/>
      <c r="Q1708" s="186"/>
      <c r="R1708" s="186"/>
    </row>
    <row r="1709" spans="7:18">
      <c r="G1709" s="133"/>
      <c r="H1709" s="184"/>
      <c r="I1709" s="184"/>
      <c r="J1709" s="186"/>
      <c r="K1709" s="186"/>
      <c r="L1709" s="186"/>
      <c r="M1709" s="186"/>
      <c r="N1709" s="186"/>
      <c r="O1709" s="186"/>
      <c r="P1709" s="188"/>
      <c r="Q1709" s="186"/>
      <c r="R1709" s="186"/>
    </row>
    <row r="1710" spans="7:18">
      <c r="G1710" s="133"/>
      <c r="H1710" s="184"/>
      <c r="I1710" s="184"/>
      <c r="J1710" s="186"/>
      <c r="K1710" s="186"/>
      <c r="L1710" s="186"/>
      <c r="M1710" s="186"/>
      <c r="N1710" s="186"/>
      <c r="O1710" s="186"/>
      <c r="P1710" s="188"/>
      <c r="Q1710" s="186"/>
      <c r="R1710" s="186"/>
    </row>
    <row r="1711" spans="7:18">
      <c r="G1711" s="133"/>
      <c r="H1711" s="184"/>
      <c r="I1711" s="184"/>
      <c r="J1711" s="186"/>
      <c r="K1711" s="186"/>
      <c r="L1711" s="186"/>
      <c r="M1711" s="186"/>
      <c r="N1711" s="186"/>
      <c r="O1711" s="186"/>
      <c r="P1711" s="188"/>
      <c r="Q1711" s="186"/>
      <c r="R1711" s="186"/>
    </row>
    <row r="1712" spans="7:18">
      <c r="G1712" s="133"/>
      <c r="H1712" s="184"/>
      <c r="I1712" s="184"/>
      <c r="J1712" s="186"/>
      <c r="K1712" s="186"/>
      <c r="L1712" s="186"/>
      <c r="M1712" s="186"/>
      <c r="N1712" s="186"/>
      <c r="O1712" s="186"/>
      <c r="P1712" s="188"/>
      <c r="Q1712" s="186"/>
      <c r="R1712" s="186"/>
    </row>
    <row r="1713" spans="7:18">
      <c r="G1713" s="133"/>
      <c r="H1713" s="184"/>
      <c r="I1713" s="184"/>
      <c r="J1713" s="186"/>
      <c r="K1713" s="186"/>
      <c r="L1713" s="186"/>
      <c r="M1713" s="186"/>
      <c r="N1713" s="186"/>
      <c r="O1713" s="186"/>
      <c r="P1713" s="188"/>
      <c r="Q1713" s="186"/>
      <c r="R1713" s="186"/>
    </row>
    <row r="1714" spans="7:18">
      <c r="G1714" s="133"/>
      <c r="H1714" s="184"/>
      <c r="I1714" s="184"/>
      <c r="J1714" s="186"/>
      <c r="K1714" s="186"/>
      <c r="L1714" s="186"/>
      <c r="M1714" s="186"/>
      <c r="N1714" s="186"/>
      <c r="O1714" s="186"/>
      <c r="P1714" s="188"/>
      <c r="Q1714" s="186"/>
      <c r="R1714" s="186"/>
    </row>
    <row r="1715" spans="7:18">
      <c r="G1715" s="133"/>
      <c r="H1715" s="184"/>
      <c r="I1715" s="184"/>
      <c r="J1715" s="186"/>
      <c r="K1715" s="186"/>
      <c r="L1715" s="186"/>
      <c r="M1715" s="186"/>
      <c r="N1715" s="186"/>
      <c r="O1715" s="186"/>
      <c r="P1715" s="188"/>
      <c r="Q1715" s="186"/>
      <c r="R1715" s="186"/>
    </row>
    <row r="1716" spans="7:18">
      <c r="G1716" s="133"/>
      <c r="H1716" s="184"/>
      <c r="I1716" s="184"/>
      <c r="J1716" s="186"/>
      <c r="K1716" s="186"/>
      <c r="L1716" s="186"/>
      <c r="M1716" s="186"/>
      <c r="N1716" s="186"/>
      <c r="O1716" s="186"/>
      <c r="P1716" s="188"/>
      <c r="Q1716" s="186"/>
      <c r="R1716" s="186"/>
    </row>
    <row r="1717" spans="7:18">
      <c r="G1717" s="133"/>
      <c r="H1717" s="184"/>
      <c r="I1717" s="184"/>
      <c r="J1717" s="186"/>
      <c r="K1717" s="186"/>
      <c r="L1717" s="186"/>
      <c r="M1717" s="186"/>
      <c r="N1717" s="186"/>
      <c r="O1717" s="186"/>
      <c r="P1717" s="188"/>
      <c r="Q1717" s="186"/>
      <c r="R1717" s="186"/>
    </row>
    <row r="1718" spans="7:18">
      <c r="G1718" s="133"/>
      <c r="H1718" s="184"/>
      <c r="I1718" s="184"/>
      <c r="J1718" s="186"/>
      <c r="K1718" s="186"/>
      <c r="L1718" s="186"/>
      <c r="M1718" s="186"/>
      <c r="N1718" s="186"/>
      <c r="O1718" s="186"/>
      <c r="P1718" s="188"/>
      <c r="Q1718" s="186"/>
      <c r="R1718" s="186"/>
    </row>
    <row r="1719" spans="7:18">
      <c r="G1719" s="133"/>
      <c r="H1719" s="184"/>
      <c r="I1719" s="184"/>
      <c r="J1719" s="186"/>
      <c r="K1719" s="186"/>
      <c r="L1719" s="186"/>
      <c r="M1719" s="186"/>
      <c r="N1719" s="186"/>
      <c r="O1719" s="186"/>
      <c r="P1719" s="188"/>
      <c r="Q1719" s="186"/>
      <c r="R1719" s="186"/>
    </row>
    <row r="1720" spans="7:18">
      <c r="G1720" s="133"/>
      <c r="H1720" s="184"/>
      <c r="I1720" s="184"/>
      <c r="J1720" s="186"/>
      <c r="K1720" s="186"/>
      <c r="L1720" s="186"/>
      <c r="M1720" s="186"/>
      <c r="N1720" s="186"/>
      <c r="O1720" s="186"/>
      <c r="P1720" s="188"/>
      <c r="Q1720" s="186"/>
      <c r="R1720" s="186"/>
    </row>
    <row r="1721" spans="7:18">
      <c r="G1721" s="133"/>
      <c r="H1721" s="184"/>
      <c r="I1721" s="184"/>
      <c r="J1721" s="186"/>
      <c r="K1721" s="186"/>
      <c r="L1721" s="186"/>
      <c r="M1721" s="186"/>
      <c r="N1721" s="186"/>
      <c r="O1721" s="186"/>
      <c r="P1721" s="188"/>
      <c r="Q1721" s="186"/>
      <c r="R1721" s="186"/>
    </row>
    <row r="1722" spans="7:18">
      <c r="G1722" s="133"/>
      <c r="H1722" s="184"/>
      <c r="I1722" s="184"/>
      <c r="J1722" s="186"/>
      <c r="K1722" s="186"/>
      <c r="L1722" s="186"/>
      <c r="M1722" s="186"/>
      <c r="N1722" s="186"/>
      <c r="O1722" s="186"/>
      <c r="P1722" s="188"/>
      <c r="Q1722" s="186"/>
      <c r="R1722" s="186"/>
    </row>
    <row r="1723" spans="7:18">
      <c r="G1723" s="133"/>
      <c r="H1723" s="184"/>
      <c r="I1723" s="184"/>
      <c r="J1723" s="186"/>
      <c r="K1723" s="186"/>
      <c r="L1723" s="186"/>
      <c r="M1723" s="186"/>
      <c r="N1723" s="186"/>
      <c r="O1723" s="186"/>
      <c r="P1723" s="188"/>
      <c r="Q1723" s="186"/>
      <c r="R1723" s="186"/>
    </row>
    <row r="1724" spans="7:18">
      <c r="G1724" s="133"/>
      <c r="H1724" s="184"/>
      <c r="I1724" s="184"/>
      <c r="J1724" s="186"/>
      <c r="K1724" s="186"/>
      <c r="L1724" s="186"/>
      <c r="M1724" s="186"/>
      <c r="N1724" s="186"/>
      <c r="O1724" s="186"/>
      <c r="P1724" s="188"/>
      <c r="Q1724" s="186"/>
      <c r="R1724" s="186"/>
    </row>
    <row r="1725" spans="7:18">
      <c r="G1725" s="133"/>
      <c r="H1725" s="184"/>
      <c r="I1725" s="184"/>
      <c r="J1725" s="186"/>
      <c r="K1725" s="186"/>
      <c r="L1725" s="186"/>
      <c r="M1725" s="186"/>
      <c r="N1725" s="186"/>
      <c r="O1725" s="186"/>
      <c r="P1725" s="188"/>
      <c r="Q1725" s="186"/>
      <c r="R1725" s="186"/>
    </row>
    <row r="1726" spans="7:18">
      <c r="G1726" s="133"/>
      <c r="H1726" s="184"/>
      <c r="I1726" s="184"/>
      <c r="J1726" s="186"/>
      <c r="K1726" s="186"/>
      <c r="L1726" s="186"/>
      <c r="M1726" s="186"/>
      <c r="N1726" s="186"/>
      <c r="O1726" s="186"/>
      <c r="P1726" s="188"/>
      <c r="Q1726" s="186"/>
      <c r="R1726" s="186"/>
    </row>
    <row r="1727" spans="7:18">
      <c r="G1727" s="133"/>
      <c r="H1727" s="184"/>
      <c r="I1727" s="184"/>
      <c r="J1727" s="186"/>
      <c r="K1727" s="186"/>
      <c r="L1727" s="186"/>
      <c r="M1727" s="186"/>
      <c r="N1727" s="186"/>
      <c r="O1727" s="186"/>
      <c r="P1727" s="188"/>
      <c r="Q1727" s="186"/>
      <c r="R1727" s="186"/>
    </row>
    <row r="1728" spans="7:18">
      <c r="G1728" s="133"/>
      <c r="H1728" s="184"/>
      <c r="I1728" s="184"/>
      <c r="J1728" s="186"/>
      <c r="K1728" s="186"/>
      <c r="L1728" s="186"/>
      <c r="M1728" s="186"/>
      <c r="N1728" s="186"/>
      <c r="O1728" s="186"/>
      <c r="P1728" s="188"/>
      <c r="Q1728" s="186"/>
      <c r="R1728" s="186"/>
    </row>
    <row r="1729" spans="7:18">
      <c r="G1729" s="133"/>
      <c r="H1729" s="184"/>
      <c r="I1729" s="184"/>
      <c r="J1729" s="186"/>
      <c r="K1729" s="186"/>
      <c r="L1729" s="186"/>
      <c r="M1729" s="186"/>
      <c r="N1729" s="186"/>
      <c r="O1729" s="186"/>
      <c r="P1729" s="188"/>
      <c r="Q1729" s="186"/>
      <c r="R1729" s="186"/>
    </row>
    <row r="1730" spans="7:18">
      <c r="G1730" s="133"/>
      <c r="H1730" s="184"/>
      <c r="I1730" s="184"/>
      <c r="J1730" s="186"/>
      <c r="K1730" s="186"/>
      <c r="L1730" s="186"/>
      <c r="M1730" s="186"/>
      <c r="N1730" s="186"/>
      <c r="O1730" s="186"/>
      <c r="P1730" s="188"/>
      <c r="Q1730" s="186"/>
      <c r="R1730" s="186"/>
    </row>
    <row r="1731" spans="7:18">
      <c r="G1731" s="133"/>
      <c r="H1731" s="184"/>
      <c r="I1731" s="184"/>
      <c r="J1731" s="186"/>
      <c r="K1731" s="186"/>
      <c r="L1731" s="186"/>
      <c r="M1731" s="186"/>
      <c r="N1731" s="186"/>
      <c r="O1731" s="186"/>
      <c r="P1731" s="188"/>
      <c r="Q1731" s="186"/>
      <c r="R1731" s="186"/>
    </row>
    <row r="1732" spans="7:18">
      <c r="G1732" s="133"/>
      <c r="H1732" s="184"/>
      <c r="I1732" s="184"/>
      <c r="J1732" s="186"/>
      <c r="K1732" s="186"/>
      <c r="L1732" s="186"/>
      <c r="M1732" s="186"/>
      <c r="N1732" s="186"/>
      <c r="O1732" s="186"/>
      <c r="P1732" s="188"/>
      <c r="Q1732" s="186"/>
      <c r="R1732" s="186"/>
    </row>
    <row r="1733" spans="7:18">
      <c r="G1733" s="133"/>
      <c r="H1733" s="184"/>
      <c r="I1733" s="184"/>
      <c r="J1733" s="186"/>
      <c r="K1733" s="186"/>
      <c r="L1733" s="186"/>
      <c r="M1733" s="186"/>
      <c r="N1733" s="186"/>
      <c r="O1733" s="186"/>
      <c r="P1733" s="188"/>
      <c r="Q1733" s="186"/>
      <c r="R1733" s="186"/>
    </row>
    <row r="1734" spans="7:18">
      <c r="G1734" s="133"/>
      <c r="H1734" s="184"/>
      <c r="I1734" s="184"/>
      <c r="J1734" s="186"/>
      <c r="K1734" s="186"/>
      <c r="L1734" s="186"/>
      <c r="M1734" s="186"/>
      <c r="N1734" s="186"/>
      <c r="O1734" s="186"/>
      <c r="P1734" s="188"/>
      <c r="Q1734" s="186"/>
      <c r="R1734" s="186"/>
    </row>
    <row r="1735" spans="7:18">
      <c r="G1735" s="133"/>
      <c r="H1735" s="184"/>
      <c r="I1735" s="184"/>
      <c r="J1735" s="186"/>
      <c r="K1735" s="186"/>
      <c r="L1735" s="186"/>
      <c r="M1735" s="186"/>
      <c r="N1735" s="186"/>
      <c r="O1735" s="186"/>
      <c r="P1735" s="188"/>
      <c r="Q1735" s="186"/>
      <c r="R1735" s="186"/>
    </row>
    <row r="1736" spans="7:18">
      <c r="G1736" s="133"/>
      <c r="H1736" s="184"/>
      <c r="I1736" s="184"/>
      <c r="J1736" s="186"/>
      <c r="K1736" s="186"/>
      <c r="L1736" s="186"/>
      <c r="M1736" s="186"/>
      <c r="N1736" s="186"/>
      <c r="O1736" s="186"/>
      <c r="P1736" s="188"/>
      <c r="Q1736" s="186"/>
      <c r="R1736" s="186"/>
    </row>
    <row r="1737" spans="7:18">
      <c r="G1737" s="133"/>
      <c r="H1737" s="184"/>
      <c r="I1737" s="184"/>
      <c r="J1737" s="186"/>
      <c r="K1737" s="186"/>
      <c r="L1737" s="186"/>
      <c r="M1737" s="186"/>
      <c r="N1737" s="186"/>
      <c r="O1737" s="186"/>
      <c r="P1737" s="188"/>
      <c r="Q1737" s="186"/>
      <c r="R1737" s="186"/>
    </row>
    <row r="1738" spans="7:18">
      <c r="G1738" s="133"/>
      <c r="H1738" s="184"/>
      <c r="I1738" s="184"/>
      <c r="J1738" s="186"/>
      <c r="K1738" s="186"/>
      <c r="L1738" s="186"/>
      <c r="M1738" s="186"/>
      <c r="N1738" s="186"/>
      <c r="O1738" s="186"/>
      <c r="P1738" s="188"/>
      <c r="Q1738" s="186"/>
      <c r="R1738" s="186"/>
    </row>
    <row r="1739" spans="7:18">
      <c r="G1739" s="133"/>
      <c r="H1739" s="184"/>
      <c r="I1739" s="184"/>
      <c r="J1739" s="186"/>
      <c r="K1739" s="186"/>
      <c r="L1739" s="186"/>
      <c r="M1739" s="186"/>
      <c r="N1739" s="186"/>
      <c r="O1739" s="186"/>
      <c r="P1739" s="188"/>
      <c r="Q1739" s="186"/>
      <c r="R1739" s="186"/>
    </row>
    <row r="1740" spans="7:18">
      <c r="G1740" s="133"/>
      <c r="H1740" s="184"/>
      <c r="I1740" s="184"/>
      <c r="J1740" s="186"/>
      <c r="K1740" s="186"/>
      <c r="L1740" s="186"/>
      <c r="M1740" s="186"/>
      <c r="N1740" s="186"/>
      <c r="O1740" s="186"/>
      <c r="P1740" s="188"/>
      <c r="Q1740" s="186"/>
      <c r="R1740" s="186"/>
    </row>
    <row r="1741" spans="7:18">
      <c r="G1741" s="133"/>
      <c r="H1741" s="184"/>
      <c r="I1741" s="184"/>
      <c r="J1741" s="186"/>
      <c r="K1741" s="186"/>
      <c r="L1741" s="186"/>
      <c r="M1741" s="186"/>
      <c r="N1741" s="186"/>
      <c r="O1741" s="186"/>
      <c r="P1741" s="188"/>
      <c r="Q1741" s="186"/>
      <c r="R1741" s="186"/>
    </row>
    <row r="1742" spans="7:18">
      <c r="G1742" s="133"/>
      <c r="H1742" s="184"/>
      <c r="I1742" s="184"/>
      <c r="J1742" s="186"/>
      <c r="K1742" s="186"/>
      <c r="L1742" s="186"/>
      <c r="M1742" s="186"/>
      <c r="N1742" s="186"/>
      <c r="O1742" s="186"/>
      <c r="P1742" s="188"/>
      <c r="Q1742" s="186"/>
      <c r="R1742" s="186"/>
    </row>
    <row r="1743" spans="7:18">
      <c r="G1743" s="133"/>
      <c r="H1743" s="184"/>
      <c r="I1743" s="184"/>
      <c r="J1743" s="186"/>
      <c r="K1743" s="186"/>
      <c r="L1743" s="186"/>
      <c r="M1743" s="186"/>
      <c r="N1743" s="186"/>
      <c r="O1743" s="186"/>
      <c r="P1743" s="188"/>
      <c r="Q1743" s="186"/>
      <c r="R1743" s="186"/>
    </row>
    <row r="1744" spans="7:18">
      <c r="G1744" s="133"/>
      <c r="H1744" s="184"/>
      <c r="I1744" s="184"/>
      <c r="J1744" s="186"/>
      <c r="K1744" s="186"/>
      <c r="L1744" s="186"/>
      <c r="M1744" s="186"/>
      <c r="N1744" s="186"/>
      <c r="O1744" s="186"/>
      <c r="P1744" s="188"/>
      <c r="Q1744" s="186"/>
      <c r="R1744" s="186"/>
    </row>
    <row r="1745" spans="7:18">
      <c r="G1745" s="133"/>
      <c r="H1745" s="184"/>
      <c r="I1745" s="184"/>
      <c r="J1745" s="186"/>
      <c r="K1745" s="186"/>
      <c r="L1745" s="186"/>
      <c r="M1745" s="186"/>
      <c r="N1745" s="186"/>
      <c r="O1745" s="186"/>
      <c r="P1745" s="188"/>
      <c r="Q1745" s="186"/>
      <c r="R1745" s="186"/>
    </row>
    <row r="1746" spans="7:18">
      <c r="G1746" s="133"/>
      <c r="H1746" s="184"/>
      <c r="I1746" s="184"/>
      <c r="J1746" s="186"/>
      <c r="K1746" s="186"/>
      <c r="L1746" s="186"/>
      <c r="M1746" s="186"/>
      <c r="N1746" s="186"/>
      <c r="O1746" s="186"/>
      <c r="P1746" s="188"/>
      <c r="Q1746" s="186"/>
      <c r="R1746" s="186"/>
    </row>
    <row r="1747" spans="7:18">
      <c r="G1747" s="133"/>
      <c r="H1747" s="184"/>
      <c r="I1747" s="184"/>
      <c r="J1747" s="186"/>
      <c r="K1747" s="186"/>
      <c r="L1747" s="186"/>
      <c r="M1747" s="186"/>
      <c r="N1747" s="186"/>
      <c r="O1747" s="186"/>
      <c r="P1747" s="188"/>
      <c r="Q1747" s="186"/>
      <c r="R1747" s="186"/>
    </row>
    <row r="1748" spans="7:18">
      <c r="G1748" s="133"/>
      <c r="H1748" s="184"/>
      <c r="I1748" s="184"/>
      <c r="J1748" s="186"/>
      <c r="K1748" s="186"/>
      <c r="L1748" s="186"/>
      <c r="M1748" s="186"/>
      <c r="N1748" s="186"/>
      <c r="O1748" s="186"/>
      <c r="P1748" s="188"/>
      <c r="Q1748" s="186"/>
      <c r="R1748" s="186"/>
    </row>
    <row r="1749" spans="7:18">
      <c r="G1749" s="133"/>
      <c r="H1749" s="184"/>
      <c r="I1749" s="184"/>
      <c r="J1749" s="186"/>
      <c r="K1749" s="186"/>
      <c r="L1749" s="186"/>
      <c r="M1749" s="186"/>
      <c r="N1749" s="186"/>
      <c r="O1749" s="186"/>
      <c r="P1749" s="188"/>
      <c r="Q1749" s="186"/>
      <c r="R1749" s="186"/>
    </row>
    <row r="1750" spans="7:18">
      <c r="G1750" s="133"/>
      <c r="H1750" s="184"/>
      <c r="I1750" s="184"/>
      <c r="J1750" s="186"/>
      <c r="K1750" s="186"/>
      <c r="L1750" s="186"/>
      <c r="M1750" s="186"/>
      <c r="N1750" s="186"/>
      <c r="O1750" s="186"/>
      <c r="P1750" s="188"/>
      <c r="Q1750" s="186"/>
      <c r="R1750" s="186"/>
    </row>
    <row r="1751" spans="7:18">
      <c r="G1751" s="133"/>
      <c r="H1751" s="184"/>
      <c r="I1751" s="184"/>
      <c r="J1751" s="186"/>
      <c r="K1751" s="186"/>
      <c r="L1751" s="186"/>
      <c r="M1751" s="186"/>
      <c r="N1751" s="186"/>
      <c r="O1751" s="186"/>
      <c r="P1751" s="188"/>
      <c r="Q1751" s="186"/>
      <c r="R1751" s="186"/>
    </row>
    <row r="1752" spans="7:18">
      <c r="G1752" s="133"/>
      <c r="H1752" s="184"/>
      <c r="I1752" s="184"/>
      <c r="J1752" s="186"/>
      <c r="K1752" s="186"/>
      <c r="L1752" s="186"/>
      <c r="M1752" s="186"/>
      <c r="N1752" s="186"/>
      <c r="O1752" s="186"/>
      <c r="P1752" s="188"/>
      <c r="Q1752" s="186"/>
      <c r="R1752" s="186"/>
    </row>
    <row r="1753" spans="7:18">
      <c r="G1753" s="133"/>
      <c r="H1753" s="184"/>
      <c r="I1753" s="184"/>
      <c r="J1753" s="186"/>
      <c r="K1753" s="186"/>
      <c r="L1753" s="186"/>
      <c r="M1753" s="186"/>
      <c r="N1753" s="186"/>
      <c r="O1753" s="186"/>
      <c r="P1753" s="188"/>
      <c r="Q1753" s="186"/>
      <c r="R1753" s="186"/>
    </row>
    <row r="1754" spans="7:18">
      <c r="G1754" s="133"/>
      <c r="H1754" s="184"/>
      <c r="I1754" s="184"/>
      <c r="J1754" s="186"/>
      <c r="K1754" s="186"/>
      <c r="L1754" s="186"/>
      <c r="M1754" s="186"/>
      <c r="N1754" s="186"/>
      <c r="O1754" s="186"/>
      <c r="P1754" s="188"/>
      <c r="Q1754" s="186"/>
      <c r="R1754" s="186"/>
    </row>
    <row r="1755" spans="7:18">
      <c r="G1755" s="133"/>
      <c r="H1755" s="184"/>
      <c r="I1755" s="184"/>
      <c r="J1755" s="186"/>
      <c r="K1755" s="186"/>
      <c r="L1755" s="186"/>
      <c r="M1755" s="186"/>
      <c r="N1755" s="186"/>
      <c r="O1755" s="186"/>
      <c r="P1755" s="188"/>
      <c r="Q1755" s="186"/>
      <c r="R1755" s="186"/>
    </row>
    <row r="1756" spans="7:18">
      <c r="G1756" s="133"/>
      <c r="H1756" s="184"/>
      <c r="I1756" s="184"/>
      <c r="J1756" s="186"/>
      <c r="K1756" s="186"/>
      <c r="L1756" s="186"/>
      <c r="M1756" s="186"/>
      <c r="N1756" s="186"/>
      <c r="O1756" s="186"/>
      <c r="P1756" s="188"/>
      <c r="Q1756" s="186"/>
      <c r="R1756" s="186"/>
    </row>
    <row r="1757" spans="7:18">
      <c r="G1757" s="133"/>
      <c r="H1757" s="184"/>
      <c r="I1757" s="184"/>
      <c r="J1757" s="186"/>
      <c r="K1757" s="186"/>
      <c r="L1757" s="186"/>
      <c r="M1757" s="186"/>
      <c r="N1757" s="186"/>
      <c r="O1757" s="186"/>
      <c r="P1757" s="188"/>
      <c r="Q1757" s="186"/>
      <c r="R1757" s="186"/>
    </row>
    <row r="1758" spans="7:18">
      <c r="G1758" s="133"/>
      <c r="H1758" s="184"/>
      <c r="I1758" s="184"/>
      <c r="J1758" s="186"/>
      <c r="K1758" s="186"/>
      <c r="L1758" s="186"/>
      <c r="M1758" s="186"/>
      <c r="N1758" s="186"/>
      <c r="O1758" s="186"/>
      <c r="P1758" s="188"/>
      <c r="Q1758" s="186"/>
      <c r="R1758" s="186"/>
    </row>
    <row r="1759" spans="7:18">
      <c r="G1759" s="133"/>
      <c r="H1759" s="184"/>
      <c r="I1759" s="184"/>
      <c r="J1759" s="186"/>
      <c r="K1759" s="186"/>
      <c r="L1759" s="186"/>
      <c r="M1759" s="186"/>
      <c r="N1759" s="186"/>
      <c r="O1759" s="186"/>
      <c r="P1759" s="188"/>
      <c r="Q1759" s="186"/>
      <c r="R1759" s="186"/>
    </row>
    <row r="1760" spans="7:18">
      <c r="G1760" s="133"/>
      <c r="H1760" s="184"/>
      <c r="I1760" s="184"/>
      <c r="J1760" s="186"/>
      <c r="K1760" s="186"/>
      <c r="L1760" s="186"/>
      <c r="M1760" s="186"/>
      <c r="N1760" s="186"/>
      <c r="O1760" s="186"/>
      <c r="P1760" s="188"/>
      <c r="Q1760" s="186"/>
      <c r="R1760" s="186"/>
    </row>
    <row r="1761" spans="7:18">
      <c r="G1761" s="133"/>
      <c r="H1761" s="184"/>
      <c r="I1761" s="184"/>
      <c r="J1761" s="186"/>
      <c r="K1761" s="186"/>
      <c r="L1761" s="186"/>
      <c r="M1761" s="186"/>
      <c r="N1761" s="186"/>
      <c r="O1761" s="186"/>
      <c r="P1761" s="188"/>
      <c r="Q1761" s="186"/>
      <c r="R1761" s="186"/>
    </row>
    <row r="1762" spans="7:18">
      <c r="G1762" s="133"/>
      <c r="H1762" s="184"/>
      <c r="I1762" s="184"/>
      <c r="J1762" s="186"/>
      <c r="K1762" s="186"/>
      <c r="L1762" s="186"/>
      <c r="M1762" s="186"/>
      <c r="N1762" s="186"/>
      <c r="O1762" s="186"/>
      <c r="P1762" s="188"/>
      <c r="Q1762" s="186"/>
      <c r="R1762" s="186"/>
    </row>
    <row r="1763" spans="7:18">
      <c r="G1763" s="133"/>
      <c r="H1763" s="184"/>
      <c r="I1763" s="184"/>
      <c r="J1763" s="186"/>
      <c r="K1763" s="186"/>
      <c r="L1763" s="186"/>
      <c r="M1763" s="186"/>
      <c r="N1763" s="186"/>
      <c r="O1763" s="186"/>
      <c r="P1763" s="188"/>
      <c r="Q1763" s="186"/>
      <c r="R1763" s="186"/>
    </row>
    <row r="1764" spans="7:18">
      <c r="G1764" s="133"/>
      <c r="H1764" s="184"/>
      <c r="I1764" s="184"/>
      <c r="J1764" s="186"/>
      <c r="K1764" s="186"/>
      <c r="L1764" s="186"/>
      <c r="M1764" s="186"/>
      <c r="N1764" s="186"/>
      <c r="O1764" s="186"/>
      <c r="P1764" s="188"/>
      <c r="Q1764" s="186"/>
      <c r="R1764" s="186"/>
    </row>
    <row r="1765" spans="7:18">
      <c r="G1765" s="133"/>
      <c r="H1765" s="184"/>
      <c r="I1765" s="184"/>
      <c r="J1765" s="186"/>
      <c r="K1765" s="186"/>
      <c r="L1765" s="186"/>
      <c r="M1765" s="186"/>
      <c r="N1765" s="186"/>
      <c r="O1765" s="186"/>
      <c r="P1765" s="188"/>
      <c r="Q1765" s="186"/>
      <c r="R1765" s="186"/>
    </row>
    <row r="1766" spans="7:18">
      <c r="G1766" s="133"/>
      <c r="H1766" s="184"/>
      <c r="I1766" s="184"/>
      <c r="J1766" s="186"/>
      <c r="K1766" s="186"/>
      <c r="L1766" s="186"/>
      <c r="M1766" s="186"/>
      <c r="N1766" s="186"/>
      <c r="O1766" s="186"/>
      <c r="P1766" s="188"/>
      <c r="Q1766" s="186"/>
      <c r="R1766" s="186"/>
    </row>
    <row r="1767" spans="7:18">
      <c r="G1767" s="133"/>
      <c r="H1767" s="184"/>
      <c r="I1767" s="184"/>
      <c r="J1767" s="186"/>
      <c r="K1767" s="186"/>
      <c r="L1767" s="186"/>
      <c r="M1767" s="186"/>
      <c r="N1767" s="186"/>
      <c r="O1767" s="186"/>
      <c r="P1767" s="188"/>
      <c r="Q1767" s="186"/>
      <c r="R1767" s="186"/>
    </row>
    <row r="1768" spans="7:18">
      <c r="G1768" s="133"/>
      <c r="H1768" s="184"/>
      <c r="I1768" s="184"/>
      <c r="J1768" s="186"/>
      <c r="K1768" s="186"/>
      <c r="L1768" s="186"/>
      <c r="M1768" s="186"/>
      <c r="N1768" s="186"/>
      <c r="O1768" s="186"/>
      <c r="P1768" s="188"/>
      <c r="Q1768" s="186"/>
      <c r="R1768" s="186"/>
    </row>
    <row r="1769" spans="7:18">
      <c r="G1769" s="133"/>
      <c r="H1769" s="184"/>
      <c r="I1769" s="184"/>
      <c r="J1769" s="186"/>
      <c r="K1769" s="186"/>
      <c r="L1769" s="186"/>
      <c r="M1769" s="186"/>
      <c r="N1769" s="186"/>
      <c r="O1769" s="186"/>
      <c r="P1769" s="188"/>
      <c r="Q1769" s="186"/>
      <c r="R1769" s="186"/>
    </row>
    <row r="1770" spans="7:18">
      <c r="G1770" s="133"/>
      <c r="H1770" s="184"/>
      <c r="I1770" s="184"/>
      <c r="J1770" s="186"/>
      <c r="K1770" s="186"/>
      <c r="L1770" s="186"/>
      <c r="M1770" s="186"/>
      <c r="N1770" s="186"/>
      <c r="O1770" s="186"/>
      <c r="P1770" s="188"/>
      <c r="Q1770" s="186"/>
      <c r="R1770" s="186"/>
    </row>
    <row r="1771" spans="7:18">
      <c r="G1771" s="133"/>
      <c r="H1771" s="184"/>
      <c r="I1771" s="184"/>
      <c r="J1771" s="186"/>
      <c r="K1771" s="186"/>
      <c r="L1771" s="186"/>
      <c r="M1771" s="186"/>
      <c r="N1771" s="186"/>
      <c r="O1771" s="186"/>
      <c r="P1771" s="188"/>
      <c r="Q1771" s="186"/>
      <c r="R1771" s="186"/>
    </row>
    <row r="1772" spans="7:18">
      <c r="G1772" s="133"/>
      <c r="H1772" s="184"/>
      <c r="I1772" s="184"/>
      <c r="J1772" s="186"/>
      <c r="K1772" s="186"/>
      <c r="L1772" s="186"/>
      <c r="M1772" s="186"/>
      <c r="N1772" s="186"/>
      <c r="O1772" s="186"/>
      <c r="P1772" s="188"/>
      <c r="Q1772" s="186"/>
      <c r="R1772" s="186"/>
    </row>
    <row r="1773" spans="7:18">
      <c r="G1773" s="133"/>
      <c r="H1773" s="184"/>
      <c r="I1773" s="184"/>
      <c r="J1773" s="186"/>
      <c r="K1773" s="186"/>
      <c r="L1773" s="186"/>
      <c r="M1773" s="186"/>
      <c r="N1773" s="186"/>
      <c r="O1773" s="186"/>
      <c r="P1773" s="188"/>
      <c r="Q1773" s="186"/>
      <c r="R1773" s="186"/>
    </row>
    <row r="1774" spans="7:18">
      <c r="G1774" s="133"/>
      <c r="H1774" s="184"/>
      <c r="I1774" s="184"/>
      <c r="J1774" s="186"/>
      <c r="K1774" s="186"/>
      <c r="L1774" s="186"/>
      <c r="M1774" s="186"/>
      <c r="N1774" s="186"/>
      <c r="O1774" s="186"/>
      <c r="P1774" s="188"/>
      <c r="Q1774" s="186"/>
      <c r="R1774" s="186"/>
    </row>
    <row r="1775" spans="7:18">
      <c r="G1775" s="133"/>
      <c r="H1775" s="184"/>
      <c r="I1775" s="184"/>
      <c r="J1775" s="186"/>
      <c r="K1775" s="186"/>
      <c r="L1775" s="186"/>
      <c r="M1775" s="186"/>
      <c r="N1775" s="186"/>
      <c r="O1775" s="186"/>
      <c r="P1775" s="188"/>
      <c r="Q1775" s="186"/>
      <c r="R1775" s="186"/>
    </row>
    <row r="1776" spans="7:18">
      <c r="G1776" s="133"/>
      <c r="H1776" s="184"/>
      <c r="I1776" s="184"/>
      <c r="J1776" s="186"/>
      <c r="K1776" s="186"/>
      <c r="L1776" s="186"/>
      <c r="M1776" s="186"/>
      <c r="N1776" s="186"/>
      <c r="O1776" s="186"/>
      <c r="P1776" s="188"/>
      <c r="Q1776" s="186"/>
      <c r="R1776" s="186"/>
    </row>
    <row r="1777" spans="7:18">
      <c r="G1777" s="133"/>
      <c r="H1777" s="184"/>
      <c r="I1777" s="184"/>
      <c r="J1777" s="186"/>
      <c r="K1777" s="186"/>
      <c r="L1777" s="186"/>
      <c r="M1777" s="186"/>
      <c r="N1777" s="186"/>
      <c r="O1777" s="186"/>
      <c r="P1777" s="188"/>
      <c r="Q1777" s="186"/>
      <c r="R1777" s="186"/>
    </row>
    <row r="1778" spans="7:18">
      <c r="G1778" s="133"/>
      <c r="H1778" s="184"/>
      <c r="I1778" s="184"/>
      <c r="J1778" s="186"/>
      <c r="K1778" s="186"/>
      <c r="L1778" s="186"/>
      <c r="M1778" s="186"/>
      <c r="N1778" s="186"/>
      <c r="O1778" s="186"/>
      <c r="P1778" s="188"/>
      <c r="Q1778" s="186"/>
      <c r="R1778" s="186"/>
    </row>
    <row r="1779" spans="7:18">
      <c r="G1779" s="133"/>
      <c r="H1779" s="184"/>
      <c r="I1779" s="184"/>
      <c r="J1779" s="186"/>
      <c r="K1779" s="186"/>
      <c r="L1779" s="186"/>
      <c r="M1779" s="186"/>
      <c r="N1779" s="186"/>
      <c r="O1779" s="186"/>
      <c r="P1779" s="188"/>
      <c r="Q1779" s="186"/>
      <c r="R1779" s="186"/>
    </row>
    <row r="1780" spans="7:18">
      <c r="G1780" s="133"/>
      <c r="H1780" s="184"/>
      <c r="I1780" s="184"/>
      <c r="J1780" s="186"/>
      <c r="K1780" s="186"/>
      <c r="L1780" s="186"/>
      <c r="M1780" s="186"/>
      <c r="N1780" s="186"/>
      <c r="O1780" s="186"/>
      <c r="P1780" s="188"/>
      <c r="Q1780" s="186"/>
      <c r="R1780" s="186"/>
    </row>
    <row r="1781" spans="7:18">
      <c r="G1781" s="133"/>
      <c r="H1781" s="184"/>
      <c r="I1781" s="184"/>
      <c r="J1781" s="186"/>
      <c r="K1781" s="186"/>
      <c r="L1781" s="186"/>
      <c r="M1781" s="186"/>
      <c r="N1781" s="186"/>
      <c r="O1781" s="186"/>
      <c r="P1781" s="188"/>
      <c r="Q1781" s="186"/>
      <c r="R1781" s="186"/>
    </row>
    <row r="1782" spans="7:18">
      <c r="G1782" s="133"/>
      <c r="H1782" s="184"/>
      <c r="I1782" s="184"/>
      <c r="J1782" s="186"/>
      <c r="K1782" s="186"/>
      <c r="L1782" s="186"/>
      <c r="M1782" s="186"/>
      <c r="N1782" s="186"/>
      <c r="O1782" s="186"/>
      <c r="P1782" s="188"/>
      <c r="Q1782" s="186"/>
      <c r="R1782" s="186"/>
    </row>
    <row r="1783" spans="7:18">
      <c r="G1783" s="133"/>
      <c r="H1783" s="184"/>
      <c r="I1783" s="184"/>
      <c r="J1783" s="186"/>
      <c r="K1783" s="186"/>
      <c r="L1783" s="186"/>
      <c r="M1783" s="186"/>
      <c r="N1783" s="186"/>
      <c r="O1783" s="186"/>
      <c r="P1783" s="188"/>
      <c r="Q1783" s="186"/>
      <c r="R1783" s="186"/>
    </row>
    <row r="1784" spans="7:18">
      <c r="G1784" s="133"/>
      <c r="H1784" s="184"/>
      <c r="I1784" s="184"/>
      <c r="J1784" s="186"/>
      <c r="K1784" s="186"/>
      <c r="L1784" s="186"/>
      <c r="M1784" s="186"/>
      <c r="N1784" s="186"/>
      <c r="O1784" s="186"/>
      <c r="P1784" s="188"/>
      <c r="Q1784" s="186"/>
      <c r="R1784" s="186"/>
    </row>
    <row r="1785" spans="7:18">
      <c r="G1785" s="133"/>
      <c r="H1785" s="184"/>
      <c r="I1785" s="184"/>
      <c r="J1785" s="186"/>
      <c r="K1785" s="186"/>
      <c r="L1785" s="186"/>
      <c r="M1785" s="186"/>
      <c r="N1785" s="186"/>
      <c r="O1785" s="186"/>
      <c r="P1785" s="188"/>
      <c r="Q1785" s="186"/>
      <c r="R1785" s="186"/>
    </row>
    <row r="1786" spans="7:18">
      <c r="G1786" s="133"/>
      <c r="H1786" s="184"/>
      <c r="I1786" s="184"/>
      <c r="J1786" s="186"/>
      <c r="K1786" s="186"/>
      <c r="L1786" s="186"/>
      <c r="M1786" s="186"/>
      <c r="N1786" s="186"/>
      <c r="O1786" s="186"/>
      <c r="P1786" s="188"/>
      <c r="Q1786" s="186"/>
      <c r="R1786" s="186"/>
    </row>
    <row r="1787" spans="7:18">
      <c r="G1787" s="133"/>
      <c r="H1787" s="184"/>
      <c r="I1787" s="184"/>
      <c r="J1787" s="186"/>
      <c r="K1787" s="186"/>
      <c r="L1787" s="186"/>
      <c r="M1787" s="186"/>
      <c r="N1787" s="186"/>
      <c r="O1787" s="186"/>
      <c r="P1787" s="188"/>
      <c r="Q1787" s="186"/>
      <c r="R1787" s="186"/>
    </row>
    <row r="1788" spans="7:18">
      <c r="G1788" s="133"/>
      <c r="H1788" s="184"/>
      <c r="I1788" s="184"/>
      <c r="J1788" s="186"/>
      <c r="K1788" s="186"/>
      <c r="L1788" s="186"/>
      <c r="M1788" s="186"/>
      <c r="N1788" s="186"/>
      <c r="O1788" s="186"/>
      <c r="P1788" s="188"/>
      <c r="Q1788" s="186"/>
      <c r="R1788" s="186"/>
    </row>
    <row r="1789" spans="7:18">
      <c r="G1789" s="133"/>
      <c r="H1789" s="184"/>
      <c r="I1789" s="184"/>
      <c r="J1789" s="186"/>
      <c r="K1789" s="186"/>
      <c r="L1789" s="186"/>
      <c r="M1789" s="186"/>
      <c r="N1789" s="186"/>
      <c r="O1789" s="186"/>
      <c r="P1789" s="188"/>
      <c r="Q1789" s="186"/>
      <c r="R1789" s="186"/>
    </row>
    <row r="1790" spans="7:18">
      <c r="G1790" s="133"/>
      <c r="H1790" s="184"/>
      <c r="I1790" s="184"/>
      <c r="J1790" s="186"/>
      <c r="K1790" s="186"/>
      <c r="L1790" s="186"/>
      <c r="M1790" s="186"/>
      <c r="N1790" s="186"/>
      <c r="O1790" s="186"/>
      <c r="P1790" s="188"/>
      <c r="Q1790" s="186"/>
      <c r="R1790" s="186"/>
    </row>
    <row r="1791" spans="7:18">
      <c r="G1791" s="133"/>
      <c r="H1791" s="184"/>
      <c r="I1791" s="184"/>
      <c r="J1791" s="186"/>
      <c r="K1791" s="186"/>
      <c r="L1791" s="186"/>
      <c r="M1791" s="186"/>
      <c r="N1791" s="186"/>
      <c r="O1791" s="186"/>
      <c r="P1791" s="188"/>
      <c r="Q1791" s="186"/>
      <c r="R1791" s="186"/>
    </row>
    <row r="1792" spans="7:18">
      <c r="G1792" s="133"/>
      <c r="H1792" s="184"/>
      <c r="I1792" s="184"/>
      <c r="J1792" s="186"/>
      <c r="K1792" s="186"/>
      <c r="L1792" s="186"/>
      <c r="M1792" s="186"/>
      <c r="N1792" s="186"/>
      <c r="O1792" s="186"/>
      <c r="P1792" s="188"/>
      <c r="Q1792" s="186"/>
      <c r="R1792" s="186"/>
    </row>
    <row r="1793" spans="7:18">
      <c r="G1793" s="133"/>
      <c r="H1793" s="184"/>
      <c r="I1793" s="184"/>
      <c r="J1793" s="186"/>
      <c r="K1793" s="186"/>
      <c r="L1793" s="186"/>
      <c r="M1793" s="186"/>
      <c r="N1793" s="186"/>
      <c r="O1793" s="186"/>
      <c r="P1793" s="188"/>
      <c r="Q1793" s="186"/>
      <c r="R1793" s="186"/>
    </row>
    <row r="1794" spans="7:18">
      <c r="G1794" s="133"/>
      <c r="H1794" s="184"/>
      <c r="I1794" s="184"/>
      <c r="J1794" s="186"/>
      <c r="K1794" s="186"/>
      <c r="L1794" s="186"/>
      <c r="M1794" s="186"/>
      <c r="N1794" s="186"/>
      <c r="O1794" s="186"/>
      <c r="P1794" s="188"/>
      <c r="Q1794" s="186"/>
      <c r="R1794" s="186"/>
    </row>
    <row r="1795" spans="7:18">
      <c r="G1795" s="133"/>
      <c r="H1795" s="184"/>
      <c r="I1795" s="184"/>
      <c r="J1795" s="186"/>
      <c r="K1795" s="186"/>
      <c r="L1795" s="186"/>
      <c r="M1795" s="186"/>
      <c r="N1795" s="186"/>
      <c r="O1795" s="186"/>
      <c r="P1795" s="188"/>
      <c r="Q1795" s="186"/>
      <c r="R1795" s="186"/>
    </row>
    <row r="1796" spans="7:18">
      <c r="G1796" s="133"/>
      <c r="H1796" s="184"/>
      <c r="I1796" s="184"/>
      <c r="J1796" s="186"/>
      <c r="K1796" s="186"/>
      <c r="L1796" s="186"/>
      <c r="M1796" s="186"/>
      <c r="N1796" s="186"/>
      <c r="O1796" s="186"/>
      <c r="P1796" s="188"/>
      <c r="Q1796" s="186"/>
      <c r="R1796" s="186"/>
    </row>
    <row r="1797" spans="7:18">
      <c r="G1797" s="133"/>
      <c r="H1797" s="184"/>
      <c r="I1797" s="184"/>
      <c r="J1797" s="186"/>
      <c r="K1797" s="186"/>
      <c r="L1797" s="186"/>
      <c r="M1797" s="186"/>
      <c r="N1797" s="186"/>
      <c r="O1797" s="186"/>
      <c r="P1797" s="188"/>
      <c r="Q1797" s="186"/>
      <c r="R1797" s="186"/>
    </row>
    <row r="1798" spans="7:18">
      <c r="G1798" s="133"/>
      <c r="H1798" s="184"/>
      <c r="I1798" s="184"/>
      <c r="J1798" s="186"/>
      <c r="K1798" s="186"/>
      <c r="L1798" s="186"/>
      <c r="M1798" s="186"/>
      <c r="N1798" s="186"/>
      <c r="O1798" s="186"/>
      <c r="P1798" s="188"/>
      <c r="Q1798" s="186"/>
      <c r="R1798" s="186"/>
    </row>
    <row r="1799" spans="7:18">
      <c r="G1799" s="133"/>
      <c r="H1799" s="184"/>
      <c r="I1799" s="184"/>
      <c r="J1799" s="186"/>
      <c r="K1799" s="186"/>
      <c r="L1799" s="186"/>
      <c r="M1799" s="186"/>
      <c r="N1799" s="186"/>
      <c r="O1799" s="186"/>
      <c r="P1799" s="188"/>
      <c r="Q1799" s="186"/>
      <c r="R1799" s="186"/>
    </row>
    <row r="1800" spans="7:18">
      <c r="G1800" s="133"/>
      <c r="H1800" s="184"/>
      <c r="I1800" s="184"/>
      <c r="J1800" s="186"/>
      <c r="K1800" s="186"/>
      <c r="L1800" s="186"/>
      <c r="M1800" s="186"/>
      <c r="N1800" s="186"/>
      <c r="O1800" s="186"/>
      <c r="P1800" s="188"/>
      <c r="Q1800" s="186"/>
      <c r="R1800" s="186"/>
    </row>
    <row r="1801" spans="7:18">
      <c r="G1801" s="133"/>
      <c r="H1801" s="184"/>
      <c r="I1801" s="184"/>
      <c r="J1801" s="186"/>
      <c r="K1801" s="186"/>
      <c r="L1801" s="186"/>
      <c r="M1801" s="186"/>
      <c r="N1801" s="186"/>
      <c r="O1801" s="186"/>
      <c r="P1801" s="188"/>
      <c r="Q1801" s="186"/>
      <c r="R1801" s="186"/>
    </row>
    <row r="1802" spans="7:18">
      <c r="G1802" s="133"/>
      <c r="H1802" s="184"/>
      <c r="I1802" s="184"/>
      <c r="J1802" s="186"/>
      <c r="K1802" s="186"/>
      <c r="L1802" s="186"/>
      <c r="M1802" s="186"/>
      <c r="N1802" s="186"/>
      <c r="O1802" s="186"/>
      <c r="P1802" s="188"/>
      <c r="Q1802" s="186"/>
      <c r="R1802" s="186"/>
    </row>
    <row r="1803" spans="7:18">
      <c r="G1803" s="133"/>
      <c r="H1803" s="184"/>
      <c r="I1803" s="184"/>
      <c r="J1803" s="186"/>
      <c r="K1803" s="186"/>
      <c r="L1803" s="186"/>
      <c r="M1803" s="186"/>
      <c r="N1803" s="186"/>
      <c r="O1803" s="186"/>
      <c r="P1803" s="188"/>
      <c r="Q1803" s="186"/>
      <c r="R1803" s="186"/>
    </row>
    <row r="1804" spans="7:18">
      <c r="G1804" s="133"/>
      <c r="H1804" s="184"/>
      <c r="I1804" s="184"/>
      <c r="J1804" s="186"/>
      <c r="K1804" s="186"/>
      <c r="L1804" s="186"/>
      <c r="M1804" s="186"/>
      <c r="N1804" s="186"/>
      <c r="O1804" s="186"/>
      <c r="P1804" s="188"/>
      <c r="Q1804" s="186"/>
      <c r="R1804" s="186"/>
    </row>
    <row r="1805" spans="7:18">
      <c r="G1805" s="133"/>
      <c r="H1805" s="184"/>
      <c r="I1805" s="184"/>
      <c r="J1805" s="186"/>
      <c r="K1805" s="186"/>
      <c r="L1805" s="186"/>
      <c r="M1805" s="186"/>
      <c r="N1805" s="186"/>
      <c r="O1805" s="186"/>
      <c r="P1805" s="188"/>
      <c r="Q1805" s="186"/>
      <c r="R1805" s="186"/>
    </row>
    <row r="1806" spans="7:18">
      <c r="G1806" s="133"/>
      <c r="H1806" s="184"/>
      <c r="I1806" s="184"/>
      <c r="J1806" s="186"/>
      <c r="K1806" s="186"/>
      <c r="L1806" s="186"/>
      <c r="M1806" s="186"/>
      <c r="N1806" s="186"/>
      <c r="O1806" s="186"/>
      <c r="P1806" s="188"/>
      <c r="Q1806" s="186"/>
      <c r="R1806" s="186"/>
    </row>
    <row r="1807" spans="7:18">
      <c r="G1807" s="133"/>
      <c r="H1807" s="184"/>
      <c r="I1807" s="184"/>
      <c r="J1807" s="186"/>
      <c r="K1807" s="186"/>
      <c r="L1807" s="186"/>
      <c r="M1807" s="186"/>
      <c r="N1807" s="186"/>
      <c r="O1807" s="186"/>
      <c r="P1807" s="188"/>
      <c r="Q1807" s="186"/>
      <c r="R1807" s="186"/>
    </row>
    <row r="1808" spans="7:18">
      <c r="G1808" s="133"/>
      <c r="H1808" s="184"/>
      <c r="I1808" s="184"/>
      <c r="J1808" s="186"/>
      <c r="K1808" s="186"/>
      <c r="L1808" s="186"/>
      <c r="M1808" s="186"/>
      <c r="N1808" s="186"/>
      <c r="O1808" s="186"/>
      <c r="P1808" s="188"/>
      <c r="Q1808" s="186"/>
      <c r="R1808" s="186"/>
    </row>
    <row r="1809" spans="7:18">
      <c r="G1809" s="133"/>
      <c r="H1809" s="184"/>
      <c r="I1809" s="184"/>
      <c r="J1809" s="186"/>
      <c r="K1809" s="186"/>
      <c r="L1809" s="186"/>
      <c r="M1809" s="186"/>
      <c r="N1809" s="186"/>
      <c r="O1809" s="186"/>
      <c r="P1809" s="188"/>
      <c r="Q1809" s="186"/>
      <c r="R1809" s="186"/>
    </row>
    <row r="1810" spans="7:18">
      <c r="G1810" s="133"/>
      <c r="H1810" s="184"/>
      <c r="I1810" s="184"/>
      <c r="J1810" s="186"/>
      <c r="K1810" s="186"/>
      <c r="L1810" s="186"/>
      <c r="M1810" s="186"/>
      <c r="N1810" s="186"/>
      <c r="O1810" s="186"/>
      <c r="P1810" s="188"/>
      <c r="Q1810" s="186"/>
      <c r="R1810" s="186"/>
    </row>
    <row r="1811" spans="7:18">
      <c r="G1811" s="133"/>
      <c r="H1811" s="184"/>
      <c r="I1811" s="184"/>
      <c r="J1811" s="186"/>
      <c r="K1811" s="186"/>
      <c r="L1811" s="186"/>
      <c r="M1811" s="186"/>
      <c r="N1811" s="186"/>
      <c r="O1811" s="186"/>
      <c r="P1811" s="188"/>
      <c r="Q1811" s="186"/>
      <c r="R1811" s="186"/>
    </row>
    <row r="1812" spans="7:18">
      <c r="G1812" s="133"/>
      <c r="H1812" s="184"/>
      <c r="I1812" s="184"/>
      <c r="J1812" s="186"/>
      <c r="K1812" s="186"/>
      <c r="L1812" s="186"/>
      <c r="M1812" s="186"/>
      <c r="N1812" s="186"/>
      <c r="O1812" s="186"/>
      <c r="P1812" s="188"/>
      <c r="Q1812" s="186"/>
      <c r="R1812" s="186"/>
    </row>
    <row r="1813" spans="7:18">
      <c r="G1813" s="133"/>
      <c r="H1813" s="184"/>
      <c r="I1813" s="184"/>
      <c r="J1813" s="186"/>
      <c r="K1813" s="186"/>
      <c r="L1813" s="186"/>
      <c r="M1813" s="186"/>
      <c r="N1813" s="186"/>
      <c r="O1813" s="186"/>
      <c r="P1813" s="188"/>
      <c r="Q1813" s="186"/>
      <c r="R1813" s="186"/>
    </row>
    <row r="1814" spans="7:18">
      <c r="G1814" s="133"/>
      <c r="H1814" s="184"/>
      <c r="I1814" s="184"/>
      <c r="J1814" s="186"/>
      <c r="K1814" s="186"/>
      <c r="L1814" s="186"/>
      <c r="M1814" s="186"/>
      <c r="N1814" s="186"/>
      <c r="O1814" s="186"/>
      <c r="P1814" s="188"/>
      <c r="Q1814" s="186"/>
      <c r="R1814" s="186"/>
    </row>
    <row r="1815" spans="7:18">
      <c r="G1815" s="133"/>
      <c r="H1815" s="184"/>
      <c r="I1815" s="184"/>
      <c r="J1815" s="186"/>
      <c r="K1815" s="186"/>
      <c r="L1815" s="186"/>
      <c r="M1815" s="186"/>
      <c r="N1815" s="186"/>
      <c r="O1815" s="186"/>
      <c r="P1815" s="188"/>
      <c r="Q1815" s="186"/>
      <c r="R1815" s="186"/>
    </row>
    <row r="1816" spans="7:18">
      <c r="G1816" s="133"/>
      <c r="H1816" s="184"/>
      <c r="I1816" s="184"/>
      <c r="J1816" s="186"/>
      <c r="K1816" s="186"/>
      <c r="L1816" s="186"/>
      <c r="M1816" s="186"/>
      <c r="N1816" s="186"/>
      <c r="O1816" s="186"/>
      <c r="P1816" s="188"/>
      <c r="Q1816" s="186"/>
      <c r="R1816" s="186"/>
    </row>
    <row r="1817" spans="7:18">
      <c r="G1817" s="133"/>
      <c r="H1817" s="184"/>
      <c r="I1817" s="184"/>
      <c r="J1817" s="186"/>
      <c r="K1817" s="186"/>
      <c r="L1817" s="186"/>
      <c r="M1817" s="186"/>
      <c r="N1817" s="186"/>
      <c r="O1817" s="186"/>
      <c r="P1817" s="188"/>
      <c r="Q1817" s="186"/>
      <c r="R1817" s="186"/>
    </row>
    <row r="1818" spans="7:18">
      <c r="G1818" s="133"/>
      <c r="H1818" s="184"/>
      <c r="I1818" s="184"/>
      <c r="J1818" s="186"/>
      <c r="K1818" s="186"/>
      <c r="L1818" s="186"/>
      <c r="M1818" s="186"/>
      <c r="N1818" s="186"/>
      <c r="O1818" s="186"/>
      <c r="P1818" s="188"/>
      <c r="Q1818" s="186"/>
      <c r="R1818" s="186"/>
    </row>
    <row r="1819" spans="7:18">
      <c r="G1819" s="133"/>
      <c r="H1819" s="184"/>
      <c r="I1819" s="184"/>
      <c r="J1819" s="186"/>
      <c r="K1819" s="186"/>
      <c r="L1819" s="186"/>
      <c r="M1819" s="186"/>
      <c r="N1819" s="186"/>
      <c r="O1819" s="186"/>
      <c r="P1819" s="188"/>
      <c r="Q1819" s="186"/>
      <c r="R1819" s="186"/>
    </row>
    <row r="1820" spans="7:18">
      <c r="G1820" s="133"/>
      <c r="H1820" s="184"/>
      <c r="I1820" s="184"/>
      <c r="J1820" s="186"/>
      <c r="K1820" s="186"/>
      <c r="L1820" s="186"/>
      <c r="M1820" s="186"/>
      <c r="N1820" s="186"/>
      <c r="O1820" s="186"/>
      <c r="P1820" s="188"/>
      <c r="Q1820" s="186"/>
      <c r="R1820" s="186"/>
    </row>
    <row r="1821" spans="7:18">
      <c r="G1821" s="133"/>
      <c r="H1821" s="184"/>
      <c r="I1821" s="184"/>
      <c r="J1821" s="186"/>
      <c r="K1821" s="186"/>
      <c r="L1821" s="186"/>
      <c r="M1821" s="186"/>
      <c r="N1821" s="186"/>
      <c r="O1821" s="186"/>
      <c r="P1821" s="188"/>
      <c r="Q1821" s="186"/>
      <c r="R1821" s="186"/>
    </row>
    <row r="1822" spans="7:18">
      <c r="G1822" s="133"/>
      <c r="H1822" s="184"/>
      <c r="I1822" s="184"/>
      <c r="J1822" s="186"/>
      <c r="K1822" s="186"/>
      <c r="L1822" s="186"/>
      <c r="M1822" s="186"/>
      <c r="N1822" s="186"/>
      <c r="O1822" s="186"/>
      <c r="P1822" s="188"/>
      <c r="Q1822" s="186"/>
      <c r="R1822" s="186"/>
    </row>
    <row r="1823" spans="7:18">
      <c r="G1823" s="133"/>
      <c r="H1823" s="184"/>
      <c r="I1823" s="184"/>
      <c r="J1823" s="186"/>
      <c r="K1823" s="186"/>
      <c r="L1823" s="186"/>
      <c r="M1823" s="186"/>
      <c r="N1823" s="186"/>
      <c r="O1823" s="186"/>
      <c r="P1823" s="188"/>
      <c r="Q1823" s="186"/>
      <c r="R1823" s="186"/>
    </row>
    <row r="1824" spans="7:18">
      <c r="G1824" s="133"/>
      <c r="H1824" s="184"/>
      <c r="I1824" s="184"/>
      <c r="J1824" s="186"/>
      <c r="K1824" s="186"/>
      <c r="L1824" s="186"/>
      <c r="M1824" s="186"/>
      <c r="N1824" s="186"/>
      <c r="O1824" s="186"/>
      <c r="P1824" s="188"/>
      <c r="Q1824" s="186"/>
      <c r="R1824" s="186"/>
    </row>
    <row r="1825" spans="7:18">
      <c r="G1825" s="133"/>
      <c r="H1825" s="184"/>
      <c r="I1825" s="184"/>
      <c r="J1825" s="186"/>
      <c r="K1825" s="186"/>
      <c r="L1825" s="186"/>
      <c r="M1825" s="186"/>
      <c r="N1825" s="186"/>
      <c r="O1825" s="186"/>
      <c r="P1825" s="188"/>
      <c r="Q1825" s="186"/>
      <c r="R1825" s="186"/>
    </row>
    <row r="1826" spans="7:18">
      <c r="G1826" s="133"/>
      <c r="H1826" s="184"/>
      <c r="I1826" s="184"/>
      <c r="J1826" s="186"/>
      <c r="K1826" s="186"/>
      <c r="L1826" s="186"/>
      <c r="M1826" s="186"/>
      <c r="N1826" s="186"/>
      <c r="O1826" s="186"/>
      <c r="P1826" s="188"/>
      <c r="Q1826" s="186"/>
      <c r="R1826" s="186"/>
    </row>
    <row r="1827" spans="7:18">
      <c r="G1827" s="133"/>
      <c r="H1827" s="184"/>
      <c r="I1827" s="184"/>
      <c r="J1827" s="186"/>
      <c r="K1827" s="186"/>
      <c r="L1827" s="186"/>
      <c r="M1827" s="186"/>
      <c r="N1827" s="186"/>
      <c r="O1827" s="186"/>
      <c r="P1827" s="188"/>
      <c r="Q1827" s="186"/>
      <c r="R1827" s="186"/>
    </row>
    <row r="1828" spans="7:18">
      <c r="G1828" s="133"/>
      <c r="H1828" s="184"/>
      <c r="I1828" s="184"/>
      <c r="J1828" s="186"/>
      <c r="K1828" s="186"/>
      <c r="L1828" s="186"/>
      <c r="M1828" s="186"/>
      <c r="N1828" s="186"/>
      <c r="O1828" s="186"/>
      <c r="P1828" s="188"/>
      <c r="Q1828" s="186"/>
      <c r="R1828" s="186"/>
    </row>
    <row r="1829" spans="7:18">
      <c r="G1829" s="133"/>
      <c r="H1829" s="184"/>
      <c r="I1829" s="184"/>
      <c r="J1829" s="186"/>
      <c r="K1829" s="186"/>
      <c r="L1829" s="186"/>
      <c r="M1829" s="186"/>
      <c r="N1829" s="186"/>
      <c r="O1829" s="186"/>
      <c r="P1829" s="188"/>
      <c r="Q1829" s="186"/>
      <c r="R1829" s="186"/>
    </row>
    <row r="1830" spans="7:18">
      <c r="G1830" s="133"/>
      <c r="H1830" s="184"/>
      <c r="I1830" s="184"/>
      <c r="J1830" s="186"/>
      <c r="K1830" s="186"/>
      <c r="L1830" s="186"/>
      <c r="M1830" s="186"/>
      <c r="N1830" s="186"/>
      <c r="O1830" s="186"/>
      <c r="P1830" s="188"/>
      <c r="Q1830" s="186"/>
      <c r="R1830" s="186"/>
    </row>
    <row r="1831" spans="7:18">
      <c r="G1831" s="133"/>
      <c r="H1831" s="184"/>
      <c r="I1831" s="184"/>
      <c r="J1831" s="186"/>
      <c r="K1831" s="186"/>
      <c r="L1831" s="186"/>
      <c r="M1831" s="186"/>
      <c r="N1831" s="186"/>
      <c r="O1831" s="186"/>
      <c r="P1831" s="188"/>
      <c r="Q1831" s="186"/>
      <c r="R1831" s="186"/>
    </row>
    <row r="1832" spans="7:18">
      <c r="G1832" s="133"/>
      <c r="H1832" s="184"/>
      <c r="I1832" s="184"/>
      <c r="J1832" s="186"/>
      <c r="K1832" s="186"/>
      <c r="L1832" s="186"/>
      <c r="M1832" s="186"/>
      <c r="N1832" s="186"/>
      <c r="O1832" s="186"/>
      <c r="P1832" s="188"/>
      <c r="Q1832" s="186"/>
      <c r="R1832" s="186"/>
    </row>
    <row r="1833" spans="7:18">
      <c r="G1833" s="133"/>
      <c r="H1833" s="184"/>
      <c r="I1833" s="184"/>
      <c r="J1833" s="186"/>
      <c r="K1833" s="186"/>
      <c r="L1833" s="186"/>
      <c r="M1833" s="186"/>
      <c r="N1833" s="186"/>
      <c r="O1833" s="186"/>
      <c r="P1833" s="188"/>
      <c r="Q1833" s="186"/>
      <c r="R1833" s="186"/>
    </row>
    <row r="1834" spans="7:18">
      <c r="G1834" s="133"/>
      <c r="H1834" s="184"/>
      <c r="I1834" s="184"/>
      <c r="J1834" s="186"/>
      <c r="K1834" s="186"/>
      <c r="L1834" s="186"/>
      <c r="M1834" s="186"/>
      <c r="N1834" s="186"/>
      <c r="O1834" s="186"/>
      <c r="P1834" s="188"/>
      <c r="Q1834" s="186"/>
      <c r="R1834" s="186"/>
    </row>
    <row r="1835" spans="7:18">
      <c r="G1835" s="133"/>
      <c r="H1835" s="184"/>
      <c r="I1835" s="184"/>
      <c r="J1835" s="186"/>
      <c r="K1835" s="186"/>
      <c r="L1835" s="186"/>
      <c r="M1835" s="186"/>
      <c r="N1835" s="186"/>
      <c r="O1835" s="186"/>
      <c r="P1835" s="188"/>
      <c r="Q1835" s="186"/>
      <c r="R1835" s="186"/>
    </row>
    <row r="1836" spans="7:18">
      <c r="G1836" s="133"/>
      <c r="H1836" s="184"/>
      <c r="I1836" s="184"/>
      <c r="J1836" s="186"/>
      <c r="K1836" s="186"/>
      <c r="L1836" s="186"/>
      <c r="M1836" s="186"/>
      <c r="N1836" s="186"/>
      <c r="O1836" s="186"/>
      <c r="P1836" s="188"/>
      <c r="Q1836" s="186"/>
      <c r="R1836" s="186"/>
    </row>
    <row r="1837" spans="7:18">
      <c r="G1837" s="133"/>
      <c r="H1837" s="184"/>
      <c r="I1837" s="184"/>
      <c r="J1837" s="186"/>
      <c r="K1837" s="186"/>
      <c r="L1837" s="186"/>
      <c r="M1837" s="186"/>
      <c r="N1837" s="186"/>
      <c r="O1837" s="186"/>
      <c r="P1837" s="188"/>
      <c r="Q1837" s="186"/>
      <c r="R1837" s="186"/>
    </row>
    <row r="1838" spans="7:18">
      <c r="G1838" s="133"/>
      <c r="H1838" s="184"/>
      <c r="I1838" s="184"/>
      <c r="J1838" s="186"/>
      <c r="K1838" s="186"/>
      <c r="L1838" s="186"/>
      <c r="M1838" s="186"/>
      <c r="N1838" s="186"/>
      <c r="O1838" s="186"/>
      <c r="P1838" s="188"/>
      <c r="Q1838" s="186"/>
      <c r="R1838" s="186"/>
    </row>
    <row r="1839" spans="7:18">
      <c r="G1839" s="133"/>
      <c r="H1839" s="184"/>
      <c r="I1839" s="184"/>
      <c r="J1839" s="186"/>
      <c r="K1839" s="186"/>
      <c r="L1839" s="186"/>
      <c r="M1839" s="186"/>
      <c r="N1839" s="186"/>
      <c r="O1839" s="186"/>
      <c r="P1839" s="188"/>
      <c r="Q1839" s="186"/>
      <c r="R1839" s="186"/>
    </row>
    <row r="1840" spans="7:18">
      <c r="G1840" s="133"/>
      <c r="H1840" s="184"/>
      <c r="I1840" s="184"/>
      <c r="J1840" s="186"/>
      <c r="K1840" s="186"/>
      <c r="L1840" s="186"/>
      <c r="M1840" s="186"/>
      <c r="N1840" s="186"/>
      <c r="O1840" s="186"/>
      <c r="P1840" s="188"/>
      <c r="Q1840" s="186"/>
      <c r="R1840" s="186"/>
    </row>
    <row r="1841" spans="7:18">
      <c r="G1841" s="133"/>
      <c r="H1841" s="184"/>
      <c r="I1841" s="184"/>
      <c r="J1841" s="186"/>
      <c r="K1841" s="186"/>
      <c r="L1841" s="186"/>
      <c r="M1841" s="186"/>
      <c r="N1841" s="186"/>
      <c r="O1841" s="186"/>
      <c r="P1841" s="188"/>
      <c r="Q1841" s="186"/>
      <c r="R1841" s="186"/>
    </row>
    <row r="1842" spans="7:18">
      <c r="G1842" s="133"/>
      <c r="H1842" s="184"/>
      <c r="I1842" s="184"/>
      <c r="J1842" s="186"/>
      <c r="K1842" s="186"/>
      <c r="L1842" s="186"/>
      <c r="M1842" s="186"/>
      <c r="N1842" s="186"/>
      <c r="O1842" s="186"/>
      <c r="P1842" s="188"/>
      <c r="Q1842" s="186"/>
      <c r="R1842" s="186"/>
    </row>
    <row r="1843" spans="7:18">
      <c r="G1843" s="133"/>
      <c r="H1843" s="184"/>
      <c r="I1843" s="184"/>
      <c r="J1843" s="186"/>
      <c r="K1843" s="186"/>
      <c r="L1843" s="186"/>
      <c r="M1843" s="186"/>
      <c r="N1843" s="186"/>
      <c r="O1843" s="186"/>
      <c r="P1843" s="188"/>
      <c r="Q1843" s="186"/>
      <c r="R1843" s="186"/>
    </row>
    <row r="1844" spans="7:18">
      <c r="G1844" s="133"/>
      <c r="H1844" s="184"/>
      <c r="I1844" s="184"/>
      <c r="J1844" s="186"/>
      <c r="K1844" s="186"/>
      <c r="L1844" s="186"/>
      <c r="M1844" s="186"/>
      <c r="N1844" s="186"/>
      <c r="O1844" s="186"/>
      <c r="P1844" s="188"/>
      <c r="Q1844" s="186"/>
      <c r="R1844" s="186"/>
    </row>
    <row r="1845" spans="7:18">
      <c r="G1845" s="133"/>
      <c r="H1845" s="184"/>
      <c r="I1845" s="184"/>
      <c r="J1845" s="186"/>
      <c r="K1845" s="186"/>
      <c r="L1845" s="186"/>
      <c r="M1845" s="186"/>
      <c r="N1845" s="186"/>
      <c r="O1845" s="186"/>
      <c r="P1845" s="188"/>
      <c r="Q1845" s="186"/>
      <c r="R1845" s="186"/>
    </row>
    <row r="1846" spans="7:18">
      <c r="G1846" s="133"/>
      <c r="H1846" s="184"/>
      <c r="I1846" s="184"/>
      <c r="J1846" s="186"/>
      <c r="K1846" s="186"/>
      <c r="L1846" s="186"/>
      <c r="M1846" s="186"/>
      <c r="N1846" s="186"/>
      <c r="O1846" s="186"/>
      <c r="P1846" s="188"/>
      <c r="Q1846" s="186"/>
      <c r="R1846" s="186"/>
    </row>
    <row r="1847" spans="7:18">
      <c r="G1847" s="133"/>
      <c r="H1847" s="184"/>
      <c r="I1847" s="184"/>
      <c r="J1847" s="186"/>
      <c r="K1847" s="186"/>
      <c r="L1847" s="186"/>
      <c r="M1847" s="186"/>
      <c r="N1847" s="186"/>
      <c r="O1847" s="186"/>
      <c r="P1847" s="188"/>
      <c r="Q1847" s="186"/>
      <c r="R1847" s="186"/>
    </row>
    <row r="1848" spans="7:18">
      <c r="G1848" s="133"/>
      <c r="H1848" s="184"/>
      <c r="I1848" s="184"/>
      <c r="J1848" s="186"/>
      <c r="K1848" s="186"/>
      <c r="L1848" s="186"/>
      <c r="M1848" s="186"/>
      <c r="N1848" s="186"/>
      <c r="O1848" s="186"/>
      <c r="P1848" s="188"/>
      <c r="Q1848" s="186"/>
      <c r="R1848" s="186"/>
    </row>
    <row r="1849" spans="7:18">
      <c r="G1849" s="133"/>
      <c r="H1849" s="184"/>
      <c r="I1849" s="184"/>
      <c r="J1849" s="186"/>
      <c r="K1849" s="186"/>
      <c r="L1849" s="186"/>
      <c r="M1849" s="186"/>
      <c r="N1849" s="186"/>
      <c r="O1849" s="186"/>
      <c r="P1849" s="188"/>
      <c r="Q1849" s="186"/>
      <c r="R1849" s="186"/>
    </row>
    <row r="1850" spans="7:18">
      <c r="G1850" s="133"/>
      <c r="H1850" s="184"/>
      <c r="I1850" s="184"/>
      <c r="J1850" s="186"/>
      <c r="K1850" s="186"/>
      <c r="L1850" s="186"/>
      <c r="M1850" s="186"/>
      <c r="N1850" s="186"/>
      <c r="O1850" s="186"/>
      <c r="P1850" s="188"/>
      <c r="Q1850" s="186"/>
      <c r="R1850" s="186"/>
    </row>
    <row r="1851" spans="7:18">
      <c r="G1851" s="133"/>
      <c r="H1851" s="184"/>
      <c r="I1851" s="184"/>
      <c r="J1851" s="186"/>
      <c r="K1851" s="186"/>
      <c r="L1851" s="186"/>
      <c r="M1851" s="186"/>
      <c r="N1851" s="186"/>
      <c r="O1851" s="186"/>
      <c r="P1851" s="188"/>
      <c r="Q1851" s="186"/>
      <c r="R1851" s="186"/>
    </row>
    <row r="1852" spans="7:18">
      <c r="G1852" s="133"/>
      <c r="H1852" s="184"/>
      <c r="I1852" s="184"/>
      <c r="J1852" s="186"/>
      <c r="K1852" s="186"/>
      <c r="L1852" s="186"/>
      <c r="M1852" s="186"/>
      <c r="N1852" s="186"/>
      <c r="O1852" s="186"/>
      <c r="P1852" s="188"/>
      <c r="Q1852" s="186"/>
      <c r="R1852" s="186"/>
    </row>
    <row r="1853" spans="7:18">
      <c r="G1853" s="133"/>
      <c r="H1853" s="184"/>
      <c r="I1853" s="184"/>
      <c r="J1853" s="186"/>
      <c r="K1853" s="186"/>
      <c r="L1853" s="186"/>
      <c r="M1853" s="186"/>
      <c r="N1853" s="186"/>
      <c r="O1853" s="186"/>
      <c r="P1853" s="188"/>
      <c r="Q1853" s="186"/>
      <c r="R1853" s="186"/>
    </row>
    <row r="1854" spans="7:18">
      <c r="G1854" s="133"/>
      <c r="H1854" s="184"/>
      <c r="I1854" s="184"/>
      <c r="J1854" s="186"/>
      <c r="K1854" s="186"/>
      <c r="L1854" s="186"/>
      <c r="M1854" s="186"/>
      <c r="N1854" s="186"/>
      <c r="O1854" s="186"/>
      <c r="P1854" s="188"/>
      <c r="Q1854" s="186"/>
      <c r="R1854" s="186"/>
    </row>
    <row r="1855" spans="7:18">
      <c r="G1855" s="133"/>
      <c r="H1855" s="184"/>
      <c r="I1855" s="184"/>
      <c r="J1855" s="186"/>
      <c r="K1855" s="186"/>
      <c r="L1855" s="186"/>
      <c r="M1855" s="186"/>
      <c r="N1855" s="186"/>
      <c r="O1855" s="186"/>
      <c r="P1855" s="188"/>
      <c r="Q1855" s="186"/>
      <c r="R1855" s="186"/>
    </row>
    <row r="1856" spans="7:18">
      <c r="G1856" s="133"/>
      <c r="H1856" s="184"/>
      <c r="I1856" s="184"/>
      <c r="J1856" s="186"/>
      <c r="K1856" s="186"/>
      <c r="L1856" s="186"/>
      <c r="M1856" s="186"/>
      <c r="N1856" s="186"/>
      <c r="O1856" s="186"/>
      <c r="P1856" s="188"/>
      <c r="Q1856" s="186"/>
      <c r="R1856" s="186"/>
    </row>
    <row r="1857" spans="7:18">
      <c r="G1857" s="133"/>
      <c r="H1857" s="184"/>
      <c r="I1857" s="184"/>
      <c r="J1857" s="186"/>
      <c r="K1857" s="186"/>
      <c r="L1857" s="186"/>
      <c r="M1857" s="186"/>
      <c r="N1857" s="186"/>
      <c r="O1857" s="186"/>
      <c r="P1857" s="188"/>
      <c r="Q1857" s="186"/>
      <c r="R1857" s="186"/>
    </row>
    <row r="1858" spans="7:18">
      <c r="G1858" s="133"/>
      <c r="H1858" s="184"/>
      <c r="I1858" s="184"/>
      <c r="J1858" s="186"/>
      <c r="K1858" s="186"/>
      <c r="L1858" s="186"/>
      <c r="M1858" s="186"/>
      <c r="N1858" s="186"/>
      <c r="O1858" s="186"/>
      <c r="P1858" s="188"/>
      <c r="Q1858" s="186"/>
      <c r="R1858" s="186"/>
    </row>
    <row r="1859" spans="7:18">
      <c r="G1859" s="133"/>
      <c r="H1859" s="184"/>
      <c r="I1859" s="184"/>
      <c r="J1859" s="186"/>
      <c r="K1859" s="186"/>
      <c r="L1859" s="186"/>
      <c r="M1859" s="186"/>
      <c r="N1859" s="186"/>
      <c r="O1859" s="186"/>
      <c r="P1859" s="188"/>
      <c r="Q1859" s="186"/>
      <c r="R1859" s="186"/>
    </row>
    <row r="1860" spans="7:18">
      <c r="G1860" s="133"/>
      <c r="H1860" s="184"/>
      <c r="I1860" s="184"/>
      <c r="J1860" s="186"/>
      <c r="K1860" s="186"/>
      <c r="L1860" s="186"/>
      <c r="M1860" s="186"/>
      <c r="N1860" s="186"/>
      <c r="O1860" s="186"/>
      <c r="P1860" s="188"/>
      <c r="Q1860" s="186"/>
      <c r="R1860" s="186"/>
    </row>
    <row r="1861" spans="7:18">
      <c r="G1861" s="133"/>
      <c r="H1861" s="184"/>
      <c r="I1861" s="184"/>
      <c r="J1861" s="186"/>
      <c r="K1861" s="186"/>
      <c r="L1861" s="186"/>
      <c r="M1861" s="186"/>
      <c r="N1861" s="186"/>
      <c r="O1861" s="186"/>
      <c r="P1861" s="188"/>
      <c r="Q1861" s="186"/>
      <c r="R1861" s="186"/>
    </row>
    <row r="1862" spans="7:18">
      <c r="G1862" s="133"/>
      <c r="H1862" s="184"/>
      <c r="I1862" s="184"/>
      <c r="J1862" s="186"/>
      <c r="K1862" s="186"/>
      <c r="L1862" s="186"/>
      <c r="M1862" s="186"/>
      <c r="N1862" s="186"/>
      <c r="O1862" s="186"/>
      <c r="P1862" s="188"/>
      <c r="Q1862" s="186"/>
      <c r="R1862" s="186"/>
    </row>
    <row r="1863" spans="7:18">
      <c r="G1863" s="133"/>
      <c r="H1863" s="184"/>
      <c r="I1863" s="184"/>
      <c r="J1863" s="186"/>
      <c r="K1863" s="186"/>
      <c r="L1863" s="186"/>
      <c r="M1863" s="186"/>
      <c r="N1863" s="186"/>
      <c r="O1863" s="186"/>
      <c r="P1863" s="188"/>
      <c r="Q1863" s="186"/>
      <c r="R1863" s="186"/>
    </row>
    <row r="1864" spans="7:18">
      <c r="G1864" s="133"/>
      <c r="H1864" s="184"/>
      <c r="I1864" s="184"/>
      <c r="J1864" s="186"/>
      <c r="K1864" s="186"/>
      <c r="L1864" s="186"/>
      <c r="M1864" s="186"/>
      <c r="N1864" s="186"/>
      <c r="O1864" s="186"/>
      <c r="P1864" s="188"/>
      <c r="Q1864" s="186"/>
      <c r="R1864" s="186"/>
    </row>
    <row r="1865" spans="7:18">
      <c r="G1865" s="133"/>
      <c r="H1865" s="184"/>
      <c r="I1865" s="184"/>
      <c r="J1865" s="186"/>
      <c r="K1865" s="186"/>
      <c r="L1865" s="186"/>
      <c r="M1865" s="186"/>
      <c r="N1865" s="186"/>
      <c r="O1865" s="186"/>
      <c r="P1865" s="188"/>
      <c r="Q1865" s="186"/>
      <c r="R1865" s="186"/>
    </row>
    <row r="1866" spans="7:18">
      <c r="G1866" s="133"/>
      <c r="H1866" s="184"/>
      <c r="I1866" s="184"/>
      <c r="J1866" s="186"/>
      <c r="K1866" s="186"/>
      <c r="L1866" s="186"/>
      <c r="M1866" s="186"/>
      <c r="N1866" s="186"/>
      <c r="O1866" s="186"/>
      <c r="P1866" s="188"/>
      <c r="Q1866" s="186"/>
      <c r="R1866" s="186"/>
    </row>
    <row r="1867" spans="7:18">
      <c r="G1867" s="133"/>
      <c r="H1867" s="184"/>
      <c r="I1867" s="184"/>
      <c r="J1867" s="186"/>
      <c r="K1867" s="186"/>
      <c r="L1867" s="186"/>
      <c r="M1867" s="186"/>
      <c r="N1867" s="186"/>
      <c r="O1867" s="186"/>
      <c r="P1867" s="188"/>
      <c r="Q1867" s="186"/>
      <c r="R1867" s="186"/>
    </row>
    <row r="1868" spans="7:18">
      <c r="G1868" s="133"/>
      <c r="H1868" s="184"/>
      <c r="I1868" s="184"/>
      <c r="J1868" s="186"/>
      <c r="K1868" s="186"/>
      <c r="L1868" s="186"/>
      <c r="M1868" s="186"/>
      <c r="N1868" s="186"/>
      <c r="O1868" s="186"/>
      <c r="P1868" s="188"/>
      <c r="Q1868" s="186"/>
      <c r="R1868" s="186"/>
    </row>
    <row r="1869" spans="7:18">
      <c r="G1869" s="133"/>
      <c r="H1869" s="184"/>
      <c r="I1869" s="184"/>
      <c r="J1869" s="186"/>
      <c r="K1869" s="186"/>
      <c r="L1869" s="186"/>
      <c r="M1869" s="186"/>
      <c r="N1869" s="186"/>
      <c r="O1869" s="186"/>
      <c r="P1869" s="188"/>
      <c r="Q1869" s="186"/>
      <c r="R1869" s="186"/>
    </row>
    <row r="1870" spans="7:18">
      <c r="G1870" s="133"/>
      <c r="H1870" s="184"/>
      <c r="I1870" s="184"/>
      <c r="J1870" s="186"/>
      <c r="K1870" s="186"/>
      <c r="L1870" s="186"/>
      <c r="M1870" s="186"/>
      <c r="N1870" s="186"/>
      <c r="O1870" s="186"/>
      <c r="P1870" s="188"/>
      <c r="Q1870" s="186"/>
      <c r="R1870" s="186"/>
    </row>
    <row r="1871" spans="7:18">
      <c r="G1871" s="133"/>
      <c r="H1871" s="184"/>
      <c r="I1871" s="184"/>
      <c r="J1871" s="186"/>
      <c r="K1871" s="186"/>
      <c r="L1871" s="186"/>
      <c r="M1871" s="186"/>
      <c r="N1871" s="186"/>
      <c r="O1871" s="186"/>
      <c r="P1871" s="188"/>
      <c r="Q1871" s="186"/>
      <c r="R1871" s="186"/>
    </row>
    <row r="1872" spans="7:18">
      <c r="G1872" s="133"/>
      <c r="H1872" s="184"/>
      <c r="I1872" s="184"/>
      <c r="J1872" s="186"/>
      <c r="K1872" s="186"/>
      <c r="L1872" s="186"/>
      <c r="M1872" s="186"/>
      <c r="N1872" s="186"/>
      <c r="O1872" s="186"/>
      <c r="P1872" s="188"/>
      <c r="Q1872" s="186"/>
      <c r="R1872" s="186"/>
    </row>
    <row r="1873" spans="7:18">
      <c r="G1873" s="133"/>
      <c r="H1873" s="184"/>
      <c r="I1873" s="184"/>
      <c r="J1873" s="186"/>
      <c r="K1873" s="186"/>
      <c r="L1873" s="186"/>
      <c r="M1873" s="186"/>
      <c r="N1873" s="186"/>
      <c r="O1873" s="186"/>
      <c r="P1873" s="188"/>
      <c r="Q1873" s="186"/>
      <c r="R1873" s="186"/>
    </row>
    <row r="1874" spans="7:18">
      <c r="G1874" s="133"/>
      <c r="H1874" s="184"/>
      <c r="I1874" s="184"/>
      <c r="J1874" s="186"/>
      <c r="K1874" s="186"/>
      <c r="L1874" s="186"/>
      <c r="M1874" s="186"/>
      <c r="N1874" s="186"/>
      <c r="O1874" s="186"/>
      <c r="P1874" s="188"/>
      <c r="Q1874" s="186"/>
      <c r="R1874" s="186"/>
    </row>
    <row r="1875" spans="7:18">
      <c r="G1875" s="133"/>
      <c r="H1875" s="184"/>
      <c r="I1875" s="184"/>
      <c r="J1875" s="186"/>
      <c r="K1875" s="186"/>
      <c r="L1875" s="186"/>
      <c r="M1875" s="186"/>
      <c r="N1875" s="186"/>
      <c r="O1875" s="186"/>
      <c r="P1875" s="188"/>
      <c r="Q1875" s="186"/>
      <c r="R1875" s="186"/>
    </row>
    <row r="1876" spans="7:18">
      <c r="G1876" s="133"/>
      <c r="H1876" s="184"/>
      <c r="I1876" s="184"/>
      <c r="J1876" s="186"/>
      <c r="K1876" s="186"/>
      <c r="L1876" s="186"/>
      <c r="M1876" s="186"/>
      <c r="N1876" s="186"/>
      <c r="O1876" s="186"/>
      <c r="P1876" s="188"/>
      <c r="Q1876" s="186"/>
      <c r="R1876" s="186"/>
    </row>
    <row r="1877" spans="7:18">
      <c r="G1877" s="133"/>
      <c r="H1877" s="184"/>
      <c r="I1877" s="184"/>
      <c r="J1877" s="186"/>
      <c r="K1877" s="186"/>
      <c r="L1877" s="186"/>
      <c r="M1877" s="186"/>
      <c r="N1877" s="186"/>
      <c r="O1877" s="186"/>
      <c r="P1877" s="188"/>
      <c r="Q1877" s="186"/>
      <c r="R1877" s="186"/>
    </row>
    <row r="1878" spans="7:18">
      <c r="G1878" s="133"/>
      <c r="H1878" s="184"/>
      <c r="I1878" s="184"/>
      <c r="J1878" s="186"/>
      <c r="K1878" s="186"/>
      <c r="L1878" s="186"/>
      <c r="M1878" s="186"/>
      <c r="N1878" s="186"/>
      <c r="O1878" s="186"/>
      <c r="P1878" s="188"/>
      <c r="Q1878" s="186"/>
      <c r="R1878" s="186"/>
    </row>
    <row r="1879" spans="7:18">
      <c r="G1879" s="133"/>
      <c r="H1879" s="184"/>
      <c r="I1879" s="184"/>
      <c r="J1879" s="186"/>
      <c r="K1879" s="186"/>
      <c r="L1879" s="186"/>
      <c r="M1879" s="186"/>
      <c r="N1879" s="186"/>
      <c r="O1879" s="186"/>
      <c r="P1879" s="188"/>
      <c r="Q1879" s="186"/>
      <c r="R1879" s="186"/>
    </row>
    <row r="1880" spans="7:18">
      <c r="G1880" s="133"/>
      <c r="H1880" s="184"/>
      <c r="I1880" s="184"/>
      <c r="J1880" s="186"/>
      <c r="K1880" s="186"/>
      <c r="L1880" s="186"/>
      <c r="M1880" s="186"/>
      <c r="N1880" s="186"/>
      <c r="O1880" s="186"/>
      <c r="P1880" s="188"/>
      <c r="Q1880" s="186"/>
      <c r="R1880" s="186"/>
    </row>
    <row r="1881" spans="7:18">
      <c r="G1881" s="133"/>
      <c r="H1881" s="184"/>
      <c r="I1881" s="184"/>
      <c r="J1881" s="186"/>
      <c r="K1881" s="186"/>
      <c r="L1881" s="186"/>
      <c r="M1881" s="186"/>
      <c r="N1881" s="186"/>
      <c r="O1881" s="186"/>
      <c r="P1881" s="188"/>
      <c r="Q1881" s="186"/>
      <c r="R1881" s="186"/>
    </row>
    <row r="1882" spans="7:18">
      <c r="G1882" s="133"/>
      <c r="H1882" s="184"/>
      <c r="I1882" s="184"/>
      <c r="J1882" s="186"/>
      <c r="K1882" s="186"/>
      <c r="L1882" s="186"/>
      <c r="M1882" s="186"/>
      <c r="N1882" s="186"/>
      <c r="O1882" s="186"/>
      <c r="P1882" s="188"/>
      <c r="Q1882" s="186"/>
      <c r="R1882" s="186"/>
    </row>
    <row r="1883" spans="7:18">
      <c r="G1883" s="133"/>
      <c r="H1883" s="184"/>
      <c r="I1883" s="184"/>
      <c r="J1883" s="186"/>
      <c r="K1883" s="186"/>
      <c r="L1883" s="186"/>
      <c r="M1883" s="186"/>
      <c r="N1883" s="186"/>
      <c r="O1883" s="186"/>
      <c r="P1883" s="188"/>
      <c r="Q1883" s="186"/>
      <c r="R1883" s="186"/>
    </row>
    <row r="1884" spans="7:18">
      <c r="G1884" s="133"/>
      <c r="H1884" s="184"/>
      <c r="I1884" s="184"/>
      <c r="J1884" s="186"/>
      <c r="K1884" s="186"/>
      <c r="L1884" s="186"/>
      <c r="M1884" s="186"/>
      <c r="N1884" s="186"/>
      <c r="O1884" s="186"/>
      <c r="P1884" s="188"/>
      <c r="Q1884" s="186"/>
      <c r="R1884" s="186"/>
    </row>
    <row r="1885" spans="7:18">
      <c r="G1885" s="133"/>
      <c r="H1885" s="184"/>
      <c r="I1885" s="184"/>
      <c r="J1885" s="186"/>
      <c r="K1885" s="186"/>
      <c r="L1885" s="186"/>
      <c r="M1885" s="186"/>
      <c r="N1885" s="186"/>
      <c r="O1885" s="186"/>
      <c r="P1885" s="188"/>
      <c r="Q1885" s="186"/>
      <c r="R1885" s="186"/>
    </row>
    <row r="1886" spans="7:18">
      <c r="G1886" s="133"/>
      <c r="H1886" s="184"/>
      <c r="I1886" s="184"/>
      <c r="J1886" s="186"/>
      <c r="K1886" s="186"/>
      <c r="L1886" s="186"/>
      <c r="M1886" s="186"/>
      <c r="N1886" s="186"/>
      <c r="O1886" s="186"/>
      <c r="P1886" s="188"/>
      <c r="Q1886" s="186"/>
      <c r="R1886" s="186"/>
    </row>
    <row r="1887" spans="7:18">
      <c r="G1887" s="133"/>
      <c r="H1887" s="184"/>
      <c r="I1887" s="184"/>
      <c r="J1887" s="186"/>
      <c r="K1887" s="186"/>
      <c r="L1887" s="186"/>
      <c r="M1887" s="186"/>
      <c r="N1887" s="186"/>
      <c r="O1887" s="186"/>
      <c r="P1887" s="188"/>
      <c r="Q1887" s="186"/>
      <c r="R1887" s="186"/>
    </row>
    <row r="1888" spans="7:18">
      <c r="G1888" s="133"/>
      <c r="H1888" s="184"/>
      <c r="I1888" s="184"/>
      <c r="J1888" s="186"/>
      <c r="K1888" s="186"/>
      <c r="L1888" s="186"/>
      <c r="M1888" s="186"/>
      <c r="N1888" s="186"/>
      <c r="O1888" s="186"/>
      <c r="P1888" s="188"/>
      <c r="Q1888" s="186"/>
      <c r="R1888" s="186"/>
    </row>
    <row r="1889" spans="7:18">
      <c r="G1889" s="133"/>
      <c r="H1889" s="184"/>
      <c r="I1889" s="184"/>
      <c r="J1889" s="186"/>
      <c r="K1889" s="186"/>
      <c r="L1889" s="186"/>
      <c r="M1889" s="186"/>
      <c r="N1889" s="186"/>
      <c r="O1889" s="186"/>
      <c r="P1889" s="188"/>
      <c r="Q1889" s="186"/>
      <c r="R1889" s="186"/>
    </row>
    <row r="1890" spans="7:18">
      <c r="G1890" s="133"/>
      <c r="H1890" s="184"/>
      <c r="I1890" s="184"/>
      <c r="J1890" s="186"/>
      <c r="K1890" s="186"/>
      <c r="L1890" s="186"/>
      <c r="M1890" s="186"/>
      <c r="N1890" s="186"/>
      <c r="O1890" s="186"/>
      <c r="P1890" s="188"/>
      <c r="Q1890" s="186"/>
      <c r="R1890" s="186"/>
    </row>
    <row r="1891" spans="7:18">
      <c r="G1891" s="133"/>
      <c r="H1891" s="184"/>
      <c r="I1891" s="184"/>
      <c r="J1891" s="186"/>
      <c r="K1891" s="186"/>
      <c r="L1891" s="186"/>
      <c r="M1891" s="186"/>
      <c r="N1891" s="186"/>
      <c r="O1891" s="186"/>
      <c r="P1891" s="188"/>
      <c r="Q1891" s="186"/>
      <c r="R1891" s="186"/>
    </row>
    <row r="1892" spans="7:18">
      <c r="G1892" s="133"/>
      <c r="H1892" s="184"/>
      <c r="I1892" s="184"/>
      <c r="J1892" s="186"/>
      <c r="K1892" s="186"/>
      <c r="L1892" s="186"/>
      <c r="M1892" s="186"/>
      <c r="N1892" s="186"/>
      <c r="O1892" s="186"/>
      <c r="P1892" s="188"/>
      <c r="Q1892" s="186"/>
      <c r="R1892" s="186"/>
    </row>
    <row r="1893" spans="7:18">
      <c r="G1893" s="133"/>
      <c r="H1893" s="184"/>
      <c r="I1893" s="184"/>
      <c r="J1893" s="186"/>
      <c r="K1893" s="186"/>
      <c r="L1893" s="186"/>
      <c r="M1893" s="186"/>
      <c r="N1893" s="186"/>
      <c r="O1893" s="186"/>
      <c r="P1893" s="188"/>
      <c r="Q1893" s="186"/>
      <c r="R1893" s="186"/>
    </row>
    <row r="1894" spans="7:18">
      <c r="G1894" s="133"/>
      <c r="H1894" s="184"/>
      <c r="I1894" s="184"/>
      <c r="J1894" s="186"/>
      <c r="K1894" s="186"/>
      <c r="L1894" s="186"/>
      <c r="M1894" s="186"/>
      <c r="N1894" s="186"/>
      <c r="O1894" s="186"/>
      <c r="P1894" s="188"/>
      <c r="Q1894" s="186"/>
      <c r="R1894" s="186"/>
    </row>
    <row r="1895" spans="7:18">
      <c r="G1895" s="133"/>
      <c r="H1895" s="184"/>
      <c r="I1895" s="184"/>
      <c r="J1895" s="186"/>
      <c r="K1895" s="186"/>
      <c r="L1895" s="186"/>
      <c r="M1895" s="186"/>
      <c r="N1895" s="186"/>
      <c r="O1895" s="186"/>
      <c r="P1895" s="188"/>
      <c r="Q1895" s="186"/>
      <c r="R1895" s="186"/>
    </row>
    <row r="1896" spans="7:18">
      <c r="G1896" s="133"/>
      <c r="H1896" s="184"/>
      <c r="I1896" s="184"/>
      <c r="J1896" s="186"/>
      <c r="K1896" s="186"/>
      <c r="L1896" s="186"/>
      <c r="M1896" s="186"/>
      <c r="N1896" s="186"/>
      <c r="O1896" s="186"/>
      <c r="P1896" s="188"/>
      <c r="Q1896" s="186"/>
      <c r="R1896" s="186"/>
    </row>
    <row r="1897" spans="7:18">
      <c r="G1897" s="133"/>
      <c r="H1897" s="184"/>
      <c r="I1897" s="184"/>
      <c r="J1897" s="186"/>
      <c r="K1897" s="186"/>
      <c r="L1897" s="186"/>
      <c r="M1897" s="186"/>
      <c r="N1897" s="186"/>
      <c r="O1897" s="186"/>
      <c r="P1897" s="188"/>
      <c r="Q1897" s="186"/>
      <c r="R1897" s="186"/>
    </row>
    <row r="1898" spans="7:18">
      <c r="G1898" s="133"/>
      <c r="H1898" s="184"/>
      <c r="I1898" s="184"/>
      <c r="J1898" s="186"/>
      <c r="K1898" s="186"/>
      <c r="L1898" s="186"/>
      <c r="M1898" s="186"/>
      <c r="N1898" s="186"/>
      <c r="O1898" s="186"/>
      <c r="P1898" s="188"/>
      <c r="Q1898" s="186"/>
      <c r="R1898" s="186"/>
    </row>
    <row r="1899" spans="7:18">
      <c r="G1899" s="133"/>
      <c r="H1899" s="184"/>
      <c r="I1899" s="184"/>
      <c r="J1899" s="186"/>
      <c r="K1899" s="186"/>
      <c r="L1899" s="186"/>
      <c r="M1899" s="186"/>
      <c r="N1899" s="186"/>
      <c r="O1899" s="186"/>
      <c r="P1899" s="188"/>
      <c r="Q1899" s="186"/>
      <c r="R1899" s="186"/>
    </row>
    <row r="1900" spans="7:18">
      <c r="G1900" s="133"/>
      <c r="H1900" s="184"/>
      <c r="I1900" s="184"/>
      <c r="J1900" s="186"/>
      <c r="K1900" s="186"/>
      <c r="L1900" s="186"/>
      <c r="M1900" s="186"/>
      <c r="N1900" s="186"/>
      <c r="O1900" s="186"/>
      <c r="P1900" s="188"/>
      <c r="Q1900" s="186"/>
      <c r="R1900" s="186"/>
    </row>
    <row r="1901" spans="7:18">
      <c r="G1901" s="133"/>
      <c r="H1901" s="184"/>
      <c r="I1901" s="184"/>
      <c r="J1901" s="186"/>
      <c r="K1901" s="186"/>
      <c r="L1901" s="186"/>
      <c r="M1901" s="186"/>
      <c r="N1901" s="186"/>
      <c r="O1901" s="186"/>
      <c r="P1901" s="188"/>
      <c r="Q1901" s="186"/>
      <c r="R1901" s="186"/>
    </row>
    <row r="1902" spans="7:18">
      <c r="G1902" s="133"/>
      <c r="H1902" s="184"/>
      <c r="I1902" s="184"/>
      <c r="J1902" s="186"/>
      <c r="K1902" s="186"/>
      <c r="L1902" s="186"/>
      <c r="M1902" s="186"/>
      <c r="N1902" s="186"/>
      <c r="O1902" s="186"/>
      <c r="P1902" s="188"/>
      <c r="Q1902" s="186"/>
      <c r="R1902" s="186"/>
    </row>
    <row r="1903" spans="7:18">
      <c r="G1903" s="133"/>
      <c r="H1903" s="184"/>
      <c r="I1903" s="184"/>
      <c r="J1903" s="186"/>
      <c r="K1903" s="186"/>
      <c r="L1903" s="186"/>
      <c r="M1903" s="186"/>
      <c r="N1903" s="186"/>
      <c r="O1903" s="186"/>
      <c r="P1903" s="188"/>
      <c r="Q1903" s="186"/>
      <c r="R1903" s="186"/>
    </row>
    <row r="1904" spans="7:18">
      <c r="G1904" s="133"/>
      <c r="H1904" s="184"/>
      <c r="I1904" s="184"/>
      <c r="J1904" s="186"/>
      <c r="K1904" s="186"/>
      <c r="L1904" s="186"/>
      <c r="M1904" s="186"/>
      <c r="N1904" s="186"/>
      <c r="O1904" s="186"/>
      <c r="P1904" s="188"/>
      <c r="Q1904" s="186"/>
      <c r="R1904" s="186"/>
    </row>
    <row r="1905" spans="7:18">
      <c r="G1905" s="133"/>
      <c r="H1905" s="184"/>
      <c r="I1905" s="184"/>
      <c r="J1905" s="186"/>
      <c r="K1905" s="186"/>
      <c r="L1905" s="186"/>
      <c r="M1905" s="186"/>
      <c r="N1905" s="186"/>
      <c r="O1905" s="186"/>
      <c r="P1905" s="188"/>
      <c r="Q1905" s="186"/>
      <c r="R1905" s="186"/>
    </row>
    <row r="1906" spans="7:18">
      <c r="G1906" s="133"/>
      <c r="H1906" s="184"/>
      <c r="I1906" s="184"/>
      <c r="J1906" s="186"/>
      <c r="K1906" s="186"/>
      <c r="L1906" s="186"/>
      <c r="M1906" s="186"/>
      <c r="N1906" s="186"/>
      <c r="O1906" s="186"/>
      <c r="P1906" s="188"/>
      <c r="Q1906" s="186"/>
      <c r="R1906" s="186"/>
    </row>
    <row r="1907" spans="7:18">
      <c r="G1907" s="133"/>
      <c r="H1907" s="184"/>
      <c r="I1907" s="184"/>
      <c r="J1907" s="186"/>
      <c r="K1907" s="186"/>
      <c r="L1907" s="186"/>
      <c r="M1907" s="186"/>
      <c r="N1907" s="186"/>
      <c r="O1907" s="186"/>
      <c r="P1907" s="188"/>
      <c r="Q1907" s="186"/>
      <c r="R1907" s="186"/>
    </row>
    <row r="1908" spans="7:18">
      <c r="G1908" s="133"/>
      <c r="H1908" s="184"/>
      <c r="I1908" s="184"/>
      <c r="J1908" s="186"/>
      <c r="K1908" s="186"/>
      <c r="L1908" s="186"/>
      <c r="M1908" s="186"/>
      <c r="N1908" s="186"/>
      <c r="O1908" s="186"/>
      <c r="P1908" s="188"/>
      <c r="Q1908" s="186"/>
      <c r="R1908" s="186"/>
    </row>
    <row r="1909" spans="7:18">
      <c r="G1909" s="133"/>
      <c r="H1909" s="184"/>
      <c r="I1909" s="184"/>
      <c r="J1909" s="186"/>
      <c r="K1909" s="186"/>
      <c r="L1909" s="186"/>
      <c r="M1909" s="186"/>
      <c r="N1909" s="186"/>
      <c r="O1909" s="186"/>
      <c r="P1909" s="188"/>
      <c r="Q1909" s="186"/>
      <c r="R1909" s="186"/>
    </row>
    <row r="1910" spans="7:18">
      <c r="G1910" s="133"/>
      <c r="H1910" s="184"/>
      <c r="I1910" s="184"/>
      <c r="J1910" s="186"/>
      <c r="K1910" s="186"/>
      <c r="L1910" s="186"/>
      <c r="M1910" s="186"/>
      <c r="N1910" s="186"/>
      <c r="O1910" s="186"/>
      <c r="P1910" s="188"/>
      <c r="Q1910" s="186"/>
      <c r="R1910" s="186"/>
    </row>
    <row r="1911" spans="7:18">
      <c r="G1911" s="133"/>
      <c r="H1911" s="184"/>
      <c r="I1911" s="184"/>
      <c r="J1911" s="186"/>
      <c r="K1911" s="186"/>
      <c r="L1911" s="186"/>
      <c r="M1911" s="186"/>
      <c r="N1911" s="186"/>
      <c r="O1911" s="186"/>
      <c r="P1911" s="188"/>
      <c r="Q1911" s="186"/>
      <c r="R1911" s="186"/>
    </row>
    <row r="1912" spans="7:18">
      <c r="G1912" s="133"/>
      <c r="H1912" s="184"/>
      <c r="I1912" s="184"/>
      <c r="J1912" s="186"/>
      <c r="K1912" s="186"/>
      <c r="L1912" s="186"/>
      <c r="M1912" s="186"/>
      <c r="N1912" s="186"/>
      <c r="O1912" s="186"/>
      <c r="P1912" s="188"/>
      <c r="Q1912" s="186"/>
      <c r="R1912" s="186"/>
    </row>
    <row r="1913" spans="7:18">
      <c r="G1913" s="133"/>
      <c r="H1913" s="184"/>
      <c r="I1913" s="184"/>
      <c r="J1913" s="186"/>
      <c r="K1913" s="186"/>
      <c r="L1913" s="186"/>
      <c r="M1913" s="186"/>
      <c r="N1913" s="186"/>
      <c r="O1913" s="186"/>
      <c r="P1913" s="188"/>
      <c r="Q1913" s="186"/>
      <c r="R1913" s="186"/>
    </row>
    <row r="1914" spans="7:18">
      <c r="G1914" s="133"/>
      <c r="H1914" s="184"/>
      <c r="I1914" s="184"/>
      <c r="J1914" s="186"/>
      <c r="K1914" s="186"/>
      <c r="L1914" s="186"/>
      <c r="M1914" s="186"/>
      <c r="N1914" s="186"/>
      <c r="O1914" s="186"/>
      <c r="P1914" s="188"/>
      <c r="Q1914" s="186"/>
      <c r="R1914" s="186"/>
    </row>
    <row r="1915" spans="7:18">
      <c r="G1915" s="133"/>
      <c r="H1915" s="184"/>
      <c r="I1915" s="184"/>
      <c r="J1915" s="186"/>
      <c r="K1915" s="186"/>
      <c r="L1915" s="186"/>
      <c r="M1915" s="186"/>
      <c r="N1915" s="186"/>
      <c r="O1915" s="186"/>
      <c r="P1915" s="188"/>
      <c r="Q1915" s="186"/>
      <c r="R1915" s="186"/>
    </row>
    <row r="1916" spans="7:18">
      <c r="G1916" s="133"/>
      <c r="H1916" s="184"/>
      <c r="I1916" s="184"/>
      <c r="J1916" s="186"/>
      <c r="K1916" s="186"/>
      <c r="L1916" s="186"/>
      <c r="M1916" s="186"/>
      <c r="N1916" s="186"/>
      <c r="O1916" s="186"/>
      <c r="P1916" s="188"/>
      <c r="Q1916" s="186"/>
      <c r="R1916" s="186"/>
    </row>
    <row r="1917" spans="7:18">
      <c r="G1917" s="133"/>
      <c r="H1917" s="184"/>
      <c r="I1917" s="184"/>
      <c r="J1917" s="186"/>
      <c r="K1917" s="186"/>
      <c r="L1917" s="186"/>
      <c r="M1917" s="186"/>
      <c r="N1917" s="186"/>
      <c r="O1917" s="186"/>
      <c r="P1917" s="188"/>
      <c r="Q1917" s="186"/>
      <c r="R1917" s="186"/>
    </row>
    <row r="1918" spans="7:18">
      <c r="G1918" s="133"/>
      <c r="H1918" s="184"/>
      <c r="I1918" s="184"/>
      <c r="J1918" s="186"/>
      <c r="K1918" s="186"/>
      <c r="L1918" s="186"/>
      <c r="M1918" s="186"/>
      <c r="N1918" s="186"/>
      <c r="O1918" s="186"/>
      <c r="P1918" s="188"/>
      <c r="Q1918" s="186"/>
      <c r="R1918" s="186"/>
    </row>
    <row r="1919" spans="7:18">
      <c r="G1919" s="133"/>
      <c r="H1919" s="184"/>
      <c r="I1919" s="184"/>
      <c r="J1919" s="186"/>
      <c r="K1919" s="186"/>
      <c r="L1919" s="186"/>
      <c r="M1919" s="186"/>
      <c r="N1919" s="186"/>
      <c r="O1919" s="186"/>
      <c r="P1919" s="188"/>
      <c r="Q1919" s="186"/>
      <c r="R1919" s="186"/>
    </row>
    <row r="1920" spans="7:18">
      <c r="G1920" s="133"/>
      <c r="H1920" s="184"/>
      <c r="I1920" s="184"/>
      <c r="J1920" s="186"/>
      <c r="K1920" s="186"/>
      <c r="L1920" s="186"/>
      <c r="M1920" s="186"/>
      <c r="N1920" s="186"/>
      <c r="O1920" s="186"/>
      <c r="P1920" s="188"/>
      <c r="Q1920" s="186"/>
      <c r="R1920" s="186"/>
    </row>
    <row r="1921" spans="7:18">
      <c r="G1921" s="133"/>
      <c r="H1921" s="184"/>
      <c r="I1921" s="184"/>
      <c r="J1921" s="186"/>
      <c r="K1921" s="186"/>
      <c r="L1921" s="186"/>
      <c r="M1921" s="186"/>
      <c r="N1921" s="186"/>
      <c r="O1921" s="186"/>
      <c r="P1921" s="188"/>
      <c r="Q1921" s="186"/>
      <c r="R1921" s="186"/>
    </row>
    <row r="1922" spans="7:18">
      <c r="G1922" s="133"/>
      <c r="H1922" s="184"/>
      <c r="I1922" s="184"/>
      <c r="J1922" s="186"/>
      <c r="K1922" s="186"/>
      <c r="L1922" s="186"/>
      <c r="M1922" s="186"/>
      <c r="N1922" s="186"/>
      <c r="O1922" s="186"/>
      <c r="P1922" s="188"/>
      <c r="Q1922" s="186"/>
      <c r="R1922" s="186"/>
    </row>
    <row r="1923" spans="7:18">
      <c r="G1923" s="133"/>
      <c r="H1923" s="184"/>
      <c r="I1923" s="184"/>
      <c r="J1923" s="186"/>
      <c r="K1923" s="186"/>
      <c r="L1923" s="186"/>
      <c r="M1923" s="186"/>
      <c r="N1923" s="186"/>
      <c r="O1923" s="186"/>
      <c r="P1923" s="188"/>
      <c r="Q1923" s="186"/>
      <c r="R1923" s="186"/>
    </row>
    <row r="1924" spans="7:18">
      <c r="G1924" s="133"/>
      <c r="H1924" s="184"/>
      <c r="I1924" s="184"/>
      <c r="J1924" s="186"/>
      <c r="K1924" s="186"/>
      <c r="L1924" s="186"/>
      <c r="M1924" s="186"/>
      <c r="N1924" s="186"/>
      <c r="O1924" s="186"/>
      <c r="P1924" s="188"/>
      <c r="Q1924" s="186"/>
      <c r="R1924" s="186"/>
    </row>
    <row r="1925" spans="7:18">
      <c r="G1925" s="133"/>
      <c r="H1925" s="184"/>
      <c r="I1925" s="184"/>
      <c r="J1925" s="186"/>
      <c r="K1925" s="186"/>
      <c r="L1925" s="186"/>
      <c r="M1925" s="186"/>
      <c r="N1925" s="186"/>
      <c r="O1925" s="186"/>
      <c r="P1925" s="188"/>
      <c r="Q1925" s="186"/>
      <c r="R1925" s="186"/>
    </row>
    <row r="1926" spans="7:18">
      <c r="G1926" s="133"/>
      <c r="H1926" s="184"/>
      <c r="I1926" s="184"/>
      <c r="J1926" s="186"/>
      <c r="K1926" s="186"/>
      <c r="L1926" s="186"/>
      <c r="M1926" s="186"/>
      <c r="N1926" s="186"/>
      <c r="O1926" s="186"/>
      <c r="P1926" s="188"/>
      <c r="Q1926" s="186"/>
      <c r="R1926" s="186"/>
    </row>
    <row r="1927" spans="7:18">
      <c r="G1927" s="133"/>
      <c r="H1927" s="184"/>
      <c r="I1927" s="184"/>
      <c r="J1927" s="186"/>
      <c r="K1927" s="186"/>
      <c r="L1927" s="186"/>
      <c r="M1927" s="186"/>
      <c r="N1927" s="186"/>
      <c r="O1927" s="186"/>
      <c r="P1927" s="188"/>
      <c r="Q1927" s="186"/>
      <c r="R1927" s="186"/>
    </row>
    <row r="1928" spans="7:18">
      <c r="G1928" s="133"/>
      <c r="H1928" s="184"/>
      <c r="I1928" s="184"/>
      <c r="J1928" s="186"/>
      <c r="K1928" s="186"/>
      <c r="L1928" s="186"/>
      <c r="M1928" s="186"/>
      <c r="N1928" s="186"/>
      <c r="O1928" s="186"/>
      <c r="P1928" s="188"/>
      <c r="Q1928" s="186"/>
      <c r="R1928" s="186"/>
    </row>
    <row r="1929" spans="7:18">
      <c r="G1929" s="133"/>
      <c r="H1929" s="184"/>
      <c r="I1929" s="184"/>
      <c r="J1929" s="186"/>
      <c r="K1929" s="186"/>
      <c r="L1929" s="186"/>
      <c r="M1929" s="186"/>
      <c r="N1929" s="186"/>
      <c r="O1929" s="186"/>
      <c r="P1929" s="188"/>
      <c r="Q1929" s="186"/>
      <c r="R1929" s="186"/>
    </row>
    <row r="1930" spans="7:18">
      <c r="G1930" s="133"/>
      <c r="H1930" s="184"/>
      <c r="I1930" s="184"/>
      <c r="J1930" s="186"/>
      <c r="K1930" s="186"/>
      <c r="L1930" s="186"/>
      <c r="M1930" s="186"/>
      <c r="N1930" s="186"/>
      <c r="O1930" s="186"/>
      <c r="P1930" s="188"/>
      <c r="Q1930" s="186"/>
      <c r="R1930" s="186"/>
    </row>
    <row r="1931" spans="7:18">
      <c r="G1931" s="133"/>
      <c r="H1931" s="184"/>
      <c r="I1931" s="184"/>
      <c r="J1931" s="186"/>
      <c r="K1931" s="186"/>
      <c r="L1931" s="186"/>
      <c r="M1931" s="186"/>
      <c r="N1931" s="186"/>
      <c r="O1931" s="186"/>
      <c r="P1931" s="188"/>
      <c r="Q1931" s="186"/>
      <c r="R1931" s="186"/>
    </row>
    <row r="1932" spans="7:18">
      <c r="G1932" s="133"/>
      <c r="H1932" s="184"/>
      <c r="I1932" s="184"/>
      <c r="J1932" s="186"/>
      <c r="K1932" s="186"/>
      <c r="L1932" s="186"/>
      <c r="M1932" s="186"/>
      <c r="N1932" s="186"/>
      <c r="O1932" s="186"/>
      <c r="P1932" s="188"/>
      <c r="Q1932" s="186"/>
      <c r="R1932" s="186"/>
    </row>
    <row r="1933" spans="7:18">
      <c r="G1933" s="133"/>
      <c r="H1933" s="184"/>
      <c r="I1933" s="184"/>
      <c r="J1933" s="186"/>
      <c r="K1933" s="186"/>
      <c r="L1933" s="186"/>
      <c r="M1933" s="186"/>
      <c r="N1933" s="186"/>
      <c r="O1933" s="186"/>
      <c r="P1933" s="188"/>
      <c r="Q1933" s="186"/>
      <c r="R1933" s="186"/>
    </row>
    <row r="1934" spans="7:18">
      <c r="G1934" s="133"/>
      <c r="H1934" s="184"/>
      <c r="I1934" s="184"/>
      <c r="J1934" s="186"/>
      <c r="K1934" s="186"/>
      <c r="L1934" s="186"/>
      <c r="M1934" s="186"/>
      <c r="N1934" s="186"/>
      <c r="O1934" s="186"/>
      <c r="P1934" s="188"/>
      <c r="Q1934" s="186"/>
      <c r="R1934" s="186"/>
    </row>
    <row r="1935" spans="7:18">
      <c r="G1935" s="133"/>
      <c r="H1935" s="184"/>
      <c r="I1935" s="184"/>
      <c r="J1935" s="186"/>
      <c r="K1935" s="186"/>
      <c r="L1935" s="186"/>
      <c r="M1935" s="186"/>
      <c r="N1935" s="186"/>
      <c r="O1935" s="186"/>
      <c r="P1935" s="188"/>
      <c r="Q1935" s="186"/>
      <c r="R1935" s="186"/>
    </row>
    <row r="1936" spans="7:18">
      <c r="G1936" s="133"/>
      <c r="H1936" s="184"/>
      <c r="I1936" s="184"/>
      <c r="J1936" s="186"/>
      <c r="K1936" s="186"/>
      <c r="L1936" s="186"/>
      <c r="M1936" s="186"/>
      <c r="N1936" s="186"/>
      <c r="O1936" s="186"/>
      <c r="P1936" s="188"/>
      <c r="Q1936" s="186"/>
      <c r="R1936" s="186"/>
    </row>
    <row r="1937" spans="7:18">
      <c r="G1937" s="133"/>
      <c r="H1937" s="184"/>
      <c r="I1937" s="184"/>
      <c r="J1937" s="186"/>
      <c r="K1937" s="186"/>
      <c r="L1937" s="186"/>
      <c r="M1937" s="186"/>
      <c r="N1937" s="186"/>
      <c r="O1937" s="186"/>
      <c r="P1937" s="188"/>
      <c r="Q1937" s="186"/>
      <c r="R1937" s="186"/>
    </row>
    <row r="1938" spans="7:18">
      <c r="G1938" s="133"/>
      <c r="H1938" s="184"/>
      <c r="I1938" s="184"/>
      <c r="J1938" s="186"/>
      <c r="K1938" s="186"/>
      <c r="L1938" s="186"/>
      <c r="M1938" s="186"/>
      <c r="N1938" s="186"/>
      <c r="O1938" s="186"/>
      <c r="P1938" s="188"/>
      <c r="Q1938" s="186"/>
      <c r="R1938" s="186"/>
    </row>
    <row r="1939" spans="7:18">
      <c r="G1939" s="133"/>
      <c r="H1939" s="184"/>
      <c r="I1939" s="184"/>
      <c r="J1939" s="186"/>
      <c r="K1939" s="186"/>
      <c r="L1939" s="186"/>
      <c r="M1939" s="186"/>
      <c r="N1939" s="186"/>
      <c r="O1939" s="186"/>
      <c r="P1939" s="188"/>
      <c r="Q1939" s="186"/>
      <c r="R1939" s="186"/>
    </row>
    <row r="1940" spans="7:18">
      <c r="G1940" s="133"/>
      <c r="H1940" s="184"/>
      <c r="I1940" s="184"/>
      <c r="J1940" s="186"/>
      <c r="K1940" s="186"/>
      <c r="L1940" s="186"/>
      <c r="M1940" s="186"/>
      <c r="N1940" s="186"/>
      <c r="O1940" s="186"/>
      <c r="P1940" s="188"/>
      <c r="Q1940" s="186"/>
      <c r="R1940" s="186"/>
    </row>
    <row r="1941" spans="7:18">
      <c r="G1941" s="133"/>
      <c r="H1941" s="184"/>
      <c r="I1941" s="184"/>
      <c r="J1941" s="186"/>
      <c r="K1941" s="186"/>
      <c r="L1941" s="186"/>
      <c r="M1941" s="186"/>
      <c r="N1941" s="186"/>
      <c r="O1941" s="186"/>
      <c r="P1941" s="188"/>
      <c r="Q1941" s="186"/>
      <c r="R1941" s="186"/>
    </row>
    <row r="1942" spans="7:18">
      <c r="G1942" s="133"/>
      <c r="H1942" s="184"/>
      <c r="I1942" s="184"/>
      <c r="J1942" s="186"/>
      <c r="K1942" s="186"/>
      <c r="L1942" s="186"/>
      <c r="M1942" s="186"/>
      <c r="N1942" s="186"/>
      <c r="O1942" s="186"/>
      <c r="P1942" s="188"/>
      <c r="Q1942" s="186"/>
      <c r="R1942" s="186"/>
    </row>
    <row r="1943" spans="7:18">
      <c r="G1943" s="133"/>
      <c r="H1943" s="184"/>
      <c r="I1943" s="184"/>
      <c r="J1943" s="186"/>
      <c r="K1943" s="186"/>
      <c r="L1943" s="186"/>
      <c r="M1943" s="186"/>
      <c r="N1943" s="186"/>
      <c r="O1943" s="186"/>
      <c r="P1943" s="188"/>
      <c r="Q1943" s="186"/>
      <c r="R1943" s="186"/>
    </row>
    <row r="1944" spans="7:18">
      <c r="G1944" s="133"/>
      <c r="H1944" s="184"/>
      <c r="I1944" s="184"/>
      <c r="J1944" s="186"/>
      <c r="K1944" s="186"/>
      <c r="L1944" s="186"/>
      <c r="M1944" s="186"/>
      <c r="N1944" s="186"/>
      <c r="O1944" s="186"/>
      <c r="P1944" s="188"/>
      <c r="Q1944" s="186"/>
      <c r="R1944" s="186"/>
    </row>
    <row r="1945" spans="7:18">
      <c r="G1945" s="133"/>
      <c r="H1945" s="184"/>
      <c r="I1945" s="184"/>
      <c r="J1945" s="186"/>
      <c r="K1945" s="186"/>
      <c r="L1945" s="186"/>
      <c r="M1945" s="186"/>
      <c r="N1945" s="186"/>
      <c r="O1945" s="186"/>
      <c r="P1945" s="188"/>
      <c r="Q1945" s="186"/>
      <c r="R1945" s="186"/>
    </row>
    <row r="1946" spans="7:18">
      <c r="G1946" s="133"/>
      <c r="H1946" s="184"/>
      <c r="I1946" s="184"/>
      <c r="J1946" s="186"/>
      <c r="K1946" s="186"/>
      <c r="L1946" s="186"/>
      <c r="M1946" s="186"/>
      <c r="N1946" s="186"/>
      <c r="O1946" s="186"/>
      <c r="P1946" s="188"/>
      <c r="Q1946" s="186"/>
      <c r="R1946" s="186"/>
    </row>
    <row r="1947" spans="7:18">
      <c r="G1947" s="133"/>
      <c r="H1947" s="184"/>
      <c r="I1947" s="184"/>
      <c r="J1947" s="186"/>
      <c r="K1947" s="186"/>
      <c r="L1947" s="186"/>
      <c r="M1947" s="186"/>
      <c r="N1947" s="186"/>
      <c r="O1947" s="186"/>
      <c r="P1947" s="188"/>
      <c r="Q1947" s="186"/>
      <c r="R1947" s="186"/>
    </row>
    <row r="1948" spans="7:18">
      <c r="G1948" s="133"/>
      <c r="H1948" s="184"/>
      <c r="I1948" s="184"/>
      <c r="J1948" s="186"/>
      <c r="K1948" s="186"/>
      <c r="L1948" s="186"/>
      <c r="M1948" s="186"/>
      <c r="N1948" s="186"/>
      <c r="O1948" s="186"/>
      <c r="P1948" s="188"/>
      <c r="Q1948" s="186"/>
      <c r="R1948" s="186"/>
    </row>
    <row r="1949" spans="7:18">
      <c r="G1949" s="133"/>
      <c r="H1949" s="184"/>
      <c r="I1949" s="184"/>
      <c r="J1949" s="186"/>
      <c r="K1949" s="186"/>
      <c r="L1949" s="186"/>
      <c r="M1949" s="186"/>
      <c r="N1949" s="186"/>
      <c r="O1949" s="186"/>
      <c r="P1949" s="188"/>
      <c r="Q1949" s="186"/>
      <c r="R1949" s="186"/>
    </row>
    <row r="1950" spans="7:18">
      <c r="G1950" s="133"/>
      <c r="H1950" s="184"/>
      <c r="I1950" s="184"/>
      <c r="J1950" s="186"/>
      <c r="K1950" s="186"/>
      <c r="L1950" s="186"/>
      <c r="M1950" s="186"/>
      <c r="N1950" s="186"/>
      <c r="O1950" s="186"/>
      <c r="P1950" s="188"/>
      <c r="Q1950" s="186"/>
      <c r="R1950" s="186"/>
    </row>
    <row r="1951" spans="7:18">
      <c r="G1951" s="133"/>
      <c r="H1951" s="184"/>
      <c r="I1951" s="184"/>
      <c r="J1951" s="186"/>
      <c r="K1951" s="186"/>
      <c r="L1951" s="186"/>
      <c r="M1951" s="186"/>
      <c r="N1951" s="186"/>
      <c r="O1951" s="186"/>
      <c r="P1951" s="188"/>
      <c r="Q1951" s="186"/>
      <c r="R1951" s="186"/>
    </row>
    <row r="1952" spans="7:18">
      <c r="G1952" s="133"/>
      <c r="H1952" s="184"/>
      <c r="I1952" s="184"/>
      <c r="J1952" s="186"/>
      <c r="K1952" s="186"/>
      <c r="L1952" s="186"/>
      <c r="M1952" s="186"/>
      <c r="N1952" s="186"/>
      <c r="O1952" s="186"/>
      <c r="P1952" s="188"/>
      <c r="Q1952" s="186"/>
      <c r="R1952" s="186"/>
    </row>
    <row r="1953" spans="7:18">
      <c r="G1953" s="133"/>
      <c r="H1953" s="184"/>
      <c r="I1953" s="184"/>
      <c r="J1953" s="186"/>
      <c r="K1953" s="186"/>
      <c r="L1953" s="186"/>
      <c r="M1953" s="186"/>
      <c r="N1953" s="186"/>
      <c r="O1953" s="186"/>
      <c r="P1953" s="188"/>
      <c r="Q1953" s="186"/>
      <c r="R1953" s="186"/>
    </row>
    <row r="1954" spans="7:18">
      <c r="G1954" s="133"/>
      <c r="H1954" s="184"/>
      <c r="I1954" s="184"/>
      <c r="J1954" s="186"/>
      <c r="K1954" s="186"/>
      <c r="L1954" s="186"/>
      <c r="M1954" s="186"/>
      <c r="N1954" s="186"/>
      <c r="O1954" s="186"/>
      <c r="P1954" s="188"/>
      <c r="Q1954" s="186"/>
      <c r="R1954" s="186"/>
    </row>
    <row r="1955" spans="7:18">
      <c r="G1955" s="133"/>
      <c r="H1955" s="184"/>
      <c r="I1955" s="184"/>
      <c r="J1955" s="186"/>
      <c r="K1955" s="186"/>
      <c r="L1955" s="186"/>
      <c r="M1955" s="186"/>
      <c r="N1955" s="186"/>
      <c r="O1955" s="186"/>
      <c r="P1955" s="188"/>
      <c r="Q1955" s="186"/>
      <c r="R1955" s="186"/>
    </row>
    <row r="1956" spans="7:18">
      <c r="G1956" s="133"/>
      <c r="H1956" s="184"/>
      <c r="I1956" s="184"/>
      <c r="J1956" s="186"/>
      <c r="K1956" s="186"/>
      <c r="L1956" s="186"/>
      <c r="M1956" s="186"/>
      <c r="N1956" s="186"/>
      <c r="O1956" s="186"/>
      <c r="P1956" s="188"/>
      <c r="Q1956" s="186"/>
      <c r="R1956" s="186"/>
    </row>
    <row r="1957" spans="7:18">
      <c r="G1957" s="133"/>
      <c r="H1957" s="184"/>
      <c r="I1957" s="184"/>
      <c r="J1957" s="186"/>
      <c r="K1957" s="186"/>
      <c r="L1957" s="186"/>
      <c r="M1957" s="186"/>
      <c r="N1957" s="186"/>
      <c r="O1957" s="186"/>
      <c r="P1957" s="188"/>
      <c r="Q1957" s="186"/>
      <c r="R1957" s="186"/>
    </row>
    <row r="1958" spans="7:18">
      <c r="G1958" s="133"/>
      <c r="H1958" s="184"/>
      <c r="I1958" s="184"/>
      <c r="J1958" s="186"/>
      <c r="K1958" s="186"/>
      <c r="L1958" s="186"/>
      <c r="M1958" s="186"/>
      <c r="N1958" s="186"/>
      <c r="O1958" s="186"/>
      <c r="P1958" s="188"/>
      <c r="Q1958" s="186"/>
      <c r="R1958" s="186"/>
    </row>
    <row r="1959" spans="7:18">
      <c r="G1959" s="133"/>
      <c r="H1959" s="184"/>
      <c r="I1959" s="184"/>
      <c r="J1959" s="186"/>
      <c r="K1959" s="186"/>
      <c r="L1959" s="186"/>
      <c r="M1959" s="186"/>
      <c r="N1959" s="186"/>
      <c r="O1959" s="186"/>
      <c r="P1959" s="188"/>
      <c r="Q1959" s="186"/>
      <c r="R1959" s="186"/>
    </row>
    <row r="1960" spans="7:18">
      <c r="G1960" s="133"/>
      <c r="H1960" s="184"/>
      <c r="I1960" s="184"/>
      <c r="J1960" s="186"/>
      <c r="K1960" s="186"/>
      <c r="L1960" s="186"/>
      <c r="M1960" s="186"/>
      <c r="N1960" s="186"/>
      <c r="O1960" s="186"/>
      <c r="P1960" s="188"/>
      <c r="Q1960" s="186"/>
      <c r="R1960" s="186"/>
    </row>
    <row r="1961" spans="7:18">
      <c r="G1961" s="133"/>
      <c r="H1961" s="184"/>
      <c r="I1961" s="184"/>
      <c r="J1961" s="186"/>
      <c r="K1961" s="186"/>
      <c r="L1961" s="186"/>
      <c r="M1961" s="186"/>
      <c r="N1961" s="186"/>
      <c r="O1961" s="186"/>
      <c r="P1961" s="188"/>
      <c r="Q1961" s="186"/>
      <c r="R1961" s="186"/>
    </row>
    <row r="1962" spans="7:18">
      <c r="G1962" s="133"/>
      <c r="H1962" s="184"/>
      <c r="I1962" s="184"/>
      <c r="J1962" s="186"/>
      <c r="K1962" s="186"/>
      <c r="L1962" s="186"/>
      <c r="M1962" s="186"/>
      <c r="N1962" s="186"/>
      <c r="O1962" s="186"/>
      <c r="P1962" s="188"/>
      <c r="Q1962" s="186"/>
      <c r="R1962" s="186"/>
    </row>
    <row r="1963" spans="7:18">
      <c r="G1963" s="133"/>
      <c r="H1963" s="184"/>
      <c r="I1963" s="184"/>
      <c r="J1963" s="186"/>
      <c r="K1963" s="186"/>
      <c r="L1963" s="186"/>
      <c r="M1963" s="186"/>
      <c r="N1963" s="186"/>
      <c r="O1963" s="186"/>
      <c r="P1963" s="188"/>
      <c r="Q1963" s="186"/>
      <c r="R1963" s="186"/>
    </row>
    <row r="1964" spans="7:18">
      <c r="G1964" s="133"/>
      <c r="H1964" s="184"/>
      <c r="I1964" s="184"/>
      <c r="J1964" s="186"/>
      <c r="K1964" s="186"/>
      <c r="L1964" s="186"/>
      <c r="M1964" s="186"/>
      <c r="N1964" s="186"/>
      <c r="O1964" s="186"/>
      <c r="P1964" s="188"/>
      <c r="Q1964" s="186"/>
      <c r="R1964" s="186"/>
    </row>
    <row r="1965" spans="7:18">
      <c r="G1965" s="133"/>
      <c r="H1965" s="184"/>
      <c r="I1965" s="184"/>
      <c r="J1965" s="186"/>
      <c r="K1965" s="186"/>
      <c r="L1965" s="186"/>
      <c r="M1965" s="186"/>
      <c r="N1965" s="186"/>
      <c r="O1965" s="186"/>
      <c r="P1965" s="188"/>
      <c r="Q1965" s="186"/>
      <c r="R1965" s="186"/>
    </row>
    <row r="1966" spans="7:18">
      <c r="G1966" s="133"/>
      <c r="H1966" s="184"/>
      <c r="I1966" s="184"/>
      <c r="J1966" s="186"/>
      <c r="K1966" s="186"/>
      <c r="L1966" s="186"/>
      <c r="M1966" s="186"/>
      <c r="N1966" s="186"/>
      <c r="O1966" s="186"/>
      <c r="P1966" s="188"/>
      <c r="Q1966" s="186"/>
      <c r="R1966" s="186"/>
    </row>
    <row r="1967" spans="7:18">
      <c r="G1967" s="133"/>
      <c r="H1967" s="184"/>
      <c r="I1967" s="184"/>
      <c r="J1967" s="186"/>
      <c r="K1967" s="186"/>
      <c r="L1967" s="186"/>
      <c r="M1967" s="186"/>
      <c r="N1967" s="186"/>
      <c r="O1967" s="186"/>
      <c r="P1967" s="188"/>
      <c r="Q1967" s="186"/>
      <c r="R1967" s="186"/>
    </row>
    <row r="1968" spans="7:18">
      <c r="G1968" s="133"/>
      <c r="H1968" s="184"/>
      <c r="I1968" s="184"/>
      <c r="J1968" s="186"/>
      <c r="K1968" s="186"/>
      <c r="L1968" s="186"/>
      <c r="M1968" s="186"/>
      <c r="N1968" s="186"/>
      <c r="O1968" s="186"/>
      <c r="P1968" s="188"/>
      <c r="Q1968" s="186"/>
      <c r="R1968" s="186"/>
    </row>
    <row r="1969" spans="7:18">
      <c r="G1969" s="133"/>
      <c r="H1969" s="184"/>
      <c r="I1969" s="184"/>
      <c r="J1969" s="186"/>
      <c r="K1969" s="186"/>
      <c r="L1969" s="186"/>
      <c r="M1969" s="186"/>
      <c r="N1969" s="186"/>
      <c r="O1969" s="186"/>
      <c r="P1969" s="188"/>
      <c r="Q1969" s="186"/>
      <c r="R1969" s="186"/>
    </row>
    <row r="1970" spans="7:18">
      <c r="G1970" s="133"/>
      <c r="H1970" s="184"/>
      <c r="I1970" s="184"/>
      <c r="J1970" s="186"/>
      <c r="K1970" s="186"/>
      <c r="L1970" s="186"/>
      <c r="M1970" s="186"/>
      <c r="N1970" s="186"/>
      <c r="O1970" s="186"/>
      <c r="P1970" s="188"/>
      <c r="Q1970" s="186"/>
      <c r="R1970" s="186"/>
    </row>
    <row r="1971" spans="7:18">
      <c r="G1971" s="133"/>
      <c r="H1971" s="184"/>
      <c r="I1971" s="184"/>
      <c r="J1971" s="186"/>
      <c r="K1971" s="186"/>
      <c r="L1971" s="186"/>
      <c r="M1971" s="186"/>
      <c r="N1971" s="186"/>
      <c r="O1971" s="186"/>
      <c r="P1971" s="188"/>
      <c r="Q1971" s="186"/>
      <c r="R1971" s="186"/>
    </row>
    <row r="1972" spans="7:18">
      <c r="G1972" s="133"/>
      <c r="H1972" s="184"/>
      <c r="I1972" s="184"/>
      <c r="J1972" s="186"/>
      <c r="K1972" s="186"/>
      <c r="L1972" s="186"/>
      <c r="M1972" s="186"/>
      <c r="N1972" s="186"/>
      <c r="O1972" s="186"/>
      <c r="P1972" s="188"/>
      <c r="Q1972" s="186"/>
      <c r="R1972" s="186"/>
    </row>
    <row r="1973" spans="7:18">
      <c r="G1973" s="133"/>
      <c r="H1973" s="184"/>
      <c r="I1973" s="184"/>
      <c r="J1973" s="186"/>
      <c r="K1973" s="186"/>
      <c r="L1973" s="186"/>
      <c r="M1973" s="186"/>
      <c r="N1973" s="186"/>
      <c r="O1973" s="186"/>
      <c r="P1973" s="188"/>
      <c r="Q1973" s="186"/>
      <c r="R1973" s="186"/>
    </row>
    <row r="1974" spans="7:18">
      <c r="G1974" s="133"/>
      <c r="H1974" s="184"/>
      <c r="I1974" s="184"/>
      <c r="J1974" s="186"/>
      <c r="K1974" s="186"/>
      <c r="L1974" s="186"/>
      <c r="M1974" s="186"/>
      <c r="N1974" s="186"/>
      <c r="O1974" s="186"/>
      <c r="P1974" s="188"/>
      <c r="Q1974" s="186"/>
      <c r="R1974" s="186"/>
    </row>
    <row r="1975" spans="7:18">
      <c r="G1975" s="133"/>
      <c r="H1975" s="184"/>
      <c r="I1975" s="184"/>
      <c r="J1975" s="186"/>
      <c r="K1975" s="186"/>
      <c r="L1975" s="186"/>
      <c r="M1975" s="186"/>
      <c r="N1975" s="186"/>
      <c r="O1975" s="186"/>
      <c r="P1975" s="188"/>
      <c r="Q1975" s="186"/>
      <c r="R1975" s="186"/>
    </row>
    <row r="1976" spans="7:18">
      <c r="G1976" s="133"/>
      <c r="H1976" s="184"/>
      <c r="I1976" s="184"/>
      <c r="J1976" s="186"/>
      <c r="K1976" s="186"/>
      <c r="L1976" s="186"/>
      <c r="M1976" s="186"/>
      <c r="N1976" s="186"/>
      <c r="O1976" s="186"/>
      <c r="P1976" s="188"/>
      <c r="Q1976" s="186"/>
      <c r="R1976" s="186"/>
    </row>
    <row r="1977" spans="7:18">
      <c r="G1977" s="133"/>
      <c r="H1977" s="184"/>
      <c r="I1977" s="184"/>
      <c r="J1977" s="186"/>
      <c r="K1977" s="186"/>
      <c r="L1977" s="186"/>
      <c r="M1977" s="186"/>
      <c r="N1977" s="186"/>
      <c r="O1977" s="186"/>
      <c r="P1977" s="188"/>
      <c r="Q1977" s="186"/>
      <c r="R1977" s="186"/>
    </row>
    <row r="1978" spans="7:18">
      <c r="G1978" s="133"/>
      <c r="H1978" s="184"/>
      <c r="I1978" s="184"/>
      <c r="J1978" s="186"/>
      <c r="K1978" s="186"/>
      <c r="L1978" s="186"/>
      <c r="M1978" s="186"/>
      <c r="N1978" s="186"/>
      <c r="O1978" s="186"/>
      <c r="P1978" s="188"/>
      <c r="Q1978" s="186"/>
      <c r="R1978" s="186"/>
    </row>
    <row r="1979" spans="7:18">
      <c r="G1979" s="133"/>
      <c r="H1979" s="184"/>
      <c r="I1979" s="184"/>
      <c r="J1979" s="186"/>
      <c r="K1979" s="186"/>
      <c r="L1979" s="186"/>
      <c r="M1979" s="186"/>
      <c r="N1979" s="186"/>
      <c r="O1979" s="186"/>
      <c r="P1979" s="188"/>
      <c r="Q1979" s="186"/>
      <c r="R1979" s="186"/>
    </row>
    <row r="1980" spans="7:18">
      <c r="G1980" s="133"/>
      <c r="H1980" s="184"/>
      <c r="I1980" s="184"/>
      <c r="J1980" s="186"/>
      <c r="K1980" s="186"/>
      <c r="L1980" s="186"/>
      <c r="M1980" s="186"/>
      <c r="N1980" s="186"/>
      <c r="O1980" s="186"/>
      <c r="P1980" s="188"/>
      <c r="Q1980" s="186"/>
      <c r="R1980" s="186"/>
    </row>
    <row r="1981" spans="7:18">
      <c r="G1981" s="133"/>
      <c r="H1981" s="184"/>
      <c r="I1981" s="184"/>
      <c r="J1981" s="186"/>
      <c r="K1981" s="186"/>
      <c r="L1981" s="186"/>
      <c r="M1981" s="186"/>
      <c r="N1981" s="186"/>
      <c r="O1981" s="186"/>
      <c r="P1981" s="188"/>
      <c r="Q1981" s="186"/>
      <c r="R1981" s="186"/>
    </row>
    <row r="1982" spans="7:18">
      <c r="G1982" s="133"/>
      <c r="H1982" s="184"/>
      <c r="I1982" s="184"/>
      <c r="J1982" s="186"/>
      <c r="K1982" s="186"/>
      <c r="L1982" s="186"/>
      <c r="M1982" s="186"/>
      <c r="N1982" s="186"/>
      <c r="O1982" s="186"/>
      <c r="P1982" s="188"/>
      <c r="Q1982" s="186"/>
      <c r="R1982" s="186"/>
    </row>
    <row r="1983" spans="7:18">
      <c r="G1983" s="133"/>
      <c r="H1983" s="184"/>
      <c r="I1983" s="184"/>
      <c r="J1983" s="186"/>
      <c r="K1983" s="186"/>
      <c r="L1983" s="186"/>
      <c r="M1983" s="186"/>
      <c r="N1983" s="186"/>
      <c r="O1983" s="186"/>
      <c r="P1983" s="188"/>
      <c r="Q1983" s="186"/>
      <c r="R1983" s="186"/>
    </row>
    <row r="1984" spans="7:18">
      <c r="G1984" s="133"/>
      <c r="H1984" s="184"/>
      <c r="I1984" s="184"/>
      <c r="J1984" s="186"/>
      <c r="K1984" s="186"/>
      <c r="L1984" s="186"/>
      <c r="M1984" s="186"/>
      <c r="N1984" s="186"/>
      <c r="O1984" s="186"/>
      <c r="P1984" s="188"/>
      <c r="Q1984" s="186"/>
      <c r="R1984" s="186"/>
    </row>
    <row r="1985" spans="7:18">
      <c r="G1985" s="133"/>
      <c r="H1985" s="184"/>
      <c r="I1985" s="184"/>
      <c r="J1985" s="186"/>
      <c r="K1985" s="186"/>
      <c r="L1985" s="186"/>
      <c r="M1985" s="186"/>
      <c r="N1985" s="186"/>
      <c r="O1985" s="186"/>
      <c r="P1985" s="188"/>
      <c r="Q1985" s="186"/>
      <c r="R1985" s="186"/>
    </row>
    <row r="1986" spans="7:18">
      <c r="G1986" s="133"/>
      <c r="H1986" s="184"/>
      <c r="I1986" s="184"/>
      <c r="J1986" s="186"/>
      <c r="K1986" s="186"/>
      <c r="L1986" s="186"/>
      <c r="M1986" s="186"/>
      <c r="N1986" s="186"/>
      <c r="O1986" s="186"/>
      <c r="P1986" s="188"/>
      <c r="Q1986" s="186"/>
      <c r="R1986" s="186"/>
    </row>
    <row r="1987" spans="7:18">
      <c r="G1987" s="133"/>
      <c r="H1987" s="184"/>
      <c r="I1987" s="184"/>
      <c r="J1987" s="186"/>
      <c r="K1987" s="186"/>
      <c r="L1987" s="186"/>
      <c r="M1987" s="186"/>
      <c r="N1987" s="186"/>
      <c r="O1987" s="186"/>
      <c r="P1987" s="188"/>
      <c r="Q1987" s="186"/>
      <c r="R1987" s="186"/>
    </row>
    <row r="1988" spans="7:18">
      <c r="G1988" s="133"/>
      <c r="H1988" s="184"/>
      <c r="I1988" s="184"/>
      <c r="J1988" s="186"/>
      <c r="K1988" s="186"/>
      <c r="L1988" s="186"/>
      <c r="M1988" s="186"/>
      <c r="N1988" s="186"/>
      <c r="O1988" s="186"/>
      <c r="P1988" s="188"/>
      <c r="Q1988" s="186"/>
      <c r="R1988" s="186"/>
    </row>
    <row r="1989" spans="7:18">
      <c r="G1989" s="133"/>
      <c r="H1989" s="184"/>
      <c r="I1989" s="184"/>
      <c r="J1989" s="186"/>
      <c r="K1989" s="186"/>
      <c r="L1989" s="186"/>
      <c r="M1989" s="186"/>
      <c r="N1989" s="186"/>
      <c r="O1989" s="186"/>
      <c r="P1989" s="188"/>
      <c r="Q1989" s="186"/>
      <c r="R1989" s="186"/>
    </row>
    <row r="1990" spans="7:18">
      <c r="G1990" s="133"/>
      <c r="H1990" s="184"/>
      <c r="I1990" s="184"/>
      <c r="J1990" s="186"/>
      <c r="K1990" s="186"/>
      <c r="L1990" s="186"/>
      <c r="M1990" s="186"/>
      <c r="N1990" s="186"/>
      <c r="O1990" s="186"/>
      <c r="P1990" s="188"/>
      <c r="Q1990" s="186"/>
      <c r="R1990" s="186"/>
    </row>
    <row r="1991" spans="7:18">
      <c r="G1991" s="133"/>
      <c r="H1991" s="184"/>
      <c r="I1991" s="184"/>
      <c r="J1991" s="186"/>
      <c r="K1991" s="186"/>
      <c r="L1991" s="186"/>
      <c r="M1991" s="186"/>
      <c r="N1991" s="186"/>
      <c r="O1991" s="186"/>
      <c r="P1991" s="188"/>
      <c r="Q1991" s="186"/>
      <c r="R1991" s="186"/>
    </row>
    <row r="1992" spans="7:18">
      <c r="G1992" s="133"/>
      <c r="H1992" s="184"/>
      <c r="I1992" s="184"/>
      <c r="J1992" s="186"/>
      <c r="K1992" s="186"/>
      <c r="L1992" s="186"/>
      <c r="M1992" s="186"/>
      <c r="N1992" s="186"/>
      <c r="O1992" s="186"/>
      <c r="P1992" s="188"/>
      <c r="Q1992" s="186"/>
      <c r="R1992" s="186"/>
    </row>
    <row r="1993" spans="7:18">
      <c r="G1993" s="133"/>
      <c r="H1993" s="184"/>
      <c r="I1993" s="184"/>
      <c r="J1993" s="186"/>
      <c r="K1993" s="186"/>
      <c r="L1993" s="186"/>
      <c r="M1993" s="186"/>
      <c r="N1993" s="186"/>
      <c r="O1993" s="186"/>
      <c r="P1993" s="188"/>
      <c r="Q1993" s="186"/>
      <c r="R1993" s="186"/>
    </row>
    <row r="1994" spans="7:18">
      <c r="G1994" s="133"/>
      <c r="H1994" s="184"/>
      <c r="I1994" s="184"/>
      <c r="J1994" s="186"/>
      <c r="K1994" s="186"/>
      <c r="L1994" s="186"/>
      <c r="M1994" s="186"/>
      <c r="N1994" s="186"/>
      <c r="O1994" s="186"/>
      <c r="P1994" s="188"/>
      <c r="Q1994" s="186"/>
      <c r="R1994" s="186"/>
    </row>
    <row r="1995" spans="7:18">
      <c r="G1995" s="133"/>
      <c r="H1995" s="184"/>
      <c r="I1995" s="184"/>
      <c r="J1995" s="186"/>
      <c r="K1995" s="186"/>
      <c r="L1995" s="186"/>
      <c r="M1995" s="186"/>
      <c r="N1995" s="186"/>
      <c r="O1995" s="186"/>
      <c r="P1995" s="188"/>
      <c r="Q1995" s="186"/>
      <c r="R1995" s="186"/>
    </row>
    <row r="1996" spans="7:18">
      <c r="G1996" s="133"/>
      <c r="H1996" s="184"/>
      <c r="I1996" s="184"/>
      <c r="J1996" s="186"/>
      <c r="K1996" s="186"/>
      <c r="L1996" s="186"/>
      <c r="M1996" s="186"/>
      <c r="N1996" s="186"/>
      <c r="O1996" s="186"/>
      <c r="P1996" s="188"/>
      <c r="Q1996" s="186"/>
      <c r="R1996" s="186"/>
    </row>
    <row r="1997" spans="7:18">
      <c r="G1997" s="133"/>
      <c r="H1997" s="184"/>
      <c r="I1997" s="184"/>
      <c r="J1997" s="186"/>
      <c r="K1997" s="186"/>
      <c r="L1997" s="186"/>
      <c r="M1997" s="186"/>
      <c r="N1997" s="186"/>
      <c r="O1997" s="186"/>
      <c r="P1997" s="188"/>
      <c r="Q1997" s="186"/>
      <c r="R1997" s="186"/>
    </row>
    <row r="1998" spans="7:18">
      <c r="G1998" s="133"/>
      <c r="H1998" s="184"/>
      <c r="I1998" s="184"/>
      <c r="J1998" s="186"/>
      <c r="K1998" s="186"/>
      <c r="L1998" s="186"/>
      <c r="M1998" s="186"/>
      <c r="N1998" s="186"/>
      <c r="O1998" s="186"/>
      <c r="P1998" s="188"/>
      <c r="Q1998" s="186"/>
      <c r="R1998" s="186"/>
    </row>
    <row r="1999" spans="7:18">
      <c r="G1999" s="133"/>
      <c r="H1999" s="184"/>
      <c r="I1999" s="184"/>
      <c r="J1999" s="186"/>
      <c r="K1999" s="186"/>
      <c r="L1999" s="186"/>
      <c r="M1999" s="186"/>
      <c r="N1999" s="186"/>
      <c r="O1999" s="186"/>
      <c r="P1999" s="188"/>
      <c r="Q1999" s="186"/>
      <c r="R1999" s="186"/>
    </row>
    <row r="2000" spans="7:18">
      <c r="G2000" s="133"/>
      <c r="H2000" s="184"/>
      <c r="I2000" s="184"/>
      <c r="J2000" s="186"/>
      <c r="K2000" s="186"/>
      <c r="L2000" s="186"/>
      <c r="M2000" s="186"/>
      <c r="N2000" s="186"/>
      <c r="O2000" s="186"/>
      <c r="P2000" s="188"/>
      <c r="Q2000" s="186"/>
      <c r="R2000" s="186"/>
    </row>
    <row r="2001" spans="7:18">
      <c r="G2001" s="133"/>
      <c r="H2001" s="184"/>
      <c r="I2001" s="184"/>
      <c r="J2001" s="186"/>
      <c r="K2001" s="186"/>
      <c r="L2001" s="186"/>
      <c r="M2001" s="186"/>
      <c r="N2001" s="186"/>
      <c r="O2001" s="186"/>
      <c r="P2001" s="188"/>
      <c r="Q2001" s="186"/>
      <c r="R2001" s="186"/>
    </row>
    <row r="2002" spans="7:18">
      <c r="G2002" s="133"/>
      <c r="H2002" s="184"/>
      <c r="I2002" s="184"/>
      <c r="J2002" s="186"/>
      <c r="K2002" s="186"/>
      <c r="L2002" s="186"/>
      <c r="M2002" s="186"/>
      <c r="N2002" s="186"/>
      <c r="O2002" s="186"/>
      <c r="P2002" s="188"/>
      <c r="Q2002" s="186"/>
      <c r="R2002" s="186"/>
    </row>
    <row r="2003" spans="7:18">
      <c r="G2003" s="133"/>
      <c r="H2003" s="184"/>
      <c r="I2003" s="184"/>
      <c r="J2003" s="186"/>
      <c r="K2003" s="186"/>
      <c r="L2003" s="186"/>
      <c r="M2003" s="186"/>
      <c r="N2003" s="186"/>
      <c r="O2003" s="186"/>
      <c r="P2003" s="188"/>
      <c r="Q2003" s="186"/>
      <c r="R2003" s="186"/>
    </row>
    <row r="2004" spans="7:18">
      <c r="G2004" s="133"/>
      <c r="H2004" s="184"/>
      <c r="I2004" s="184"/>
      <c r="J2004" s="186"/>
      <c r="K2004" s="186"/>
      <c r="L2004" s="186"/>
      <c r="M2004" s="186"/>
      <c r="N2004" s="186"/>
      <c r="O2004" s="186"/>
      <c r="P2004" s="188"/>
      <c r="Q2004" s="186"/>
      <c r="R2004" s="186"/>
    </row>
    <row r="2005" spans="7:18">
      <c r="G2005" s="133"/>
      <c r="H2005" s="184"/>
      <c r="I2005" s="184"/>
      <c r="J2005" s="186"/>
      <c r="K2005" s="186"/>
      <c r="L2005" s="186"/>
      <c r="M2005" s="186"/>
      <c r="N2005" s="186"/>
      <c r="O2005" s="186"/>
      <c r="P2005" s="188"/>
      <c r="Q2005" s="186"/>
      <c r="R2005" s="186"/>
    </row>
    <row r="2006" spans="7:18">
      <c r="G2006" s="133"/>
      <c r="H2006" s="184"/>
      <c r="I2006" s="184"/>
      <c r="J2006" s="186"/>
      <c r="K2006" s="186"/>
      <c r="L2006" s="186"/>
      <c r="M2006" s="186"/>
      <c r="N2006" s="186"/>
      <c r="O2006" s="186"/>
      <c r="P2006" s="188"/>
      <c r="Q2006" s="186"/>
      <c r="R2006" s="186"/>
    </row>
    <row r="2007" spans="7:18">
      <c r="G2007" s="133"/>
      <c r="H2007" s="184"/>
      <c r="I2007" s="184"/>
      <c r="J2007" s="186"/>
      <c r="K2007" s="186"/>
      <c r="L2007" s="186"/>
      <c r="M2007" s="186"/>
      <c r="N2007" s="186"/>
      <c r="O2007" s="186"/>
      <c r="P2007" s="188"/>
      <c r="Q2007" s="186"/>
      <c r="R2007" s="186"/>
    </row>
    <row r="2008" spans="7:18">
      <c r="G2008" s="133"/>
      <c r="H2008" s="184"/>
      <c r="I2008" s="184"/>
      <c r="J2008" s="186"/>
      <c r="K2008" s="186"/>
      <c r="L2008" s="186"/>
      <c r="M2008" s="186"/>
      <c r="N2008" s="186"/>
      <c r="O2008" s="186"/>
      <c r="P2008" s="188"/>
      <c r="Q2008" s="186"/>
      <c r="R2008" s="186"/>
    </row>
    <row r="2009" spans="7:18">
      <c r="G2009" s="133"/>
      <c r="H2009" s="184"/>
      <c r="I2009" s="184"/>
      <c r="J2009" s="186"/>
      <c r="K2009" s="186"/>
      <c r="L2009" s="186"/>
      <c r="M2009" s="186"/>
      <c r="N2009" s="186"/>
      <c r="O2009" s="186"/>
      <c r="P2009" s="188"/>
      <c r="Q2009" s="186"/>
      <c r="R2009" s="186"/>
    </row>
    <row r="2010" spans="7:18">
      <c r="G2010" s="133"/>
      <c r="H2010" s="184"/>
      <c r="I2010" s="184"/>
      <c r="J2010" s="186"/>
      <c r="K2010" s="186"/>
      <c r="L2010" s="186"/>
      <c r="M2010" s="186"/>
      <c r="N2010" s="186"/>
      <c r="O2010" s="186"/>
      <c r="P2010" s="188"/>
      <c r="Q2010" s="186"/>
      <c r="R2010" s="186"/>
    </row>
    <row r="2011" spans="7:18">
      <c r="G2011" s="133"/>
      <c r="H2011" s="184"/>
      <c r="I2011" s="184"/>
      <c r="J2011" s="186"/>
      <c r="K2011" s="186"/>
      <c r="L2011" s="186"/>
      <c r="M2011" s="186"/>
      <c r="N2011" s="186"/>
      <c r="O2011" s="186"/>
      <c r="P2011" s="188"/>
      <c r="Q2011" s="186"/>
      <c r="R2011" s="186"/>
    </row>
    <row r="2012" spans="7:18">
      <c r="G2012" s="133"/>
      <c r="H2012" s="184"/>
      <c r="I2012" s="184"/>
      <c r="J2012" s="186"/>
      <c r="K2012" s="186"/>
      <c r="L2012" s="186"/>
      <c r="M2012" s="186"/>
      <c r="N2012" s="186"/>
      <c r="O2012" s="186"/>
      <c r="P2012" s="188"/>
      <c r="Q2012" s="186"/>
      <c r="R2012" s="186"/>
    </row>
    <row r="2013" spans="7:18">
      <c r="G2013" s="133"/>
      <c r="H2013" s="184"/>
      <c r="I2013" s="184"/>
      <c r="J2013" s="186"/>
      <c r="K2013" s="186"/>
      <c r="L2013" s="186"/>
      <c r="M2013" s="186"/>
      <c r="N2013" s="186"/>
      <c r="O2013" s="186"/>
      <c r="P2013" s="188"/>
      <c r="Q2013" s="186"/>
      <c r="R2013" s="186"/>
    </row>
    <row r="2014" spans="7:18">
      <c r="G2014" s="133"/>
      <c r="H2014" s="184"/>
      <c r="I2014" s="184"/>
      <c r="J2014" s="186"/>
      <c r="K2014" s="186"/>
      <c r="L2014" s="186"/>
      <c r="M2014" s="186"/>
      <c r="N2014" s="186"/>
      <c r="O2014" s="186"/>
      <c r="P2014" s="188"/>
      <c r="Q2014" s="186"/>
      <c r="R2014" s="186"/>
    </row>
    <row r="2015" spans="7:18">
      <c r="G2015" s="133"/>
      <c r="H2015" s="184"/>
      <c r="I2015" s="184"/>
      <c r="J2015" s="186"/>
      <c r="K2015" s="186"/>
      <c r="L2015" s="186"/>
      <c r="M2015" s="186"/>
      <c r="N2015" s="186"/>
      <c r="O2015" s="186"/>
      <c r="P2015" s="188"/>
      <c r="Q2015" s="186"/>
      <c r="R2015" s="186"/>
    </row>
    <row r="2016" spans="7:18">
      <c r="G2016" s="133"/>
      <c r="H2016" s="184"/>
      <c r="I2016" s="184"/>
      <c r="J2016" s="186"/>
      <c r="K2016" s="186"/>
      <c r="L2016" s="186"/>
      <c r="M2016" s="186"/>
      <c r="N2016" s="186"/>
      <c r="O2016" s="186"/>
      <c r="P2016" s="188"/>
      <c r="Q2016" s="186"/>
      <c r="R2016" s="186"/>
    </row>
    <row r="2017" spans="7:18">
      <c r="G2017" s="133"/>
      <c r="H2017" s="184"/>
      <c r="I2017" s="184"/>
      <c r="J2017" s="186"/>
      <c r="K2017" s="186"/>
      <c r="L2017" s="186"/>
      <c r="M2017" s="186"/>
      <c r="N2017" s="186"/>
      <c r="O2017" s="186"/>
      <c r="P2017" s="188"/>
      <c r="Q2017" s="186"/>
      <c r="R2017" s="186"/>
    </row>
    <row r="2018" spans="7:18">
      <c r="G2018" s="133"/>
      <c r="H2018" s="184"/>
      <c r="I2018" s="184"/>
      <c r="J2018" s="186"/>
      <c r="K2018" s="186"/>
      <c r="L2018" s="186"/>
      <c r="M2018" s="186"/>
      <c r="N2018" s="186"/>
      <c r="O2018" s="186"/>
      <c r="P2018" s="188"/>
      <c r="Q2018" s="186"/>
      <c r="R2018" s="186"/>
    </row>
    <row r="2019" spans="7:18">
      <c r="G2019" s="133"/>
      <c r="H2019" s="184"/>
      <c r="I2019" s="184"/>
      <c r="J2019" s="186"/>
      <c r="K2019" s="186"/>
      <c r="L2019" s="186"/>
      <c r="M2019" s="186"/>
      <c r="N2019" s="186"/>
      <c r="O2019" s="186"/>
      <c r="P2019" s="188"/>
      <c r="Q2019" s="186"/>
      <c r="R2019" s="186"/>
    </row>
    <row r="2020" spans="7:18">
      <c r="G2020" s="133"/>
      <c r="H2020" s="184"/>
      <c r="I2020" s="184"/>
      <c r="J2020" s="186"/>
      <c r="K2020" s="186"/>
      <c r="L2020" s="186"/>
      <c r="M2020" s="186"/>
      <c r="N2020" s="186"/>
      <c r="O2020" s="186"/>
      <c r="P2020" s="188"/>
      <c r="Q2020" s="186"/>
      <c r="R2020" s="186"/>
    </row>
    <row r="2021" spans="7:18">
      <c r="G2021" s="133"/>
      <c r="H2021" s="184"/>
      <c r="I2021" s="184"/>
      <c r="J2021" s="186"/>
      <c r="K2021" s="186"/>
      <c r="L2021" s="186"/>
      <c r="M2021" s="186"/>
      <c r="N2021" s="186"/>
      <c r="O2021" s="186"/>
      <c r="P2021" s="188"/>
      <c r="Q2021" s="186"/>
      <c r="R2021" s="186"/>
    </row>
    <row r="2022" spans="7:18">
      <c r="G2022" s="133"/>
      <c r="H2022" s="184"/>
      <c r="I2022" s="184"/>
      <c r="J2022" s="186"/>
      <c r="K2022" s="186"/>
      <c r="L2022" s="186"/>
      <c r="M2022" s="186"/>
      <c r="N2022" s="186"/>
      <c r="O2022" s="186"/>
      <c r="P2022" s="188"/>
      <c r="Q2022" s="186"/>
      <c r="R2022" s="186"/>
    </row>
    <row r="2023" spans="7:18">
      <c r="G2023" s="133"/>
      <c r="H2023" s="184"/>
      <c r="I2023" s="184"/>
      <c r="J2023" s="186"/>
      <c r="K2023" s="186"/>
      <c r="L2023" s="186"/>
      <c r="M2023" s="186"/>
      <c r="N2023" s="186"/>
      <c r="O2023" s="186"/>
      <c r="P2023" s="188"/>
      <c r="Q2023" s="186"/>
      <c r="R2023" s="186"/>
    </row>
    <row r="2024" spans="7:18">
      <c r="G2024" s="133"/>
      <c r="H2024" s="184"/>
      <c r="I2024" s="184"/>
      <c r="J2024" s="186"/>
      <c r="K2024" s="186"/>
      <c r="L2024" s="186"/>
      <c r="M2024" s="186"/>
      <c r="N2024" s="186"/>
      <c r="O2024" s="186"/>
      <c r="P2024" s="188"/>
      <c r="Q2024" s="186"/>
      <c r="R2024" s="186"/>
    </row>
    <row r="2025" spans="7:18">
      <c r="G2025" s="133"/>
      <c r="H2025" s="184"/>
      <c r="I2025" s="184"/>
      <c r="J2025" s="186"/>
      <c r="K2025" s="186"/>
      <c r="L2025" s="186"/>
      <c r="M2025" s="186"/>
      <c r="N2025" s="186"/>
      <c r="O2025" s="186"/>
      <c r="P2025" s="188"/>
      <c r="Q2025" s="186"/>
      <c r="R2025" s="186"/>
    </row>
    <row r="2026" spans="7:18">
      <c r="G2026" s="133"/>
      <c r="H2026" s="184"/>
      <c r="I2026" s="184"/>
      <c r="J2026" s="186"/>
      <c r="K2026" s="186"/>
      <c r="L2026" s="186"/>
      <c r="M2026" s="186"/>
      <c r="N2026" s="186"/>
      <c r="O2026" s="186"/>
      <c r="P2026" s="188"/>
      <c r="Q2026" s="186"/>
      <c r="R2026" s="186"/>
    </row>
    <row r="2027" spans="7:18">
      <c r="G2027" s="133"/>
      <c r="H2027" s="184"/>
      <c r="I2027" s="184"/>
      <c r="J2027" s="186"/>
      <c r="K2027" s="186"/>
      <c r="L2027" s="186"/>
      <c r="M2027" s="186"/>
      <c r="N2027" s="186"/>
      <c r="O2027" s="186"/>
      <c r="P2027" s="188"/>
      <c r="Q2027" s="186"/>
      <c r="R2027" s="186"/>
    </row>
    <row r="2028" spans="7:18">
      <c r="G2028" s="133"/>
      <c r="H2028" s="184"/>
      <c r="I2028" s="184"/>
      <c r="J2028" s="186"/>
      <c r="K2028" s="186"/>
      <c r="L2028" s="186"/>
      <c r="M2028" s="186"/>
      <c r="N2028" s="186"/>
      <c r="O2028" s="186"/>
      <c r="P2028" s="188"/>
      <c r="Q2028" s="186"/>
      <c r="R2028" s="186"/>
    </row>
    <row r="2029" spans="7:18">
      <c r="G2029" s="133"/>
      <c r="H2029" s="184"/>
      <c r="I2029" s="184"/>
      <c r="J2029" s="186"/>
      <c r="K2029" s="186"/>
      <c r="L2029" s="186"/>
      <c r="M2029" s="186"/>
      <c r="N2029" s="186"/>
      <c r="O2029" s="186"/>
      <c r="P2029" s="188"/>
      <c r="Q2029" s="186"/>
      <c r="R2029" s="186"/>
    </row>
    <row r="2030" spans="7:18">
      <c r="G2030" s="133"/>
      <c r="H2030" s="184"/>
      <c r="I2030" s="184"/>
      <c r="J2030" s="186"/>
      <c r="K2030" s="186"/>
      <c r="L2030" s="186"/>
      <c r="M2030" s="186"/>
      <c r="N2030" s="186"/>
      <c r="O2030" s="186"/>
      <c r="P2030" s="188"/>
      <c r="Q2030" s="186"/>
      <c r="R2030" s="186"/>
    </row>
    <row r="2031" spans="7:18">
      <c r="G2031" s="133"/>
      <c r="H2031" s="184"/>
      <c r="I2031" s="184"/>
      <c r="J2031" s="186"/>
      <c r="K2031" s="186"/>
      <c r="L2031" s="186"/>
      <c r="M2031" s="186"/>
      <c r="N2031" s="186"/>
      <c r="O2031" s="186"/>
      <c r="P2031" s="188"/>
      <c r="Q2031" s="186"/>
      <c r="R2031" s="186"/>
    </row>
    <row r="2032" spans="7:18">
      <c r="G2032" s="133"/>
      <c r="H2032" s="184"/>
      <c r="I2032" s="184"/>
      <c r="J2032" s="186"/>
      <c r="K2032" s="186"/>
      <c r="L2032" s="186"/>
      <c r="M2032" s="186"/>
      <c r="N2032" s="186"/>
      <c r="O2032" s="186"/>
      <c r="P2032" s="188"/>
      <c r="Q2032" s="186"/>
      <c r="R2032" s="186"/>
    </row>
    <row r="2033" spans="7:18">
      <c r="G2033" s="133"/>
      <c r="H2033" s="184"/>
      <c r="I2033" s="184"/>
      <c r="J2033" s="186"/>
      <c r="K2033" s="186"/>
      <c r="L2033" s="186"/>
      <c r="M2033" s="186"/>
      <c r="N2033" s="186"/>
      <c r="O2033" s="186"/>
      <c r="P2033" s="188"/>
      <c r="Q2033" s="186"/>
      <c r="R2033" s="186"/>
    </row>
    <row r="2034" spans="7:18">
      <c r="G2034" s="133"/>
      <c r="H2034" s="184"/>
      <c r="I2034" s="184"/>
      <c r="J2034" s="186"/>
      <c r="K2034" s="186"/>
      <c r="L2034" s="186"/>
      <c r="M2034" s="186"/>
      <c r="N2034" s="186"/>
      <c r="O2034" s="186"/>
      <c r="P2034" s="188"/>
      <c r="Q2034" s="186"/>
      <c r="R2034" s="186"/>
    </row>
    <row r="2035" spans="7:18">
      <c r="G2035" s="133"/>
      <c r="H2035" s="184"/>
      <c r="I2035" s="184"/>
      <c r="J2035" s="186"/>
      <c r="K2035" s="186"/>
      <c r="L2035" s="186"/>
      <c r="M2035" s="186"/>
      <c r="N2035" s="186"/>
      <c r="O2035" s="186"/>
      <c r="P2035" s="188"/>
      <c r="Q2035" s="186"/>
      <c r="R2035" s="186"/>
    </row>
    <row r="2036" spans="7:18">
      <c r="G2036" s="133"/>
      <c r="H2036" s="184"/>
      <c r="I2036" s="184"/>
      <c r="J2036" s="186"/>
      <c r="K2036" s="186"/>
      <c r="L2036" s="186"/>
      <c r="M2036" s="186"/>
      <c r="N2036" s="186"/>
      <c r="O2036" s="186"/>
      <c r="P2036" s="188"/>
      <c r="Q2036" s="186"/>
      <c r="R2036" s="186"/>
    </row>
    <row r="2037" spans="7:18">
      <c r="G2037" s="133"/>
      <c r="H2037" s="184"/>
      <c r="I2037" s="184"/>
      <c r="J2037" s="186"/>
      <c r="K2037" s="186"/>
      <c r="L2037" s="186"/>
      <c r="M2037" s="186"/>
      <c r="N2037" s="186"/>
      <c r="O2037" s="186"/>
      <c r="P2037" s="188"/>
      <c r="Q2037" s="186"/>
      <c r="R2037" s="186"/>
    </row>
    <row r="2038" spans="7:18">
      <c r="G2038" s="133"/>
      <c r="H2038" s="184"/>
      <c r="I2038" s="184"/>
      <c r="J2038" s="186"/>
      <c r="K2038" s="186"/>
      <c r="L2038" s="186"/>
      <c r="M2038" s="186"/>
      <c r="N2038" s="186"/>
      <c r="O2038" s="186"/>
      <c r="P2038" s="188"/>
      <c r="Q2038" s="186"/>
      <c r="R2038" s="186"/>
    </row>
    <row r="2039" spans="7:18">
      <c r="G2039" s="133"/>
      <c r="H2039" s="184"/>
      <c r="I2039" s="184"/>
      <c r="J2039" s="186"/>
      <c r="K2039" s="186"/>
      <c r="L2039" s="186"/>
      <c r="M2039" s="186"/>
      <c r="N2039" s="186"/>
      <c r="O2039" s="186"/>
      <c r="P2039" s="188"/>
      <c r="Q2039" s="186"/>
      <c r="R2039" s="186"/>
    </row>
    <row r="2040" spans="7:18">
      <c r="G2040" s="133"/>
      <c r="H2040" s="184"/>
      <c r="I2040" s="184"/>
      <c r="J2040" s="186"/>
      <c r="K2040" s="186"/>
      <c r="L2040" s="186"/>
      <c r="M2040" s="186"/>
      <c r="N2040" s="186"/>
      <c r="O2040" s="186"/>
      <c r="P2040" s="188"/>
      <c r="Q2040" s="186"/>
      <c r="R2040" s="186"/>
    </row>
    <row r="2041" spans="7:18">
      <c r="G2041" s="133"/>
      <c r="H2041" s="184"/>
      <c r="I2041" s="184"/>
      <c r="J2041" s="186"/>
      <c r="K2041" s="186"/>
      <c r="L2041" s="186"/>
      <c r="M2041" s="186"/>
      <c r="N2041" s="186"/>
      <c r="O2041" s="186"/>
      <c r="P2041" s="188"/>
      <c r="Q2041" s="186"/>
      <c r="R2041" s="186"/>
    </row>
    <row r="2042" spans="7:18">
      <c r="G2042" s="133"/>
      <c r="H2042" s="184"/>
      <c r="I2042" s="184"/>
      <c r="J2042" s="186"/>
      <c r="K2042" s="186"/>
      <c r="L2042" s="186"/>
      <c r="M2042" s="186"/>
      <c r="N2042" s="186"/>
      <c r="O2042" s="186"/>
      <c r="P2042" s="188"/>
      <c r="Q2042" s="186"/>
      <c r="R2042" s="186"/>
    </row>
    <row r="2043" spans="7:18">
      <c r="G2043" s="133"/>
      <c r="H2043" s="184"/>
      <c r="I2043" s="184"/>
      <c r="J2043" s="186"/>
      <c r="K2043" s="186"/>
      <c r="L2043" s="186"/>
      <c r="M2043" s="186"/>
      <c r="N2043" s="186"/>
      <c r="O2043" s="186"/>
      <c r="P2043" s="188"/>
      <c r="Q2043" s="186"/>
      <c r="R2043" s="186"/>
    </row>
    <row r="2044" spans="7:18">
      <c r="G2044" s="133"/>
      <c r="H2044" s="184"/>
      <c r="I2044" s="184"/>
      <c r="J2044" s="186"/>
      <c r="K2044" s="186"/>
      <c r="L2044" s="186"/>
      <c r="M2044" s="186"/>
      <c r="N2044" s="186"/>
      <c r="O2044" s="186"/>
      <c r="P2044" s="188"/>
      <c r="Q2044" s="186"/>
      <c r="R2044" s="186"/>
    </row>
    <row r="2045" spans="7:18">
      <c r="G2045" s="133"/>
      <c r="H2045" s="184"/>
      <c r="I2045" s="184"/>
      <c r="J2045" s="186"/>
      <c r="K2045" s="186"/>
      <c r="L2045" s="186"/>
      <c r="M2045" s="186"/>
      <c r="N2045" s="186"/>
      <c r="O2045" s="186"/>
      <c r="P2045" s="188"/>
      <c r="Q2045" s="186"/>
      <c r="R2045" s="186"/>
    </row>
    <row r="2046" spans="7:18">
      <c r="G2046" s="133"/>
      <c r="H2046" s="184"/>
      <c r="I2046" s="184"/>
      <c r="J2046" s="186"/>
      <c r="K2046" s="186"/>
      <c r="L2046" s="186"/>
      <c r="M2046" s="186"/>
      <c r="N2046" s="186"/>
      <c r="O2046" s="186"/>
      <c r="P2046" s="188"/>
      <c r="Q2046" s="186"/>
      <c r="R2046" s="186"/>
    </row>
    <row r="2047" spans="7:18">
      <c r="G2047" s="133"/>
      <c r="H2047" s="184"/>
      <c r="I2047" s="184"/>
      <c r="J2047" s="186"/>
      <c r="K2047" s="186"/>
      <c r="L2047" s="186"/>
      <c r="M2047" s="186"/>
      <c r="N2047" s="186"/>
      <c r="O2047" s="186"/>
      <c r="P2047" s="188"/>
      <c r="Q2047" s="186"/>
      <c r="R2047" s="186"/>
    </row>
    <row r="2048" spans="7:18">
      <c r="G2048" s="133"/>
      <c r="H2048" s="184"/>
      <c r="I2048" s="184"/>
      <c r="J2048" s="186"/>
      <c r="K2048" s="186"/>
      <c r="L2048" s="186"/>
      <c r="M2048" s="186"/>
      <c r="N2048" s="186"/>
      <c r="O2048" s="186"/>
      <c r="P2048" s="188"/>
      <c r="Q2048" s="186"/>
      <c r="R2048" s="186"/>
    </row>
    <row r="2049" spans="7:18">
      <c r="G2049" s="133"/>
      <c r="H2049" s="184"/>
      <c r="I2049" s="184"/>
      <c r="J2049" s="186"/>
      <c r="K2049" s="186"/>
      <c r="L2049" s="186"/>
      <c r="M2049" s="186"/>
      <c r="N2049" s="186"/>
      <c r="O2049" s="186"/>
      <c r="P2049" s="188"/>
      <c r="Q2049" s="186"/>
      <c r="R2049" s="186"/>
    </row>
    <row r="2050" spans="7:18">
      <c r="G2050" s="133"/>
      <c r="H2050" s="184"/>
      <c r="I2050" s="184"/>
      <c r="J2050" s="186"/>
      <c r="K2050" s="186"/>
      <c r="L2050" s="186"/>
      <c r="M2050" s="186"/>
      <c r="N2050" s="186"/>
      <c r="O2050" s="186"/>
      <c r="P2050" s="188"/>
      <c r="Q2050" s="186"/>
      <c r="R2050" s="186"/>
    </row>
    <row r="2051" spans="7:18">
      <c r="G2051" s="133"/>
      <c r="H2051" s="184"/>
      <c r="I2051" s="184"/>
      <c r="J2051" s="186"/>
      <c r="K2051" s="186"/>
      <c r="L2051" s="186"/>
      <c r="M2051" s="186"/>
      <c r="N2051" s="186"/>
      <c r="O2051" s="186"/>
      <c r="P2051" s="188"/>
      <c r="Q2051" s="186"/>
      <c r="R2051" s="186"/>
    </row>
    <row r="2052" spans="7:18">
      <c r="G2052" s="133"/>
      <c r="H2052" s="184"/>
      <c r="I2052" s="184"/>
      <c r="J2052" s="186"/>
      <c r="K2052" s="186"/>
      <c r="L2052" s="186"/>
      <c r="M2052" s="186"/>
      <c r="N2052" s="186"/>
      <c r="O2052" s="186"/>
      <c r="P2052" s="188"/>
      <c r="Q2052" s="186"/>
      <c r="R2052" s="186"/>
    </row>
    <row r="2053" spans="7:18">
      <c r="G2053" s="133"/>
      <c r="H2053" s="184"/>
      <c r="I2053" s="184"/>
      <c r="J2053" s="186"/>
      <c r="K2053" s="186"/>
      <c r="L2053" s="186"/>
      <c r="M2053" s="186"/>
      <c r="N2053" s="186"/>
      <c r="O2053" s="186"/>
      <c r="P2053" s="188"/>
      <c r="Q2053" s="186"/>
      <c r="R2053" s="186"/>
    </row>
    <row r="2054" spans="7:18">
      <c r="G2054" s="133"/>
      <c r="H2054" s="184"/>
      <c r="I2054" s="184"/>
      <c r="J2054" s="186"/>
      <c r="K2054" s="186"/>
      <c r="L2054" s="186"/>
      <c r="M2054" s="186"/>
      <c r="N2054" s="186"/>
      <c r="O2054" s="186"/>
      <c r="P2054" s="188"/>
      <c r="Q2054" s="186"/>
      <c r="R2054" s="186"/>
    </row>
    <row r="2055" spans="7:18">
      <c r="G2055" s="133"/>
      <c r="H2055" s="184"/>
      <c r="I2055" s="184"/>
      <c r="J2055" s="186"/>
      <c r="K2055" s="186"/>
      <c r="L2055" s="186"/>
      <c r="M2055" s="186"/>
      <c r="N2055" s="186"/>
      <c r="O2055" s="186"/>
      <c r="P2055" s="188"/>
      <c r="Q2055" s="186"/>
      <c r="R2055" s="186"/>
    </row>
    <row r="2056" spans="7:18">
      <c r="G2056" s="133"/>
      <c r="H2056" s="184"/>
      <c r="I2056" s="184"/>
      <c r="J2056" s="186"/>
      <c r="K2056" s="186"/>
      <c r="L2056" s="186"/>
      <c r="M2056" s="186"/>
      <c r="N2056" s="186"/>
      <c r="O2056" s="186"/>
      <c r="P2056" s="188"/>
      <c r="Q2056" s="186"/>
      <c r="R2056" s="186"/>
    </row>
    <row r="2057" spans="7:18">
      <c r="G2057" s="133"/>
      <c r="H2057" s="184"/>
      <c r="I2057" s="184"/>
      <c r="J2057" s="186"/>
      <c r="K2057" s="186"/>
      <c r="L2057" s="186"/>
      <c r="M2057" s="186"/>
      <c r="N2057" s="186"/>
      <c r="O2057" s="186"/>
      <c r="P2057" s="188"/>
      <c r="Q2057" s="186"/>
      <c r="R2057" s="186"/>
    </row>
    <row r="2058" spans="7:18">
      <c r="G2058" s="133"/>
      <c r="H2058" s="184"/>
      <c r="I2058" s="184"/>
      <c r="J2058" s="186"/>
      <c r="K2058" s="186"/>
      <c r="L2058" s="186"/>
      <c r="M2058" s="186"/>
      <c r="N2058" s="186"/>
      <c r="O2058" s="186"/>
      <c r="P2058" s="188"/>
      <c r="Q2058" s="186"/>
      <c r="R2058" s="186"/>
    </row>
    <row r="2059" spans="7:18">
      <c r="G2059" s="133"/>
      <c r="H2059" s="184"/>
      <c r="I2059" s="184"/>
      <c r="J2059" s="186"/>
      <c r="K2059" s="186"/>
      <c r="L2059" s="186"/>
      <c r="M2059" s="186"/>
      <c r="N2059" s="186"/>
      <c r="O2059" s="186"/>
      <c r="P2059" s="188"/>
      <c r="Q2059" s="186"/>
      <c r="R2059" s="186"/>
    </row>
    <row r="2060" spans="7:18">
      <c r="G2060" s="133"/>
      <c r="H2060" s="184"/>
      <c r="I2060" s="184"/>
      <c r="J2060" s="186"/>
      <c r="K2060" s="186"/>
      <c r="L2060" s="186"/>
      <c r="M2060" s="186"/>
      <c r="N2060" s="186"/>
      <c r="O2060" s="186"/>
      <c r="P2060" s="188"/>
      <c r="Q2060" s="186"/>
      <c r="R2060" s="186"/>
    </row>
    <row r="2061" spans="7:18">
      <c r="G2061" s="133"/>
      <c r="H2061" s="184"/>
      <c r="I2061" s="184"/>
      <c r="J2061" s="186"/>
      <c r="K2061" s="186"/>
      <c r="L2061" s="186"/>
      <c r="M2061" s="186"/>
      <c r="N2061" s="186"/>
      <c r="O2061" s="186"/>
      <c r="P2061" s="188"/>
      <c r="Q2061" s="186"/>
      <c r="R2061" s="186"/>
    </row>
    <row r="2062" spans="7:18">
      <c r="G2062" s="133"/>
      <c r="H2062" s="184"/>
      <c r="I2062" s="184"/>
      <c r="J2062" s="186"/>
      <c r="K2062" s="186"/>
      <c r="L2062" s="186"/>
      <c r="M2062" s="186"/>
      <c r="N2062" s="186"/>
      <c r="O2062" s="186"/>
      <c r="P2062" s="188"/>
      <c r="Q2062" s="186"/>
      <c r="R2062" s="186"/>
    </row>
    <row r="2063" spans="7:18">
      <c r="G2063" s="133"/>
      <c r="H2063" s="184"/>
      <c r="I2063" s="184"/>
      <c r="J2063" s="186"/>
      <c r="K2063" s="186"/>
      <c r="L2063" s="186"/>
      <c r="M2063" s="186"/>
      <c r="N2063" s="186"/>
      <c r="O2063" s="186"/>
      <c r="P2063" s="188"/>
      <c r="Q2063" s="186"/>
      <c r="R2063" s="186"/>
    </row>
    <row r="2064" spans="7:18">
      <c r="G2064" s="133"/>
      <c r="H2064" s="184"/>
      <c r="I2064" s="184"/>
      <c r="J2064" s="186"/>
      <c r="K2064" s="186"/>
      <c r="L2064" s="186"/>
      <c r="M2064" s="186"/>
      <c r="N2064" s="186"/>
      <c r="O2064" s="186"/>
      <c r="P2064" s="188"/>
      <c r="Q2064" s="186"/>
      <c r="R2064" s="186"/>
    </row>
    <row r="2065" spans="7:18">
      <c r="G2065" s="133"/>
      <c r="H2065" s="184"/>
      <c r="I2065" s="184"/>
      <c r="J2065" s="186"/>
      <c r="K2065" s="186"/>
      <c r="L2065" s="186"/>
      <c r="M2065" s="186"/>
      <c r="N2065" s="186"/>
      <c r="O2065" s="186"/>
      <c r="P2065" s="188"/>
      <c r="Q2065" s="186"/>
      <c r="R2065" s="186"/>
    </row>
    <row r="2066" spans="7:18">
      <c r="G2066" s="133"/>
      <c r="H2066" s="184"/>
      <c r="I2066" s="184"/>
      <c r="J2066" s="186"/>
      <c r="K2066" s="186"/>
      <c r="L2066" s="186"/>
      <c r="M2066" s="186"/>
      <c r="N2066" s="186"/>
      <c r="O2066" s="186"/>
      <c r="P2066" s="188"/>
      <c r="Q2066" s="186"/>
      <c r="R2066" s="186"/>
    </row>
    <row r="2067" spans="7:18">
      <c r="G2067" s="133"/>
      <c r="H2067" s="184"/>
      <c r="I2067" s="184"/>
      <c r="J2067" s="186"/>
      <c r="K2067" s="186"/>
      <c r="L2067" s="186"/>
      <c r="M2067" s="186"/>
      <c r="N2067" s="186"/>
      <c r="O2067" s="186"/>
      <c r="P2067" s="188"/>
      <c r="Q2067" s="186"/>
      <c r="R2067" s="186"/>
    </row>
    <row r="2068" spans="7:18">
      <c r="G2068" s="133"/>
      <c r="H2068" s="184"/>
      <c r="I2068" s="184"/>
      <c r="J2068" s="186"/>
      <c r="K2068" s="186"/>
      <c r="L2068" s="186"/>
      <c r="M2068" s="186"/>
      <c r="N2068" s="186"/>
      <c r="O2068" s="186"/>
      <c r="P2068" s="188"/>
      <c r="Q2068" s="186"/>
      <c r="R2068" s="186"/>
    </row>
    <row r="2069" spans="7:18">
      <c r="G2069" s="133"/>
      <c r="H2069" s="184"/>
      <c r="I2069" s="184"/>
      <c r="J2069" s="186"/>
      <c r="K2069" s="186"/>
      <c r="L2069" s="186"/>
      <c r="M2069" s="186"/>
      <c r="N2069" s="186"/>
      <c r="O2069" s="186"/>
      <c r="P2069" s="188"/>
      <c r="Q2069" s="186"/>
      <c r="R2069" s="186"/>
    </row>
    <row r="2070" spans="7:18">
      <c r="G2070" s="133"/>
      <c r="H2070" s="184"/>
      <c r="I2070" s="184"/>
      <c r="J2070" s="186"/>
      <c r="K2070" s="186"/>
      <c r="L2070" s="186"/>
      <c r="M2070" s="186"/>
      <c r="N2070" s="186"/>
      <c r="O2070" s="186"/>
      <c r="P2070" s="188"/>
      <c r="Q2070" s="186"/>
      <c r="R2070" s="186"/>
    </row>
    <row r="2071" spans="7:18">
      <c r="G2071" s="133"/>
      <c r="H2071" s="184"/>
      <c r="I2071" s="184"/>
      <c r="J2071" s="186"/>
      <c r="K2071" s="186"/>
      <c r="L2071" s="186"/>
      <c r="M2071" s="186"/>
      <c r="N2071" s="186"/>
      <c r="O2071" s="186"/>
      <c r="P2071" s="188"/>
      <c r="Q2071" s="186"/>
      <c r="R2071" s="186"/>
    </row>
    <row r="2072" spans="7:18">
      <c r="G2072" s="133"/>
      <c r="H2072" s="184"/>
      <c r="I2072" s="184"/>
      <c r="J2072" s="186"/>
      <c r="K2072" s="186"/>
      <c r="L2072" s="186"/>
      <c r="M2072" s="186"/>
      <c r="N2072" s="186"/>
      <c r="O2072" s="186"/>
      <c r="P2072" s="188"/>
      <c r="Q2072" s="186"/>
      <c r="R2072" s="186"/>
    </row>
    <row r="2073" spans="7:18">
      <c r="G2073" s="133"/>
      <c r="H2073" s="184"/>
      <c r="I2073" s="184"/>
      <c r="J2073" s="186"/>
      <c r="K2073" s="186"/>
      <c r="L2073" s="186"/>
      <c r="M2073" s="186"/>
      <c r="N2073" s="186"/>
      <c r="O2073" s="186"/>
      <c r="P2073" s="188"/>
      <c r="Q2073" s="186"/>
      <c r="R2073" s="186"/>
    </row>
    <row r="2074" spans="7:18">
      <c r="G2074" s="133"/>
      <c r="H2074" s="184"/>
      <c r="I2074" s="184"/>
      <c r="J2074" s="186"/>
      <c r="K2074" s="186"/>
      <c r="L2074" s="186"/>
      <c r="M2074" s="186"/>
      <c r="N2074" s="186"/>
      <c r="O2074" s="186"/>
      <c r="P2074" s="188"/>
      <c r="Q2074" s="186"/>
      <c r="R2074" s="186"/>
    </row>
    <row r="2075" spans="7:18">
      <c r="G2075" s="133"/>
      <c r="H2075" s="184"/>
      <c r="I2075" s="184"/>
      <c r="J2075" s="186"/>
      <c r="K2075" s="186"/>
      <c r="L2075" s="186"/>
      <c r="M2075" s="186"/>
      <c r="N2075" s="186"/>
      <c r="O2075" s="186"/>
      <c r="P2075" s="188"/>
      <c r="Q2075" s="186"/>
      <c r="R2075" s="186"/>
    </row>
    <row r="2076" spans="7:18">
      <c r="G2076" s="133"/>
      <c r="H2076" s="184"/>
      <c r="I2076" s="184"/>
      <c r="J2076" s="186"/>
      <c r="K2076" s="186"/>
      <c r="L2076" s="186"/>
      <c r="M2076" s="186"/>
      <c r="N2076" s="186"/>
      <c r="O2076" s="186"/>
      <c r="P2076" s="188"/>
      <c r="Q2076" s="186"/>
      <c r="R2076" s="186"/>
    </row>
    <row r="2077" spans="7:18">
      <c r="G2077" s="133"/>
      <c r="H2077" s="184"/>
      <c r="I2077" s="184"/>
      <c r="J2077" s="186"/>
      <c r="K2077" s="186"/>
      <c r="L2077" s="186"/>
      <c r="M2077" s="186"/>
      <c r="N2077" s="186"/>
      <c r="O2077" s="186"/>
      <c r="P2077" s="188"/>
      <c r="Q2077" s="186"/>
      <c r="R2077" s="186"/>
    </row>
    <row r="2078" spans="7:18">
      <c r="G2078" s="133"/>
      <c r="H2078" s="184"/>
      <c r="I2078" s="184"/>
      <c r="J2078" s="186"/>
      <c r="K2078" s="186"/>
      <c r="L2078" s="186"/>
      <c r="M2078" s="186"/>
      <c r="N2078" s="186"/>
      <c r="O2078" s="186"/>
      <c r="P2078" s="188"/>
      <c r="Q2078" s="186"/>
      <c r="R2078" s="186"/>
    </row>
    <row r="2079" spans="7:18">
      <c r="G2079" s="133"/>
      <c r="H2079" s="184"/>
      <c r="I2079" s="184"/>
      <c r="J2079" s="186"/>
      <c r="K2079" s="186"/>
      <c r="L2079" s="186"/>
      <c r="M2079" s="186"/>
      <c r="N2079" s="186"/>
      <c r="O2079" s="186"/>
      <c r="P2079" s="188"/>
      <c r="Q2079" s="186"/>
      <c r="R2079" s="186"/>
    </row>
    <row r="2080" spans="7:18">
      <c r="G2080" s="133"/>
      <c r="H2080" s="184"/>
      <c r="I2080" s="184"/>
      <c r="J2080" s="186"/>
      <c r="K2080" s="186"/>
      <c r="L2080" s="186"/>
      <c r="M2080" s="186"/>
      <c r="N2080" s="186"/>
      <c r="O2080" s="186"/>
      <c r="P2080" s="188"/>
      <c r="Q2080" s="186"/>
      <c r="R2080" s="186"/>
    </row>
    <row r="2081" spans="7:18">
      <c r="G2081" s="133"/>
      <c r="H2081" s="184"/>
      <c r="I2081" s="184"/>
      <c r="J2081" s="186"/>
      <c r="K2081" s="186"/>
      <c r="L2081" s="186"/>
      <c r="M2081" s="186"/>
      <c r="N2081" s="186"/>
      <c r="O2081" s="186"/>
      <c r="P2081" s="188"/>
      <c r="Q2081" s="186"/>
      <c r="R2081" s="186"/>
    </row>
    <row r="2082" spans="7:18">
      <c r="G2082" s="133"/>
      <c r="H2082" s="184"/>
      <c r="I2082" s="184"/>
      <c r="J2082" s="186"/>
      <c r="K2082" s="186"/>
      <c r="L2082" s="186"/>
      <c r="M2082" s="186"/>
      <c r="N2082" s="186"/>
      <c r="O2082" s="186"/>
      <c r="P2082" s="188"/>
      <c r="Q2082" s="186"/>
      <c r="R2082" s="186"/>
    </row>
    <row r="2083" spans="7:18">
      <c r="G2083" s="133"/>
      <c r="H2083" s="184"/>
      <c r="I2083" s="184"/>
      <c r="J2083" s="186"/>
      <c r="K2083" s="186"/>
      <c r="L2083" s="186"/>
      <c r="M2083" s="186"/>
      <c r="N2083" s="186"/>
      <c r="O2083" s="186"/>
      <c r="P2083" s="188"/>
      <c r="Q2083" s="186"/>
      <c r="R2083" s="186"/>
    </row>
    <row r="2084" spans="7:18">
      <c r="G2084" s="133"/>
      <c r="H2084" s="184"/>
      <c r="I2084" s="184"/>
      <c r="J2084" s="186"/>
      <c r="K2084" s="186"/>
      <c r="L2084" s="186"/>
      <c r="M2084" s="186"/>
      <c r="N2084" s="186"/>
      <c r="O2084" s="186"/>
      <c r="P2084" s="188"/>
      <c r="Q2084" s="186"/>
      <c r="R2084" s="186"/>
    </row>
    <row r="2085" spans="7:18">
      <c r="G2085" s="133"/>
      <c r="H2085" s="184"/>
      <c r="I2085" s="184"/>
      <c r="J2085" s="186"/>
      <c r="K2085" s="186"/>
      <c r="L2085" s="186"/>
      <c r="M2085" s="186"/>
      <c r="N2085" s="186"/>
      <c r="O2085" s="186"/>
      <c r="P2085" s="188"/>
      <c r="Q2085" s="186"/>
      <c r="R2085" s="186"/>
    </row>
    <row r="2086" spans="7:18">
      <c r="G2086" s="133"/>
      <c r="H2086" s="184"/>
      <c r="I2086" s="184"/>
      <c r="J2086" s="186"/>
      <c r="K2086" s="186"/>
      <c r="L2086" s="186"/>
      <c r="M2086" s="186"/>
      <c r="N2086" s="186"/>
      <c r="O2086" s="186"/>
      <c r="P2086" s="188"/>
      <c r="Q2086" s="186"/>
      <c r="R2086" s="186"/>
    </row>
    <row r="2087" spans="7:18">
      <c r="G2087" s="133"/>
      <c r="H2087" s="184"/>
      <c r="I2087" s="184"/>
      <c r="J2087" s="186"/>
      <c r="K2087" s="186"/>
      <c r="L2087" s="186"/>
      <c r="M2087" s="186"/>
      <c r="N2087" s="186"/>
      <c r="O2087" s="186"/>
      <c r="P2087" s="188"/>
      <c r="Q2087" s="186"/>
      <c r="R2087" s="186"/>
    </row>
    <row r="2088" spans="7:18">
      <c r="G2088" s="133"/>
      <c r="H2088" s="184"/>
      <c r="I2088" s="184"/>
      <c r="J2088" s="186"/>
      <c r="K2088" s="186"/>
      <c r="L2088" s="186"/>
      <c r="M2088" s="186"/>
      <c r="N2088" s="186"/>
      <c r="O2088" s="186"/>
      <c r="P2088" s="188"/>
      <c r="Q2088" s="186"/>
      <c r="R2088" s="186"/>
    </row>
    <row r="2089" spans="7:18">
      <c r="G2089" s="133"/>
      <c r="H2089" s="184"/>
      <c r="I2089" s="184"/>
      <c r="J2089" s="186"/>
      <c r="K2089" s="186"/>
      <c r="L2089" s="186"/>
      <c r="M2089" s="186"/>
      <c r="N2089" s="186"/>
      <c r="O2089" s="186"/>
      <c r="P2089" s="188"/>
      <c r="Q2089" s="186"/>
      <c r="R2089" s="186"/>
    </row>
    <row r="2090" spans="7:18">
      <c r="G2090" s="133"/>
      <c r="H2090" s="184"/>
      <c r="I2090" s="184"/>
      <c r="J2090" s="186"/>
      <c r="K2090" s="186"/>
      <c r="L2090" s="186"/>
      <c r="M2090" s="186"/>
      <c r="N2090" s="186"/>
      <c r="O2090" s="186"/>
      <c r="P2090" s="188"/>
      <c r="Q2090" s="186"/>
      <c r="R2090" s="186"/>
    </row>
    <row r="2091" spans="7:18">
      <c r="G2091" s="133"/>
      <c r="H2091" s="184"/>
      <c r="I2091" s="184"/>
      <c r="J2091" s="186"/>
      <c r="K2091" s="186"/>
      <c r="L2091" s="186"/>
      <c r="M2091" s="186"/>
      <c r="N2091" s="186"/>
      <c r="O2091" s="186"/>
      <c r="P2091" s="188"/>
      <c r="Q2091" s="186"/>
      <c r="R2091" s="186"/>
    </row>
    <row r="2092" spans="7:18">
      <c r="G2092" s="133"/>
      <c r="H2092" s="184"/>
      <c r="I2092" s="184"/>
      <c r="J2092" s="186"/>
      <c r="K2092" s="186"/>
      <c r="L2092" s="186"/>
      <c r="M2092" s="186"/>
      <c r="N2092" s="186"/>
      <c r="O2092" s="186"/>
      <c r="P2092" s="188"/>
      <c r="Q2092" s="186"/>
      <c r="R2092" s="186"/>
    </row>
    <row r="2093" spans="7:18">
      <c r="G2093" s="133"/>
      <c r="H2093" s="184"/>
      <c r="I2093" s="184"/>
      <c r="J2093" s="186"/>
      <c r="K2093" s="186"/>
      <c r="L2093" s="186"/>
      <c r="M2093" s="186"/>
      <c r="N2093" s="186"/>
      <c r="O2093" s="186"/>
      <c r="P2093" s="188"/>
      <c r="Q2093" s="186"/>
      <c r="R2093" s="186"/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36"/>
  <sheetViews>
    <sheetView workbookViewId="0"/>
  </sheetViews>
  <sheetFormatPr defaultColWidth="12.5703125" defaultRowHeight="15.75" customHeight="1"/>
  <sheetData>
    <row r="1" spans="1:5">
      <c r="A1" s="11" t="s">
        <v>0</v>
      </c>
      <c r="B1" s="11" t="s">
        <v>1</v>
      </c>
      <c r="C1" s="2" t="s">
        <v>2</v>
      </c>
      <c r="D1" s="134" t="s">
        <v>3</v>
      </c>
      <c r="E1" s="4" t="s">
        <v>4</v>
      </c>
    </row>
    <row r="2" spans="1:5">
      <c r="A2" s="12">
        <v>44562</v>
      </c>
      <c r="B2" s="11">
        <f t="shared" ref="B2:B136" si="0">YEAR(A2)</f>
        <v>2022</v>
      </c>
      <c r="C2" s="11">
        <f t="shared" ref="C2:C136" si="1">MONTH(A2)</f>
        <v>1</v>
      </c>
      <c r="D2" s="11" t="s">
        <v>299</v>
      </c>
      <c r="E2" s="13">
        <v>3232</v>
      </c>
    </row>
    <row r="3" spans="1:5">
      <c r="A3" s="12">
        <v>44563</v>
      </c>
      <c r="B3" s="11">
        <f t="shared" si="0"/>
        <v>2022</v>
      </c>
      <c r="C3" s="11">
        <f t="shared" si="1"/>
        <v>1</v>
      </c>
      <c r="D3" s="11" t="s">
        <v>300</v>
      </c>
      <c r="E3" s="13">
        <v>2438</v>
      </c>
    </row>
    <row r="4" spans="1:5">
      <c r="A4" s="12">
        <v>44564</v>
      </c>
      <c r="B4" s="11">
        <f t="shared" si="0"/>
        <v>2022</v>
      </c>
      <c r="C4" s="11">
        <f t="shared" si="1"/>
        <v>1</v>
      </c>
      <c r="D4" s="11" t="s">
        <v>152</v>
      </c>
      <c r="E4" s="13">
        <v>0</v>
      </c>
    </row>
    <row r="5" spans="1:5">
      <c r="A5" s="12">
        <v>44565</v>
      </c>
      <c r="B5" s="11">
        <f t="shared" si="0"/>
        <v>2022</v>
      </c>
      <c r="C5" s="11">
        <f t="shared" si="1"/>
        <v>1</v>
      </c>
      <c r="D5" s="11" t="s">
        <v>153</v>
      </c>
      <c r="E5" s="13">
        <v>0</v>
      </c>
    </row>
    <row r="6" spans="1:5">
      <c r="A6" s="12">
        <v>44566</v>
      </c>
      <c r="B6" s="11">
        <f t="shared" si="0"/>
        <v>2022</v>
      </c>
      <c r="C6" s="11">
        <f t="shared" si="1"/>
        <v>1</v>
      </c>
      <c r="D6" s="11" t="s">
        <v>155</v>
      </c>
      <c r="E6" s="13">
        <v>2543</v>
      </c>
    </row>
    <row r="7" spans="1:5">
      <c r="A7" s="12">
        <v>44593</v>
      </c>
      <c r="B7" s="11">
        <f t="shared" si="0"/>
        <v>2022</v>
      </c>
      <c r="C7" s="11">
        <f t="shared" si="1"/>
        <v>2</v>
      </c>
      <c r="D7" s="11" t="s">
        <v>299</v>
      </c>
      <c r="E7" s="13">
        <v>4185</v>
      </c>
    </row>
    <row r="8" spans="1:5">
      <c r="A8" s="12">
        <v>44594</v>
      </c>
      <c r="B8" s="11">
        <f t="shared" si="0"/>
        <v>2022</v>
      </c>
      <c r="C8" s="11">
        <f t="shared" si="1"/>
        <v>2</v>
      </c>
      <c r="D8" s="11" t="s">
        <v>300</v>
      </c>
      <c r="E8" s="13">
        <v>4171</v>
      </c>
    </row>
    <row r="9" spans="1:5">
      <c r="A9" s="12">
        <v>44595</v>
      </c>
      <c r="B9" s="11">
        <f t="shared" si="0"/>
        <v>2022</v>
      </c>
      <c r="C9" s="11">
        <f t="shared" si="1"/>
        <v>2</v>
      </c>
      <c r="D9" s="11" t="s">
        <v>152</v>
      </c>
      <c r="E9" s="13">
        <v>0</v>
      </c>
    </row>
    <row r="10" spans="1:5">
      <c r="A10" s="12">
        <v>44596</v>
      </c>
      <c r="B10" s="11">
        <f t="shared" si="0"/>
        <v>2022</v>
      </c>
      <c r="C10" s="11">
        <f t="shared" si="1"/>
        <v>2</v>
      </c>
      <c r="D10" s="11" t="s">
        <v>153</v>
      </c>
      <c r="E10" s="13">
        <v>0</v>
      </c>
    </row>
    <row r="11" spans="1:5">
      <c r="A11" s="12">
        <v>44597</v>
      </c>
      <c r="B11" s="11">
        <f t="shared" si="0"/>
        <v>2022</v>
      </c>
      <c r="C11" s="11">
        <f t="shared" si="1"/>
        <v>2</v>
      </c>
      <c r="D11" s="11" t="s">
        <v>155</v>
      </c>
      <c r="E11" s="13">
        <v>6077</v>
      </c>
    </row>
    <row r="12" spans="1:5">
      <c r="A12" s="12">
        <v>44621</v>
      </c>
      <c r="B12" s="11">
        <f t="shared" si="0"/>
        <v>2022</v>
      </c>
      <c r="C12" s="11">
        <f t="shared" si="1"/>
        <v>3</v>
      </c>
      <c r="D12" s="11" t="s">
        <v>299</v>
      </c>
      <c r="E12" s="13">
        <v>3549</v>
      </c>
    </row>
    <row r="13" spans="1:5">
      <c r="A13" s="12">
        <v>44622</v>
      </c>
      <c r="B13" s="11">
        <f t="shared" si="0"/>
        <v>2022</v>
      </c>
      <c r="C13" s="11">
        <f t="shared" si="1"/>
        <v>3</v>
      </c>
      <c r="D13" s="11" t="s">
        <v>300</v>
      </c>
      <c r="E13" s="13">
        <v>5684</v>
      </c>
    </row>
    <row r="14" spans="1:5">
      <c r="A14" s="12">
        <v>44623</v>
      </c>
      <c r="B14" s="11">
        <f t="shared" si="0"/>
        <v>2022</v>
      </c>
      <c r="C14" s="11">
        <f t="shared" si="1"/>
        <v>3</v>
      </c>
      <c r="D14" s="11" t="s">
        <v>152</v>
      </c>
      <c r="E14" s="13">
        <v>0</v>
      </c>
    </row>
    <row r="15" spans="1:5">
      <c r="A15" s="12">
        <v>44624</v>
      </c>
      <c r="B15" s="11">
        <f t="shared" si="0"/>
        <v>2022</v>
      </c>
      <c r="C15" s="11">
        <f t="shared" si="1"/>
        <v>3</v>
      </c>
      <c r="D15" s="11" t="s">
        <v>153</v>
      </c>
      <c r="E15" s="13">
        <v>0</v>
      </c>
    </row>
    <row r="16" spans="1:5">
      <c r="A16" s="12">
        <v>44625</v>
      </c>
      <c r="B16" s="11">
        <f t="shared" si="0"/>
        <v>2022</v>
      </c>
      <c r="C16" s="11">
        <f t="shared" si="1"/>
        <v>3</v>
      </c>
      <c r="D16" s="11" t="s">
        <v>155</v>
      </c>
      <c r="E16" s="13">
        <v>9318</v>
      </c>
    </row>
    <row r="17" spans="1:5">
      <c r="A17" s="12">
        <v>44652</v>
      </c>
      <c r="B17" s="11">
        <f t="shared" si="0"/>
        <v>2022</v>
      </c>
      <c r="C17" s="11">
        <f t="shared" si="1"/>
        <v>4</v>
      </c>
      <c r="D17" s="11" t="s">
        <v>299</v>
      </c>
      <c r="E17" s="13">
        <v>8966</v>
      </c>
    </row>
    <row r="18" spans="1:5">
      <c r="A18" s="12">
        <v>44653</v>
      </c>
      <c r="B18" s="11">
        <f t="shared" si="0"/>
        <v>2022</v>
      </c>
      <c r="C18" s="11">
        <f t="shared" si="1"/>
        <v>4</v>
      </c>
      <c r="D18" s="11" t="s">
        <v>300</v>
      </c>
      <c r="E18" s="13">
        <v>7940</v>
      </c>
    </row>
    <row r="19" spans="1:5">
      <c r="A19" s="12">
        <v>44654</v>
      </c>
      <c r="B19" s="11">
        <f t="shared" si="0"/>
        <v>2022</v>
      </c>
      <c r="C19" s="11">
        <f t="shared" si="1"/>
        <v>4</v>
      </c>
      <c r="D19" s="11" t="s">
        <v>152</v>
      </c>
      <c r="E19" s="13">
        <v>63</v>
      </c>
    </row>
    <row r="20" spans="1:5">
      <c r="A20" s="12">
        <v>44655</v>
      </c>
      <c r="B20" s="11">
        <f t="shared" si="0"/>
        <v>2022</v>
      </c>
      <c r="C20" s="11">
        <f t="shared" si="1"/>
        <v>4</v>
      </c>
      <c r="D20" s="11" t="s">
        <v>153</v>
      </c>
      <c r="E20" s="13">
        <v>0</v>
      </c>
    </row>
    <row r="21" spans="1:5">
      <c r="A21" s="12">
        <v>44656</v>
      </c>
      <c r="B21" s="11">
        <f t="shared" si="0"/>
        <v>2022</v>
      </c>
      <c r="C21" s="11">
        <f t="shared" si="1"/>
        <v>4</v>
      </c>
      <c r="D21" s="11" t="s">
        <v>155</v>
      </c>
      <c r="E21" s="13">
        <v>11611</v>
      </c>
    </row>
    <row r="22" spans="1:5">
      <c r="A22" s="12">
        <v>44682</v>
      </c>
      <c r="B22" s="11">
        <f t="shared" si="0"/>
        <v>2022</v>
      </c>
      <c r="C22" s="11">
        <f t="shared" si="1"/>
        <v>5</v>
      </c>
      <c r="D22" s="11" t="s">
        <v>299</v>
      </c>
      <c r="E22" s="13">
        <v>12171</v>
      </c>
    </row>
    <row r="23" spans="1:5">
      <c r="A23" s="12">
        <v>44683</v>
      </c>
      <c r="B23" s="11">
        <f t="shared" si="0"/>
        <v>2022</v>
      </c>
      <c r="C23" s="11">
        <f t="shared" si="1"/>
        <v>5</v>
      </c>
      <c r="D23" s="11" t="s">
        <v>300</v>
      </c>
      <c r="E23" s="13">
        <v>8671</v>
      </c>
    </row>
    <row r="24" spans="1:5">
      <c r="A24" s="12">
        <v>44684</v>
      </c>
      <c r="B24" s="11">
        <f t="shared" si="0"/>
        <v>2022</v>
      </c>
      <c r="C24" s="11">
        <f t="shared" si="1"/>
        <v>5</v>
      </c>
      <c r="D24" s="11" t="s">
        <v>152</v>
      </c>
      <c r="E24" s="13">
        <v>63</v>
      </c>
    </row>
    <row r="25" spans="1:5">
      <c r="A25" s="12">
        <v>44685</v>
      </c>
      <c r="B25" s="11">
        <f t="shared" si="0"/>
        <v>2022</v>
      </c>
      <c r="C25" s="11">
        <f t="shared" si="1"/>
        <v>5</v>
      </c>
      <c r="D25" s="11" t="s">
        <v>153</v>
      </c>
      <c r="E25" s="13">
        <v>0</v>
      </c>
    </row>
    <row r="26" spans="1:5">
      <c r="A26" s="12">
        <v>44686</v>
      </c>
      <c r="B26" s="11">
        <f t="shared" si="0"/>
        <v>2022</v>
      </c>
      <c r="C26" s="11">
        <f t="shared" si="1"/>
        <v>5</v>
      </c>
      <c r="D26" s="11" t="s">
        <v>155</v>
      </c>
      <c r="E26" s="13">
        <v>13949</v>
      </c>
    </row>
    <row r="27" spans="1:5">
      <c r="A27" s="12">
        <v>44713</v>
      </c>
      <c r="B27" s="11">
        <f t="shared" si="0"/>
        <v>2022</v>
      </c>
      <c r="C27" s="11">
        <f t="shared" si="1"/>
        <v>6</v>
      </c>
      <c r="D27" s="11" t="s">
        <v>299</v>
      </c>
      <c r="E27" s="13">
        <v>15610</v>
      </c>
    </row>
    <row r="28" spans="1:5">
      <c r="A28" s="12">
        <v>44714</v>
      </c>
      <c r="B28" s="11">
        <f t="shared" si="0"/>
        <v>2022</v>
      </c>
      <c r="C28" s="11">
        <f t="shared" si="1"/>
        <v>6</v>
      </c>
      <c r="D28" s="11" t="s">
        <v>300</v>
      </c>
      <c r="E28" s="13">
        <v>10417</v>
      </c>
    </row>
    <row r="29" spans="1:5">
      <c r="A29" s="12">
        <v>44715</v>
      </c>
      <c r="B29" s="11">
        <f t="shared" si="0"/>
        <v>2022</v>
      </c>
      <c r="C29" s="11">
        <f t="shared" si="1"/>
        <v>6</v>
      </c>
      <c r="D29" s="11" t="s">
        <v>152</v>
      </c>
      <c r="E29" s="13">
        <v>63</v>
      </c>
    </row>
    <row r="30" spans="1:5">
      <c r="A30" s="12">
        <v>44716</v>
      </c>
      <c r="B30" s="11">
        <f t="shared" si="0"/>
        <v>2022</v>
      </c>
      <c r="C30" s="11">
        <f t="shared" si="1"/>
        <v>6</v>
      </c>
      <c r="D30" s="11" t="s">
        <v>153</v>
      </c>
      <c r="E30" s="13">
        <v>0</v>
      </c>
    </row>
    <row r="31" spans="1:5">
      <c r="A31" s="12">
        <v>44717</v>
      </c>
      <c r="B31" s="11">
        <f t="shared" si="0"/>
        <v>2022</v>
      </c>
      <c r="C31" s="11">
        <f t="shared" si="1"/>
        <v>6</v>
      </c>
      <c r="D31" s="11" t="s">
        <v>155</v>
      </c>
      <c r="E31" s="13">
        <v>16437</v>
      </c>
    </row>
    <row r="32" spans="1:5">
      <c r="A32" s="12">
        <v>44743</v>
      </c>
      <c r="B32" s="11">
        <f t="shared" si="0"/>
        <v>2022</v>
      </c>
      <c r="C32" s="11">
        <f t="shared" si="1"/>
        <v>7</v>
      </c>
      <c r="D32" s="11" t="s">
        <v>299</v>
      </c>
      <c r="E32" s="13">
        <v>17213</v>
      </c>
    </row>
    <row r="33" spans="1:5">
      <c r="A33" s="12">
        <v>44744</v>
      </c>
      <c r="B33" s="11">
        <f t="shared" si="0"/>
        <v>2022</v>
      </c>
      <c r="C33" s="11">
        <f t="shared" si="1"/>
        <v>7</v>
      </c>
      <c r="D33" s="11" t="s">
        <v>300</v>
      </c>
      <c r="E33" s="13">
        <v>11331</v>
      </c>
    </row>
    <row r="34" spans="1:5">
      <c r="A34" s="12">
        <v>44745</v>
      </c>
      <c r="B34" s="11">
        <f t="shared" si="0"/>
        <v>2022</v>
      </c>
      <c r="C34" s="11">
        <f t="shared" si="1"/>
        <v>7</v>
      </c>
      <c r="D34" s="11" t="s">
        <v>152</v>
      </c>
      <c r="E34" s="13">
        <v>67</v>
      </c>
    </row>
    <row r="35" spans="1:5">
      <c r="A35" s="12">
        <v>44746</v>
      </c>
      <c r="B35" s="11">
        <f t="shared" si="0"/>
        <v>2022</v>
      </c>
      <c r="C35" s="11">
        <f t="shared" si="1"/>
        <v>7</v>
      </c>
      <c r="D35" s="11" t="s">
        <v>153</v>
      </c>
      <c r="E35" s="13">
        <v>0</v>
      </c>
    </row>
    <row r="36" spans="1:5">
      <c r="A36" s="12">
        <v>44747</v>
      </c>
      <c r="B36" s="11">
        <f t="shared" si="0"/>
        <v>2022</v>
      </c>
      <c r="C36" s="11">
        <f t="shared" si="1"/>
        <v>7</v>
      </c>
      <c r="D36" s="11" t="s">
        <v>155</v>
      </c>
      <c r="E36" s="13">
        <v>18934</v>
      </c>
    </row>
    <row r="37" spans="1:5">
      <c r="A37" s="12">
        <v>44774</v>
      </c>
      <c r="B37" s="11">
        <f t="shared" si="0"/>
        <v>2022</v>
      </c>
      <c r="C37" s="11">
        <f t="shared" si="1"/>
        <v>8</v>
      </c>
      <c r="D37" s="11" t="s">
        <v>299</v>
      </c>
      <c r="E37" s="13">
        <v>20568</v>
      </c>
    </row>
    <row r="38" spans="1:5">
      <c r="A38" s="12">
        <v>44775</v>
      </c>
      <c r="B38" s="11">
        <f t="shared" si="0"/>
        <v>2022</v>
      </c>
      <c r="C38" s="11">
        <f t="shared" si="1"/>
        <v>8</v>
      </c>
      <c r="D38" s="11" t="s">
        <v>300</v>
      </c>
      <c r="E38" s="13">
        <v>11311</v>
      </c>
    </row>
    <row r="39" spans="1:5">
      <c r="A39" s="12">
        <v>44776</v>
      </c>
      <c r="B39" s="11">
        <f t="shared" si="0"/>
        <v>2022</v>
      </c>
      <c r="C39" s="11">
        <f t="shared" si="1"/>
        <v>8</v>
      </c>
      <c r="D39" s="11" t="s">
        <v>152</v>
      </c>
      <c r="E39" s="13">
        <v>69</v>
      </c>
    </row>
    <row r="40" spans="1:5">
      <c r="A40" s="12">
        <v>44777</v>
      </c>
      <c r="B40" s="11">
        <f t="shared" si="0"/>
        <v>2022</v>
      </c>
      <c r="C40" s="11">
        <f t="shared" si="1"/>
        <v>8</v>
      </c>
      <c r="D40" s="11" t="s">
        <v>153</v>
      </c>
      <c r="E40" s="13">
        <v>0</v>
      </c>
    </row>
    <row r="41" spans="1:5">
      <c r="A41" s="12">
        <v>44778</v>
      </c>
      <c r="B41" s="11">
        <f t="shared" si="0"/>
        <v>2022</v>
      </c>
      <c r="C41" s="11">
        <f t="shared" si="1"/>
        <v>8</v>
      </c>
      <c r="D41" s="11" t="s">
        <v>155</v>
      </c>
      <c r="E41" s="13">
        <v>22059</v>
      </c>
    </row>
    <row r="42" spans="1:5">
      <c r="A42" s="12">
        <v>44805</v>
      </c>
      <c r="B42" s="11">
        <f t="shared" si="0"/>
        <v>2022</v>
      </c>
      <c r="C42" s="11">
        <f t="shared" si="1"/>
        <v>9</v>
      </c>
      <c r="D42" s="11" t="s">
        <v>299</v>
      </c>
      <c r="E42" s="13">
        <v>22194</v>
      </c>
    </row>
    <row r="43" spans="1:5">
      <c r="A43" s="12">
        <v>44806</v>
      </c>
      <c r="B43" s="11">
        <f t="shared" si="0"/>
        <v>2022</v>
      </c>
      <c r="C43" s="11">
        <f t="shared" si="1"/>
        <v>9</v>
      </c>
      <c r="D43" s="11" t="s">
        <v>300</v>
      </c>
      <c r="E43" s="13">
        <v>11331</v>
      </c>
    </row>
    <row r="44" spans="1:5">
      <c r="A44" s="12">
        <v>44807</v>
      </c>
      <c r="B44" s="11">
        <f t="shared" si="0"/>
        <v>2022</v>
      </c>
      <c r="C44" s="11">
        <f t="shared" si="1"/>
        <v>9</v>
      </c>
      <c r="D44" s="11" t="s">
        <v>152</v>
      </c>
      <c r="E44" s="13">
        <v>73</v>
      </c>
    </row>
    <row r="45" spans="1:5">
      <c r="A45" s="12">
        <v>44808</v>
      </c>
      <c r="B45" s="11">
        <f t="shared" si="0"/>
        <v>2022</v>
      </c>
      <c r="C45" s="11">
        <f t="shared" si="1"/>
        <v>9</v>
      </c>
      <c r="D45" s="11" t="s">
        <v>153</v>
      </c>
      <c r="E45" s="13">
        <v>0</v>
      </c>
    </row>
    <row r="46" spans="1:5">
      <c r="A46" s="12">
        <v>44809</v>
      </c>
      <c r="B46" s="11">
        <f t="shared" si="0"/>
        <v>2022</v>
      </c>
      <c r="C46" s="11">
        <f t="shared" si="1"/>
        <v>9</v>
      </c>
      <c r="D46" s="11" t="s">
        <v>155</v>
      </c>
      <c r="E46" s="13">
        <v>25421</v>
      </c>
    </row>
    <row r="47" spans="1:5">
      <c r="A47" s="15">
        <v>44835</v>
      </c>
      <c r="B47" s="11">
        <f t="shared" si="0"/>
        <v>2022</v>
      </c>
      <c r="C47" s="11">
        <f t="shared" si="1"/>
        <v>10</v>
      </c>
      <c r="D47" s="11" t="s">
        <v>299</v>
      </c>
      <c r="E47" s="13">
        <v>25077</v>
      </c>
    </row>
    <row r="48" spans="1:5">
      <c r="A48" s="15">
        <v>44836</v>
      </c>
      <c r="B48" s="11">
        <f t="shared" si="0"/>
        <v>2022</v>
      </c>
      <c r="C48" s="11">
        <f t="shared" si="1"/>
        <v>10</v>
      </c>
      <c r="D48" s="11" t="s">
        <v>300</v>
      </c>
      <c r="E48" s="13">
        <v>11331</v>
      </c>
    </row>
    <row r="49" spans="1:5">
      <c r="A49" s="15">
        <v>44837</v>
      </c>
      <c r="B49" s="11">
        <f t="shared" si="0"/>
        <v>2022</v>
      </c>
      <c r="C49" s="11">
        <f t="shared" si="1"/>
        <v>10</v>
      </c>
      <c r="D49" s="11" t="s">
        <v>152</v>
      </c>
      <c r="E49" s="13">
        <v>303</v>
      </c>
    </row>
    <row r="50" spans="1:5">
      <c r="A50" s="15">
        <v>44838</v>
      </c>
      <c r="B50" s="11">
        <f t="shared" si="0"/>
        <v>2022</v>
      </c>
      <c r="C50" s="11">
        <f t="shared" si="1"/>
        <v>10</v>
      </c>
      <c r="D50" s="11" t="s">
        <v>153</v>
      </c>
      <c r="E50" s="13">
        <v>0</v>
      </c>
    </row>
    <row r="51" spans="1:5">
      <c r="A51" s="15">
        <v>44839</v>
      </c>
      <c r="B51" s="11">
        <f t="shared" si="0"/>
        <v>2022</v>
      </c>
      <c r="C51" s="11">
        <f t="shared" si="1"/>
        <v>10</v>
      </c>
      <c r="D51" s="11" t="s">
        <v>155</v>
      </c>
      <c r="E51" s="13">
        <v>25429</v>
      </c>
    </row>
    <row r="52" spans="1:5">
      <c r="A52" s="15">
        <v>44866</v>
      </c>
      <c r="B52" s="11">
        <f t="shared" si="0"/>
        <v>2022</v>
      </c>
      <c r="C52" s="11">
        <f t="shared" si="1"/>
        <v>11</v>
      </c>
      <c r="D52" s="11" t="s">
        <v>299</v>
      </c>
      <c r="E52" s="13">
        <v>27779</v>
      </c>
    </row>
    <row r="53" spans="1:5">
      <c r="A53" s="15">
        <v>44867</v>
      </c>
      <c r="B53" s="11">
        <f t="shared" si="0"/>
        <v>2022</v>
      </c>
      <c r="C53" s="11">
        <f t="shared" si="1"/>
        <v>11</v>
      </c>
      <c r="D53" s="11" t="s">
        <v>300</v>
      </c>
      <c r="E53" s="13">
        <v>13281</v>
      </c>
    </row>
    <row r="54" spans="1:5">
      <c r="A54" s="15">
        <v>44868</v>
      </c>
      <c r="B54" s="11">
        <f t="shared" si="0"/>
        <v>2022</v>
      </c>
      <c r="C54" s="11">
        <f t="shared" si="1"/>
        <v>11</v>
      </c>
      <c r="D54" s="11" t="s">
        <v>152</v>
      </c>
      <c r="E54" s="13">
        <v>716</v>
      </c>
    </row>
    <row r="55" spans="1:5">
      <c r="A55" s="15">
        <v>44869</v>
      </c>
      <c r="B55" s="11">
        <f t="shared" si="0"/>
        <v>2022</v>
      </c>
      <c r="C55" s="11">
        <f t="shared" si="1"/>
        <v>11</v>
      </c>
      <c r="D55" s="11" t="s">
        <v>153</v>
      </c>
      <c r="E55" s="13">
        <v>0</v>
      </c>
    </row>
    <row r="56" spans="1:5">
      <c r="A56" s="15">
        <v>44870</v>
      </c>
      <c r="B56" s="11">
        <f t="shared" si="0"/>
        <v>2022</v>
      </c>
      <c r="C56" s="11">
        <f t="shared" si="1"/>
        <v>11</v>
      </c>
      <c r="D56" s="11" t="s">
        <v>155</v>
      </c>
      <c r="E56" s="13">
        <v>25430</v>
      </c>
    </row>
    <row r="57" spans="1:5">
      <c r="A57" s="15">
        <v>44896</v>
      </c>
      <c r="B57" s="11">
        <f t="shared" si="0"/>
        <v>2022</v>
      </c>
      <c r="C57" s="11">
        <f t="shared" si="1"/>
        <v>12</v>
      </c>
      <c r="D57" s="11" t="s">
        <v>299</v>
      </c>
      <c r="E57" s="13">
        <v>30767</v>
      </c>
    </row>
    <row r="58" spans="1:5">
      <c r="A58" s="15">
        <v>44897</v>
      </c>
      <c r="B58" s="11">
        <f t="shared" si="0"/>
        <v>2022</v>
      </c>
      <c r="C58" s="11">
        <f t="shared" si="1"/>
        <v>12</v>
      </c>
      <c r="D58" s="11" t="s">
        <v>300</v>
      </c>
      <c r="E58" s="13">
        <v>14327</v>
      </c>
    </row>
    <row r="59" spans="1:5">
      <c r="A59" s="15">
        <v>44898</v>
      </c>
      <c r="B59" s="11">
        <f t="shared" si="0"/>
        <v>2022</v>
      </c>
      <c r="C59" s="11">
        <f t="shared" si="1"/>
        <v>12</v>
      </c>
      <c r="D59" s="11" t="s">
        <v>152</v>
      </c>
      <c r="E59" s="13">
        <v>1186</v>
      </c>
    </row>
    <row r="60" spans="1:5">
      <c r="A60" s="15">
        <v>44899</v>
      </c>
      <c r="B60" s="11">
        <f t="shared" si="0"/>
        <v>2022</v>
      </c>
      <c r="C60" s="11">
        <f t="shared" si="1"/>
        <v>12</v>
      </c>
      <c r="D60" s="11" t="s">
        <v>153</v>
      </c>
      <c r="E60" s="13">
        <v>0</v>
      </c>
    </row>
    <row r="61" spans="1:5">
      <c r="A61" s="15">
        <v>44900</v>
      </c>
      <c r="B61" s="11">
        <f t="shared" si="0"/>
        <v>2022</v>
      </c>
      <c r="C61" s="11">
        <f t="shared" si="1"/>
        <v>12</v>
      </c>
      <c r="D61" s="11" t="s">
        <v>155</v>
      </c>
      <c r="E61" s="13">
        <v>25431</v>
      </c>
    </row>
    <row r="62" spans="1:5">
      <c r="A62" s="12">
        <v>44927</v>
      </c>
      <c r="B62" s="11">
        <f t="shared" si="0"/>
        <v>2023</v>
      </c>
      <c r="C62" s="11">
        <f t="shared" si="1"/>
        <v>1</v>
      </c>
      <c r="D62" s="11" t="s">
        <v>299</v>
      </c>
      <c r="E62" s="13">
        <v>3496</v>
      </c>
    </row>
    <row r="63" spans="1:5">
      <c r="A63" s="12">
        <v>44928</v>
      </c>
      <c r="B63" s="11">
        <f t="shared" si="0"/>
        <v>2023</v>
      </c>
      <c r="C63" s="11">
        <f t="shared" si="1"/>
        <v>1</v>
      </c>
      <c r="D63" s="11" t="s">
        <v>300</v>
      </c>
      <c r="E63" s="13">
        <v>548</v>
      </c>
    </row>
    <row r="64" spans="1:5">
      <c r="A64" s="12">
        <v>44929</v>
      </c>
      <c r="B64" s="11">
        <f t="shared" si="0"/>
        <v>2023</v>
      </c>
      <c r="C64" s="11">
        <f t="shared" si="1"/>
        <v>1</v>
      </c>
      <c r="D64" s="11" t="s">
        <v>152</v>
      </c>
      <c r="E64" s="13">
        <v>257</v>
      </c>
    </row>
    <row r="65" spans="1:5">
      <c r="A65" s="12">
        <v>44930</v>
      </c>
      <c r="B65" s="11">
        <f t="shared" si="0"/>
        <v>2023</v>
      </c>
      <c r="C65" s="11">
        <f t="shared" si="1"/>
        <v>1</v>
      </c>
      <c r="D65" s="11" t="s">
        <v>153</v>
      </c>
      <c r="E65" s="13">
        <v>0</v>
      </c>
    </row>
    <row r="66" spans="1:5">
      <c r="A66" s="12">
        <v>44931</v>
      </c>
      <c r="B66" s="11">
        <f t="shared" si="0"/>
        <v>2023</v>
      </c>
      <c r="C66" s="11">
        <f t="shared" si="1"/>
        <v>1</v>
      </c>
      <c r="D66" s="11" t="s">
        <v>155</v>
      </c>
      <c r="E66" s="13">
        <v>0</v>
      </c>
    </row>
    <row r="67" spans="1:5">
      <c r="A67" s="12">
        <v>44958</v>
      </c>
      <c r="B67" s="11">
        <f t="shared" si="0"/>
        <v>2023</v>
      </c>
      <c r="C67" s="11">
        <f t="shared" si="1"/>
        <v>2</v>
      </c>
      <c r="D67" s="11" t="s">
        <v>299</v>
      </c>
      <c r="E67" s="13">
        <v>6583</v>
      </c>
    </row>
    <row r="68" spans="1:5">
      <c r="A68" s="12">
        <v>44959</v>
      </c>
      <c r="B68" s="11">
        <f t="shared" si="0"/>
        <v>2023</v>
      </c>
      <c r="C68" s="11">
        <f t="shared" si="1"/>
        <v>2</v>
      </c>
      <c r="D68" s="11" t="s">
        <v>300</v>
      </c>
      <c r="E68" s="13">
        <v>728</v>
      </c>
    </row>
    <row r="69" spans="1:5">
      <c r="A69" s="12">
        <v>44960</v>
      </c>
      <c r="B69" s="11">
        <f t="shared" si="0"/>
        <v>2023</v>
      </c>
      <c r="C69" s="11">
        <f t="shared" si="1"/>
        <v>2</v>
      </c>
      <c r="D69" s="11" t="s">
        <v>152</v>
      </c>
      <c r="E69" s="13">
        <v>482</v>
      </c>
    </row>
    <row r="70" spans="1:5">
      <c r="A70" s="12">
        <v>44961</v>
      </c>
      <c r="B70" s="11">
        <f t="shared" si="0"/>
        <v>2023</v>
      </c>
      <c r="C70" s="11">
        <f t="shared" si="1"/>
        <v>2</v>
      </c>
      <c r="D70" s="11" t="s">
        <v>153</v>
      </c>
      <c r="E70" s="13">
        <v>0</v>
      </c>
    </row>
    <row r="71" spans="1:5">
      <c r="A71" s="12">
        <v>44962</v>
      </c>
      <c r="B71" s="11">
        <f t="shared" si="0"/>
        <v>2023</v>
      </c>
      <c r="C71" s="11">
        <f t="shared" si="1"/>
        <v>2</v>
      </c>
      <c r="D71" s="11" t="s">
        <v>155</v>
      </c>
      <c r="E71" s="13">
        <v>0</v>
      </c>
    </row>
    <row r="72" spans="1:5">
      <c r="A72" s="12">
        <v>44986</v>
      </c>
      <c r="B72" s="11">
        <f t="shared" si="0"/>
        <v>2023</v>
      </c>
      <c r="C72" s="11">
        <f t="shared" si="1"/>
        <v>3</v>
      </c>
      <c r="D72" s="11" t="s">
        <v>299</v>
      </c>
      <c r="E72" s="13">
        <v>8317</v>
      </c>
    </row>
    <row r="73" spans="1:5">
      <c r="A73" s="12">
        <v>44987</v>
      </c>
      <c r="B73" s="11">
        <f t="shared" si="0"/>
        <v>2023</v>
      </c>
      <c r="C73" s="11">
        <f t="shared" si="1"/>
        <v>3</v>
      </c>
      <c r="D73" s="11" t="s">
        <v>300</v>
      </c>
      <c r="E73" s="13">
        <v>1650</v>
      </c>
    </row>
    <row r="74" spans="1:5">
      <c r="A74" s="12">
        <v>44988</v>
      </c>
      <c r="B74" s="11">
        <f t="shared" si="0"/>
        <v>2023</v>
      </c>
      <c r="C74" s="11">
        <f t="shared" si="1"/>
        <v>3</v>
      </c>
      <c r="D74" s="11" t="s">
        <v>152</v>
      </c>
      <c r="E74" s="13">
        <v>682</v>
      </c>
    </row>
    <row r="75" spans="1:5">
      <c r="A75" s="12">
        <v>44989</v>
      </c>
      <c r="B75" s="11">
        <f t="shared" si="0"/>
        <v>2023</v>
      </c>
      <c r="C75" s="11">
        <f t="shared" si="1"/>
        <v>3</v>
      </c>
      <c r="D75" s="11" t="s">
        <v>153</v>
      </c>
      <c r="E75" s="13">
        <v>0</v>
      </c>
    </row>
    <row r="76" spans="1:5">
      <c r="A76" s="12">
        <v>44990</v>
      </c>
      <c r="B76" s="11">
        <f t="shared" si="0"/>
        <v>2023</v>
      </c>
      <c r="C76" s="11">
        <f t="shared" si="1"/>
        <v>3</v>
      </c>
      <c r="D76" s="11" t="s">
        <v>155</v>
      </c>
      <c r="E76" s="13">
        <v>0</v>
      </c>
    </row>
    <row r="77" spans="1:5">
      <c r="A77" s="12">
        <v>45017</v>
      </c>
      <c r="B77" s="11">
        <f t="shared" si="0"/>
        <v>2023</v>
      </c>
      <c r="C77" s="11">
        <f t="shared" si="1"/>
        <v>4</v>
      </c>
      <c r="D77" s="11" t="s">
        <v>299</v>
      </c>
      <c r="E77" s="13">
        <v>9449</v>
      </c>
    </row>
    <row r="78" spans="1:5">
      <c r="A78" s="12">
        <v>45018</v>
      </c>
      <c r="B78" s="11">
        <f t="shared" si="0"/>
        <v>2023</v>
      </c>
      <c r="C78" s="11">
        <f t="shared" si="1"/>
        <v>4</v>
      </c>
      <c r="D78" s="11" t="s">
        <v>300</v>
      </c>
      <c r="E78" s="13">
        <v>1650</v>
      </c>
    </row>
    <row r="79" spans="1:5">
      <c r="A79" s="12">
        <v>45019</v>
      </c>
      <c r="B79" s="11">
        <f t="shared" si="0"/>
        <v>2023</v>
      </c>
      <c r="C79" s="11">
        <f t="shared" si="1"/>
        <v>4</v>
      </c>
      <c r="D79" s="11" t="s">
        <v>152</v>
      </c>
      <c r="E79" s="13">
        <v>715</v>
      </c>
    </row>
    <row r="80" spans="1:5">
      <c r="A80" s="12">
        <v>45020</v>
      </c>
      <c r="B80" s="11">
        <f t="shared" si="0"/>
        <v>2023</v>
      </c>
      <c r="C80" s="11">
        <f t="shared" si="1"/>
        <v>4</v>
      </c>
      <c r="D80" s="11" t="s">
        <v>153</v>
      </c>
      <c r="E80" s="13">
        <v>0</v>
      </c>
    </row>
    <row r="81" spans="1:5">
      <c r="A81" s="12">
        <v>45021</v>
      </c>
      <c r="B81" s="11">
        <f t="shared" si="0"/>
        <v>2023</v>
      </c>
      <c r="C81" s="11">
        <f t="shared" si="1"/>
        <v>4</v>
      </c>
      <c r="D81" s="11" t="s">
        <v>155</v>
      </c>
      <c r="E81" s="13">
        <v>0</v>
      </c>
    </row>
    <row r="82" spans="1:5">
      <c r="A82" s="12">
        <v>45047</v>
      </c>
      <c r="B82" s="11">
        <f t="shared" si="0"/>
        <v>2023</v>
      </c>
      <c r="C82" s="11">
        <f t="shared" si="1"/>
        <v>5</v>
      </c>
      <c r="D82" s="11" t="s">
        <v>299</v>
      </c>
      <c r="E82" s="13">
        <v>21205</v>
      </c>
    </row>
    <row r="83" spans="1:5">
      <c r="A83" s="12">
        <v>45048</v>
      </c>
      <c r="B83" s="11">
        <f t="shared" si="0"/>
        <v>2023</v>
      </c>
      <c r="C83" s="11">
        <f t="shared" si="1"/>
        <v>5</v>
      </c>
      <c r="D83" s="11" t="s">
        <v>300</v>
      </c>
      <c r="E83" s="13">
        <v>1650</v>
      </c>
    </row>
    <row r="84" spans="1:5">
      <c r="A84" s="12">
        <v>45049</v>
      </c>
      <c r="B84" s="11">
        <f t="shared" si="0"/>
        <v>2023</v>
      </c>
      <c r="C84" s="11">
        <f t="shared" si="1"/>
        <v>5</v>
      </c>
      <c r="D84" s="11" t="s">
        <v>152</v>
      </c>
      <c r="E84" s="13">
        <v>730</v>
      </c>
    </row>
    <row r="85" spans="1:5">
      <c r="A85" s="12">
        <v>45050</v>
      </c>
      <c r="B85" s="11">
        <f t="shared" si="0"/>
        <v>2023</v>
      </c>
      <c r="C85" s="11">
        <f t="shared" si="1"/>
        <v>5</v>
      </c>
      <c r="D85" s="11" t="s">
        <v>153</v>
      </c>
      <c r="E85" s="13">
        <v>730</v>
      </c>
    </row>
    <row r="86" spans="1:5">
      <c r="A86" s="12">
        <v>45051</v>
      </c>
      <c r="B86" s="11">
        <f t="shared" si="0"/>
        <v>2023</v>
      </c>
      <c r="C86" s="11">
        <f t="shared" si="1"/>
        <v>5</v>
      </c>
      <c r="D86" s="11" t="s">
        <v>155</v>
      </c>
      <c r="E86" s="13">
        <v>0</v>
      </c>
    </row>
    <row r="87" spans="1:5">
      <c r="A87" s="12">
        <v>45078</v>
      </c>
      <c r="B87" s="11">
        <f t="shared" si="0"/>
        <v>2023</v>
      </c>
      <c r="C87" s="11">
        <f t="shared" si="1"/>
        <v>6</v>
      </c>
      <c r="D87" s="11" t="s">
        <v>299</v>
      </c>
      <c r="E87" s="13">
        <v>24028</v>
      </c>
    </row>
    <row r="88" spans="1:5">
      <c r="A88" s="12">
        <v>45079</v>
      </c>
      <c r="B88" s="11">
        <f t="shared" si="0"/>
        <v>2023</v>
      </c>
      <c r="C88" s="11">
        <f t="shared" si="1"/>
        <v>6</v>
      </c>
      <c r="D88" s="11" t="s">
        <v>300</v>
      </c>
      <c r="E88" s="13">
        <v>3778</v>
      </c>
    </row>
    <row r="89" spans="1:5">
      <c r="A89" s="12">
        <v>45080</v>
      </c>
      <c r="B89" s="11">
        <f t="shared" si="0"/>
        <v>2023</v>
      </c>
      <c r="C89" s="11">
        <f t="shared" si="1"/>
        <v>6</v>
      </c>
      <c r="D89" s="11" t="s">
        <v>152</v>
      </c>
      <c r="E89" s="13">
        <v>858</v>
      </c>
    </row>
    <row r="90" spans="1:5">
      <c r="A90" s="12">
        <v>45081</v>
      </c>
      <c r="B90" s="11">
        <f t="shared" si="0"/>
        <v>2023</v>
      </c>
      <c r="C90" s="11">
        <f t="shared" si="1"/>
        <v>6</v>
      </c>
      <c r="D90" s="11" t="s">
        <v>153</v>
      </c>
      <c r="E90" s="13">
        <v>0</v>
      </c>
    </row>
    <row r="91" spans="1:5">
      <c r="A91" s="12">
        <v>45082</v>
      </c>
      <c r="B91" s="11">
        <f t="shared" si="0"/>
        <v>2023</v>
      </c>
      <c r="C91" s="11">
        <f t="shared" si="1"/>
        <v>6</v>
      </c>
      <c r="D91" s="11" t="s">
        <v>155</v>
      </c>
      <c r="E91" s="13">
        <v>0</v>
      </c>
    </row>
    <row r="92" spans="1:5">
      <c r="A92" s="12">
        <v>45108</v>
      </c>
      <c r="B92" s="11">
        <f t="shared" si="0"/>
        <v>2023</v>
      </c>
      <c r="C92" s="11">
        <f t="shared" si="1"/>
        <v>7</v>
      </c>
      <c r="D92" s="11" t="s">
        <v>299</v>
      </c>
      <c r="E92" s="13">
        <v>24075</v>
      </c>
    </row>
    <row r="93" spans="1:5">
      <c r="A93" s="12">
        <v>45109</v>
      </c>
      <c r="B93" s="11">
        <f t="shared" si="0"/>
        <v>2023</v>
      </c>
      <c r="C93" s="11">
        <f t="shared" si="1"/>
        <v>7</v>
      </c>
      <c r="D93" s="11" t="s">
        <v>300</v>
      </c>
      <c r="E93" s="13">
        <v>4875</v>
      </c>
    </row>
    <row r="94" spans="1:5">
      <c r="A94" s="12">
        <v>45110</v>
      </c>
      <c r="B94" s="11">
        <f t="shared" si="0"/>
        <v>2023</v>
      </c>
      <c r="C94" s="11">
        <f t="shared" si="1"/>
        <v>7</v>
      </c>
      <c r="D94" s="11" t="s">
        <v>152</v>
      </c>
      <c r="E94" s="13">
        <v>1468</v>
      </c>
    </row>
    <row r="95" spans="1:5">
      <c r="A95" s="12">
        <v>45111</v>
      </c>
      <c r="B95" s="11">
        <f t="shared" si="0"/>
        <v>2023</v>
      </c>
      <c r="C95" s="11">
        <f t="shared" si="1"/>
        <v>7</v>
      </c>
      <c r="D95" s="11" t="s">
        <v>153</v>
      </c>
      <c r="E95" s="13">
        <v>910</v>
      </c>
    </row>
    <row r="96" spans="1:5">
      <c r="A96" s="12">
        <v>45112</v>
      </c>
      <c r="B96" s="11">
        <f t="shared" si="0"/>
        <v>2023</v>
      </c>
      <c r="C96" s="11">
        <f t="shared" si="1"/>
        <v>7</v>
      </c>
      <c r="D96" s="11" t="s">
        <v>155</v>
      </c>
      <c r="E96" s="13">
        <v>164</v>
      </c>
    </row>
    <row r="97" spans="1:5">
      <c r="A97" s="12">
        <v>45139</v>
      </c>
      <c r="B97" s="11">
        <f t="shared" si="0"/>
        <v>2023</v>
      </c>
      <c r="C97" s="11">
        <f t="shared" si="1"/>
        <v>8</v>
      </c>
      <c r="D97" s="11" t="s">
        <v>299</v>
      </c>
      <c r="E97" s="13">
        <v>28179</v>
      </c>
    </row>
    <row r="98" spans="1:5">
      <c r="A98" s="12">
        <v>45140</v>
      </c>
      <c r="B98" s="11">
        <f t="shared" si="0"/>
        <v>2023</v>
      </c>
      <c r="C98" s="11">
        <f t="shared" si="1"/>
        <v>8</v>
      </c>
      <c r="D98" s="11" t="s">
        <v>300</v>
      </c>
      <c r="E98" s="13">
        <v>7515</v>
      </c>
    </row>
    <row r="99" spans="1:5">
      <c r="A99" s="12">
        <v>45141</v>
      </c>
      <c r="B99" s="11">
        <f t="shared" si="0"/>
        <v>2023</v>
      </c>
      <c r="C99" s="11">
        <f t="shared" si="1"/>
        <v>8</v>
      </c>
      <c r="D99" s="11" t="s">
        <v>152</v>
      </c>
      <c r="E99" s="13">
        <v>2013</v>
      </c>
    </row>
    <row r="100" spans="1:5">
      <c r="A100" s="12">
        <v>45142</v>
      </c>
      <c r="B100" s="11">
        <f t="shared" si="0"/>
        <v>2023</v>
      </c>
      <c r="C100" s="11">
        <f t="shared" si="1"/>
        <v>8</v>
      </c>
      <c r="D100" s="11" t="s">
        <v>153</v>
      </c>
      <c r="E100" s="13">
        <v>1039</v>
      </c>
    </row>
    <row r="101" spans="1:5">
      <c r="A101" s="12">
        <v>45143</v>
      </c>
      <c r="B101" s="11">
        <f t="shared" si="0"/>
        <v>2023</v>
      </c>
      <c r="C101" s="11">
        <f t="shared" si="1"/>
        <v>8</v>
      </c>
      <c r="D101" s="11" t="s">
        <v>155</v>
      </c>
      <c r="E101" s="13">
        <v>1026</v>
      </c>
    </row>
    <row r="102" spans="1:5">
      <c r="A102" s="12">
        <v>45170</v>
      </c>
      <c r="B102" s="11">
        <f t="shared" si="0"/>
        <v>2023</v>
      </c>
      <c r="C102" s="11">
        <f t="shared" si="1"/>
        <v>9</v>
      </c>
      <c r="D102" s="11" t="s">
        <v>299</v>
      </c>
      <c r="E102" s="13">
        <v>31025</v>
      </c>
    </row>
    <row r="103" spans="1:5">
      <c r="A103" s="12">
        <v>45171</v>
      </c>
      <c r="B103" s="11">
        <f t="shared" si="0"/>
        <v>2023</v>
      </c>
      <c r="C103" s="11">
        <f t="shared" si="1"/>
        <v>9</v>
      </c>
      <c r="D103" s="11" t="s">
        <v>300</v>
      </c>
      <c r="E103" s="13">
        <v>11363</v>
      </c>
    </row>
    <row r="104" spans="1:5">
      <c r="A104" s="12">
        <v>45172</v>
      </c>
      <c r="B104" s="11">
        <f t="shared" si="0"/>
        <v>2023</v>
      </c>
      <c r="C104" s="11">
        <f t="shared" si="1"/>
        <v>9</v>
      </c>
      <c r="D104" s="11" t="s">
        <v>152</v>
      </c>
      <c r="E104" s="13">
        <v>2020</v>
      </c>
    </row>
    <row r="105" spans="1:5">
      <c r="A105" s="12">
        <v>45173</v>
      </c>
      <c r="B105" s="11">
        <f t="shared" si="0"/>
        <v>2023</v>
      </c>
      <c r="C105" s="11">
        <f t="shared" si="1"/>
        <v>9</v>
      </c>
      <c r="D105" s="11" t="s">
        <v>153</v>
      </c>
      <c r="E105" s="13">
        <v>1039</v>
      </c>
    </row>
    <row r="106" spans="1:5">
      <c r="A106" s="12">
        <v>45174</v>
      </c>
      <c r="B106" s="11">
        <f t="shared" si="0"/>
        <v>2023</v>
      </c>
      <c r="C106" s="11">
        <f t="shared" si="1"/>
        <v>9</v>
      </c>
      <c r="D106" s="11" t="s">
        <v>155</v>
      </c>
      <c r="E106" s="13">
        <v>2107</v>
      </c>
    </row>
    <row r="107" spans="1:5">
      <c r="A107" s="15">
        <v>45200</v>
      </c>
      <c r="B107" s="11">
        <f t="shared" si="0"/>
        <v>2023</v>
      </c>
      <c r="C107" s="11">
        <f t="shared" si="1"/>
        <v>10</v>
      </c>
      <c r="D107" s="11" t="s">
        <v>299</v>
      </c>
      <c r="E107" s="13">
        <v>33045</v>
      </c>
    </row>
    <row r="108" spans="1:5">
      <c r="A108" s="15">
        <v>45201</v>
      </c>
      <c r="B108" s="11">
        <f t="shared" si="0"/>
        <v>2023</v>
      </c>
      <c r="C108" s="11">
        <f t="shared" si="1"/>
        <v>10</v>
      </c>
      <c r="D108" s="11" t="s">
        <v>300</v>
      </c>
      <c r="E108" s="13">
        <v>16145</v>
      </c>
    </row>
    <row r="109" spans="1:5">
      <c r="A109" s="15">
        <v>45202</v>
      </c>
      <c r="B109" s="11">
        <f t="shared" si="0"/>
        <v>2023</v>
      </c>
      <c r="C109" s="11">
        <f t="shared" si="1"/>
        <v>10</v>
      </c>
      <c r="D109" s="11" t="s">
        <v>152</v>
      </c>
      <c r="E109" s="13">
        <v>2129</v>
      </c>
    </row>
    <row r="110" spans="1:5">
      <c r="A110" s="15">
        <v>45203</v>
      </c>
      <c r="B110" s="11">
        <f t="shared" si="0"/>
        <v>2023</v>
      </c>
      <c r="C110" s="11">
        <f t="shared" si="1"/>
        <v>10</v>
      </c>
      <c r="D110" s="11" t="s">
        <v>153</v>
      </c>
      <c r="E110" s="13">
        <v>1333</v>
      </c>
    </row>
    <row r="111" spans="1:5">
      <c r="A111" s="15">
        <v>45204</v>
      </c>
      <c r="B111" s="11">
        <f t="shared" si="0"/>
        <v>2023</v>
      </c>
      <c r="C111" s="11">
        <f t="shared" si="1"/>
        <v>10</v>
      </c>
      <c r="D111" s="11" t="s">
        <v>155</v>
      </c>
      <c r="E111" s="13">
        <v>2107</v>
      </c>
    </row>
    <row r="112" spans="1:5">
      <c r="A112" s="15">
        <v>45231</v>
      </c>
      <c r="B112" s="11">
        <f t="shared" si="0"/>
        <v>2023</v>
      </c>
      <c r="C112" s="11">
        <f t="shared" si="1"/>
        <v>11</v>
      </c>
      <c r="D112" s="11" t="s">
        <v>299</v>
      </c>
      <c r="E112" s="13">
        <v>36194</v>
      </c>
    </row>
    <row r="113" spans="1:5">
      <c r="A113" s="15">
        <v>45232</v>
      </c>
      <c r="B113" s="11">
        <f t="shared" si="0"/>
        <v>2023</v>
      </c>
      <c r="C113" s="11">
        <f t="shared" si="1"/>
        <v>11</v>
      </c>
      <c r="D113" s="11" t="s">
        <v>300</v>
      </c>
      <c r="E113" s="13">
        <v>21009</v>
      </c>
    </row>
    <row r="114" spans="1:5">
      <c r="A114" s="15">
        <v>45233</v>
      </c>
      <c r="B114" s="11">
        <f t="shared" si="0"/>
        <v>2023</v>
      </c>
      <c r="C114" s="11">
        <f t="shared" si="1"/>
        <v>11</v>
      </c>
      <c r="D114" s="11" t="s">
        <v>152</v>
      </c>
      <c r="E114" s="13">
        <v>3162</v>
      </c>
    </row>
    <row r="115" spans="1:5">
      <c r="A115" s="15">
        <v>45234</v>
      </c>
      <c r="B115" s="11">
        <f t="shared" si="0"/>
        <v>2023</v>
      </c>
      <c r="C115" s="11">
        <f t="shared" si="1"/>
        <v>11</v>
      </c>
      <c r="D115" s="11" t="s">
        <v>153</v>
      </c>
      <c r="E115" s="13">
        <v>2451</v>
      </c>
    </row>
    <row r="116" spans="1:5">
      <c r="A116" s="15">
        <v>45235</v>
      </c>
      <c r="B116" s="11">
        <f t="shared" si="0"/>
        <v>2023</v>
      </c>
      <c r="C116" s="11">
        <f t="shared" si="1"/>
        <v>11</v>
      </c>
      <c r="D116" s="11" t="s">
        <v>155</v>
      </c>
      <c r="E116" s="13">
        <v>2107</v>
      </c>
    </row>
    <row r="117" spans="1:5">
      <c r="A117" s="15">
        <v>45261</v>
      </c>
      <c r="B117" s="11">
        <f t="shared" si="0"/>
        <v>2023</v>
      </c>
      <c r="C117" s="11">
        <f t="shared" si="1"/>
        <v>12</v>
      </c>
      <c r="D117" s="11" t="s">
        <v>299</v>
      </c>
      <c r="E117" s="13">
        <v>39247</v>
      </c>
    </row>
    <row r="118" spans="1:5">
      <c r="A118" s="15">
        <v>45262</v>
      </c>
      <c r="B118" s="11">
        <f t="shared" si="0"/>
        <v>2023</v>
      </c>
      <c r="C118" s="11">
        <f t="shared" si="1"/>
        <v>12</v>
      </c>
      <c r="D118" s="11" t="s">
        <v>300</v>
      </c>
      <c r="E118" s="13">
        <v>26392</v>
      </c>
    </row>
    <row r="119" spans="1:5">
      <c r="A119" s="15">
        <v>45263</v>
      </c>
      <c r="B119" s="11">
        <f t="shared" si="0"/>
        <v>2023</v>
      </c>
      <c r="C119" s="11">
        <f t="shared" si="1"/>
        <v>12</v>
      </c>
      <c r="D119" s="11" t="s">
        <v>152</v>
      </c>
      <c r="E119" s="13">
        <v>4257</v>
      </c>
    </row>
    <row r="120" spans="1:5">
      <c r="A120" s="15">
        <v>45264</v>
      </c>
      <c r="B120" s="11">
        <f t="shared" si="0"/>
        <v>2023</v>
      </c>
      <c r="C120" s="11">
        <f t="shared" si="1"/>
        <v>12</v>
      </c>
      <c r="D120" s="11" t="s">
        <v>153</v>
      </c>
      <c r="E120" s="13">
        <v>4048</v>
      </c>
    </row>
    <row r="121" spans="1:5">
      <c r="A121" s="15">
        <v>45265</v>
      </c>
      <c r="B121" s="11">
        <f t="shared" si="0"/>
        <v>2023</v>
      </c>
      <c r="C121" s="11">
        <f t="shared" si="1"/>
        <v>12</v>
      </c>
      <c r="D121" s="11" t="s">
        <v>155</v>
      </c>
      <c r="E121" s="13">
        <v>2506</v>
      </c>
    </row>
    <row r="122" spans="1:5">
      <c r="A122" s="12">
        <v>45292</v>
      </c>
      <c r="B122" s="11">
        <f t="shared" si="0"/>
        <v>2024</v>
      </c>
      <c r="C122" s="11">
        <f t="shared" si="1"/>
        <v>1</v>
      </c>
      <c r="D122" s="11" t="s">
        <v>299</v>
      </c>
      <c r="E122" s="13">
        <v>4338</v>
      </c>
    </row>
    <row r="123" spans="1:5">
      <c r="A123" s="12">
        <v>45293</v>
      </c>
      <c r="B123" s="11">
        <f t="shared" si="0"/>
        <v>2024</v>
      </c>
      <c r="C123" s="11">
        <f t="shared" si="1"/>
        <v>1</v>
      </c>
      <c r="D123" s="11" t="s">
        <v>300</v>
      </c>
      <c r="E123" s="13">
        <v>5559</v>
      </c>
    </row>
    <row r="124" spans="1:5">
      <c r="A124" s="12">
        <v>45294</v>
      </c>
      <c r="B124" s="11">
        <f t="shared" si="0"/>
        <v>2024</v>
      </c>
      <c r="C124" s="11">
        <f t="shared" si="1"/>
        <v>1</v>
      </c>
      <c r="D124" s="11" t="s">
        <v>152</v>
      </c>
      <c r="E124" s="13">
        <v>191</v>
      </c>
    </row>
    <row r="125" spans="1:5">
      <c r="A125" s="12">
        <v>45295</v>
      </c>
      <c r="B125" s="11">
        <f t="shared" si="0"/>
        <v>2024</v>
      </c>
      <c r="C125" s="11">
        <f t="shared" si="1"/>
        <v>1</v>
      </c>
      <c r="D125" s="11" t="s">
        <v>153</v>
      </c>
      <c r="E125" s="13">
        <v>1807</v>
      </c>
    </row>
    <row r="126" spans="1:5">
      <c r="A126" s="12">
        <v>45296</v>
      </c>
      <c r="B126" s="11">
        <f t="shared" si="0"/>
        <v>2024</v>
      </c>
      <c r="C126" s="11">
        <f t="shared" si="1"/>
        <v>1</v>
      </c>
      <c r="D126" s="11" t="s">
        <v>155</v>
      </c>
      <c r="E126" s="13">
        <v>0</v>
      </c>
    </row>
    <row r="127" spans="1:5">
      <c r="A127" s="12">
        <v>45323</v>
      </c>
      <c r="B127" s="11">
        <f t="shared" si="0"/>
        <v>2024</v>
      </c>
      <c r="C127" s="11">
        <f t="shared" si="1"/>
        <v>2</v>
      </c>
      <c r="D127" s="11" t="s">
        <v>299</v>
      </c>
      <c r="E127" s="13">
        <v>8389</v>
      </c>
    </row>
    <row r="128" spans="1:5">
      <c r="A128" s="12">
        <v>45324</v>
      </c>
      <c r="B128" s="11">
        <f t="shared" si="0"/>
        <v>2024</v>
      </c>
      <c r="C128" s="11">
        <f t="shared" si="1"/>
        <v>2</v>
      </c>
      <c r="D128" s="11" t="s">
        <v>300</v>
      </c>
      <c r="E128" s="13">
        <v>9159</v>
      </c>
    </row>
    <row r="129" spans="1:5">
      <c r="A129" s="12">
        <v>45325</v>
      </c>
      <c r="B129" s="11">
        <f t="shared" si="0"/>
        <v>2024</v>
      </c>
      <c r="C129" s="11">
        <f t="shared" si="1"/>
        <v>2</v>
      </c>
      <c r="D129" s="11" t="s">
        <v>152</v>
      </c>
      <c r="E129" s="13">
        <v>191</v>
      </c>
    </row>
    <row r="130" spans="1:5">
      <c r="A130" s="12">
        <v>45326</v>
      </c>
      <c r="B130" s="11">
        <f t="shared" si="0"/>
        <v>2024</v>
      </c>
      <c r="C130" s="11">
        <f t="shared" si="1"/>
        <v>2</v>
      </c>
      <c r="D130" s="11" t="s">
        <v>153</v>
      </c>
      <c r="E130" s="13">
        <v>0</v>
      </c>
    </row>
    <row r="131" spans="1:5">
      <c r="A131" s="12">
        <v>45327</v>
      </c>
      <c r="B131" s="11">
        <f t="shared" si="0"/>
        <v>2024</v>
      </c>
      <c r="C131" s="11">
        <f t="shared" si="1"/>
        <v>2</v>
      </c>
      <c r="D131" s="11" t="s">
        <v>155</v>
      </c>
      <c r="E131" s="13">
        <v>0</v>
      </c>
    </row>
    <row r="132" spans="1:5">
      <c r="A132" s="24" t="s">
        <v>31</v>
      </c>
      <c r="B132" s="11">
        <f t="shared" si="0"/>
        <v>2024</v>
      </c>
      <c r="C132" s="11">
        <f t="shared" si="1"/>
        <v>3</v>
      </c>
      <c r="D132" s="11" t="s">
        <v>150</v>
      </c>
      <c r="E132" s="13">
        <v>13983</v>
      </c>
    </row>
    <row r="133" spans="1:5">
      <c r="A133" s="24" t="s">
        <v>31</v>
      </c>
      <c r="B133" s="11">
        <f t="shared" si="0"/>
        <v>2024</v>
      </c>
      <c r="C133" s="11">
        <f t="shared" si="1"/>
        <v>3</v>
      </c>
      <c r="D133" s="11" t="s">
        <v>111</v>
      </c>
      <c r="E133" s="13">
        <v>11542</v>
      </c>
    </row>
    <row r="134" spans="1:5">
      <c r="A134" s="11" t="s">
        <v>31</v>
      </c>
      <c r="B134" s="11">
        <f t="shared" si="0"/>
        <v>2024</v>
      </c>
      <c r="C134" s="11">
        <f t="shared" si="1"/>
        <v>3</v>
      </c>
      <c r="D134" s="11" t="s">
        <v>119</v>
      </c>
      <c r="E134" s="13">
        <v>399</v>
      </c>
    </row>
    <row r="135" spans="1:5">
      <c r="A135" s="11" t="s">
        <v>31</v>
      </c>
      <c r="B135" s="11">
        <f t="shared" si="0"/>
        <v>2024</v>
      </c>
      <c r="C135" s="11">
        <f t="shared" si="1"/>
        <v>3</v>
      </c>
      <c r="D135" s="11" t="s">
        <v>152</v>
      </c>
      <c r="E135" s="13">
        <v>191</v>
      </c>
    </row>
    <row r="136" spans="1:5">
      <c r="A136" s="11" t="s">
        <v>31</v>
      </c>
      <c r="B136" s="11">
        <f t="shared" si="0"/>
        <v>2024</v>
      </c>
      <c r="C136" s="11">
        <f t="shared" si="1"/>
        <v>3</v>
      </c>
      <c r="D136" s="11" t="s">
        <v>301</v>
      </c>
      <c r="E136" s="13">
        <v>0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63"/>
  <sheetViews>
    <sheetView workbookViewId="0"/>
  </sheetViews>
  <sheetFormatPr defaultColWidth="12.5703125" defaultRowHeight="15.75" customHeight="1"/>
  <sheetData>
    <row r="1" spans="1:17">
      <c r="A1" s="11" t="s">
        <v>1</v>
      </c>
      <c r="B1" s="11" t="s">
        <v>2</v>
      </c>
      <c r="C1" s="11" t="s">
        <v>157</v>
      </c>
      <c r="D1" s="11" t="s">
        <v>158</v>
      </c>
      <c r="E1" s="11" t="s">
        <v>159</v>
      </c>
      <c r="F1" s="11" t="s">
        <v>302</v>
      </c>
      <c r="G1" s="11" t="s">
        <v>303</v>
      </c>
      <c r="H1" s="11" t="s">
        <v>163</v>
      </c>
      <c r="I1" s="11" t="s">
        <v>164</v>
      </c>
      <c r="J1" s="11" t="s">
        <v>304</v>
      </c>
      <c r="K1" s="11" t="s">
        <v>305</v>
      </c>
      <c r="L1" s="11" t="s">
        <v>53</v>
      </c>
      <c r="M1" s="11" t="s">
        <v>167</v>
      </c>
      <c r="N1" s="11" t="s">
        <v>306</v>
      </c>
      <c r="O1" s="11" t="s">
        <v>4</v>
      </c>
      <c r="P1" s="11" t="s">
        <v>169</v>
      </c>
    </row>
    <row r="2" spans="1:17">
      <c r="A2" s="11">
        <v>2024</v>
      </c>
      <c r="B2" s="11">
        <v>3</v>
      </c>
      <c r="C2" s="11" t="s">
        <v>24</v>
      </c>
      <c r="D2" s="11" t="s">
        <v>259</v>
      </c>
      <c r="E2" s="11" t="s">
        <v>261</v>
      </c>
      <c r="F2" s="11" t="s">
        <v>184</v>
      </c>
      <c r="G2" s="11">
        <v>1</v>
      </c>
      <c r="H2" s="11">
        <v>9</v>
      </c>
      <c r="I2" s="11">
        <v>15</v>
      </c>
      <c r="J2" s="11">
        <v>0.7</v>
      </c>
      <c r="K2" s="11">
        <v>59</v>
      </c>
      <c r="L2" s="11">
        <v>94</v>
      </c>
      <c r="M2" s="97">
        <v>0</v>
      </c>
      <c r="N2" s="11">
        <v>59</v>
      </c>
      <c r="O2" s="11">
        <v>94</v>
      </c>
      <c r="P2" s="11" t="s">
        <v>59</v>
      </c>
      <c r="Q2" s="11" t="str">
        <f>VLOOKUP(D2,'TOP SERVICES'!$F$2:$G$1215,2,FALSE)</f>
        <v>MYKLA-SGSIN-IDJKT-IDSUB-PGLAE-PGKIM-PGMTK- AUTSV-MYKLA</v>
      </c>
    </row>
    <row r="3" spans="1:17">
      <c r="A3" s="11">
        <v>2024</v>
      </c>
      <c r="B3" s="11">
        <v>3</v>
      </c>
      <c r="C3" s="11" t="s">
        <v>24</v>
      </c>
      <c r="D3" s="11" t="s">
        <v>262</v>
      </c>
      <c r="E3" s="11" t="s">
        <v>264</v>
      </c>
      <c r="F3" s="11" t="s">
        <v>184</v>
      </c>
      <c r="G3" s="11">
        <v>3</v>
      </c>
      <c r="H3" s="11">
        <v>19</v>
      </c>
      <c r="I3" s="11">
        <v>26</v>
      </c>
      <c r="J3" s="11">
        <v>1.1000000000000001</v>
      </c>
      <c r="K3" s="11">
        <v>103</v>
      </c>
      <c r="L3" s="11">
        <v>170</v>
      </c>
      <c r="M3" s="97">
        <v>1</v>
      </c>
      <c r="N3" s="11">
        <v>308</v>
      </c>
      <c r="O3" s="11">
        <v>509</v>
      </c>
      <c r="P3" s="11" t="s">
        <v>59</v>
      </c>
      <c r="Q3" s="11" t="str">
        <f>VLOOKUP(D3,'TOP SERVICES'!$F$2:$G$1215,2,FALSE)</f>
        <v>SGSIN-IDSUB-TLDIL-AUDRW-SGSIN</v>
      </c>
    </row>
    <row r="4" spans="1:17">
      <c r="A4" s="11">
        <v>2024</v>
      </c>
      <c r="B4" s="11">
        <v>3</v>
      </c>
      <c r="C4" s="11" t="s">
        <v>28</v>
      </c>
      <c r="D4" s="11" t="s">
        <v>265</v>
      </c>
      <c r="E4" s="11" t="s">
        <v>267</v>
      </c>
      <c r="F4" s="11" t="s">
        <v>184</v>
      </c>
      <c r="G4" s="11">
        <v>2</v>
      </c>
      <c r="H4" s="11">
        <v>11</v>
      </c>
      <c r="I4" s="11">
        <v>17</v>
      </c>
      <c r="J4" s="11">
        <v>1</v>
      </c>
      <c r="K4" s="11">
        <v>72</v>
      </c>
      <c r="L4" s="11">
        <v>123</v>
      </c>
      <c r="M4" s="97">
        <v>1</v>
      </c>
      <c r="N4" s="11">
        <v>144</v>
      </c>
      <c r="O4" s="11">
        <v>245</v>
      </c>
      <c r="P4" s="11" t="s">
        <v>59</v>
      </c>
      <c r="Q4" s="11" t="str">
        <f>VLOOKUP(D4,'TOP SERVICES'!$F$2:$G$1215,2,FALSE)</f>
        <v>SGSIN-IDSUB-TLDIL</v>
      </c>
    </row>
    <row r="5" spans="1:17">
      <c r="A5" s="11">
        <v>2024</v>
      </c>
      <c r="B5" s="11">
        <v>3</v>
      </c>
      <c r="C5" s="11" t="s">
        <v>7</v>
      </c>
      <c r="D5" s="11" t="s">
        <v>239</v>
      </c>
      <c r="E5" s="11" t="s">
        <v>241</v>
      </c>
      <c r="F5" s="11" t="s">
        <v>184</v>
      </c>
      <c r="G5" s="11">
        <v>1</v>
      </c>
      <c r="H5" s="11">
        <v>48</v>
      </c>
      <c r="I5" s="11">
        <v>24</v>
      </c>
      <c r="J5" s="11">
        <v>2</v>
      </c>
      <c r="K5" s="11">
        <v>1139</v>
      </c>
      <c r="L5" s="11">
        <v>1810</v>
      </c>
      <c r="M5" s="97">
        <v>0</v>
      </c>
      <c r="N5" s="13">
        <v>1139</v>
      </c>
      <c r="O5" s="13">
        <v>1810</v>
      </c>
      <c r="P5" s="11" t="s">
        <v>59</v>
      </c>
      <c r="Q5" s="11" t="str">
        <f>VLOOKUP(D5,'TOP SERVICES'!$F$2:$G$1215,2,FALSE)</f>
        <v>CNSGH-CNNBO-CNSTG-CNSHK-IDJKT-IDSUB-PHMNL South-PHMNL North-CNSGH</v>
      </c>
    </row>
    <row r="6" spans="1:17">
      <c r="A6" s="11">
        <v>2024</v>
      </c>
      <c r="B6" s="11">
        <v>3</v>
      </c>
      <c r="C6" s="11" t="s">
        <v>7</v>
      </c>
      <c r="D6" s="11" t="s">
        <v>220</v>
      </c>
      <c r="E6" s="11" t="s">
        <v>222</v>
      </c>
      <c r="F6" s="11" t="s">
        <v>184</v>
      </c>
      <c r="G6" s="11">
        <v>1</v>
      </c>
      <c r="H6" s="11">
        <v>48</v>
      </c>
      <c r="I6" s="11">
        <v>31</v>
      </c>
      <c r="J6" s="11">
        <v>1.7</v>
      </c>
      <c r="K6" s="11">
        <v>677</v>
      </c>
      <c r="L6" s="11">
        <v>1020</v>
      </c>
      <c r="M6" s="97">
        <v>1</v>
      </c>
      <c r="N6" s="11">
        <v>677</v>
      </c>
      <c r="O6" s="13">
        <v>1020</v>
      </c>
      <c r="P6" s="11" t="s">
        <v>59</v>
      </c>
      <c r="Q6" s="11" t="str">
        <f>VLOOKUP(D6,'TOP SERVICES'!$F$2:$G$1215,2,FALSE)</f>
        <v>HKHKG–CNNSH–CNSHK–IDSUB–IDSRG– IDJKT–MYKLA (North)–MYKLA (West)– HKHKG</v>
      </c>
    </row>
    <row r="7" spans="1:17">
      <c r="A7" s="11">
        <v>2024</v>
      </c>
      <c r="B7" s="11">
        <v>3</v>
      </c>
      <c r="C7" s="11" t="s">
        <v>7</v>
      </c>
      <c r="D7" s="11" t="s">
        <v>242</v>
      </c>
      <c r="E7" s="11" t="s">
        <v>244</v>
      </c>
      <c r="F7" s="11" t="s">
        <v>184</v>
      </c>
      <c r="G7" s="11">
        <v>4</v>
      </c>
      <c r="H7" s="11">
        <v>71</v>
      </c>
      <c r="I7" s="11">
        <v>32</v>
      </c>
      <c r="J7" s="11">
        <v>2.4</v>
      </c>
      <c r="K7" s="11">
        <v>1662</v>
      </c>
      <c r="L7" s="11">
        <v>2797</v>
      </c>
      <c r="M7" s="97">
        <v>0</v>
      </c>
      <c r="N7" s="13">
        <v>6648</v>
      </c>
      <c r="O7" s="13">
        <v>11188</v>
      </c>
      <c r="P7" s="11" t="s">
        <v>59</v>
      </c>
      <c r="Q7" s="11" t="str">
        <f>VLOOKUP(D7,'TOP SERVICES'!$F$2:$G$1215,2,FALSE)</f>
        <v>North South: CNLYG-CNQIN-CNNSH-MYTPP-SGSIN-IDJKT-IDSUB-PHDVO-CNSGH-CNDAL. East-West: CNYTN-CNNSH-CNCWN-HKHKG-PHMNL South-PHMNL North</v>
      </c>
    </row>
    <row r="8" spans="1:17">
      <c r="A8" s="11">
        <v>2024</v>
      </c>
      <c r="B8" s="11">
        <v>3</v>
      </c>
      <c r="C8" s="11" t="s">
        <v>7</v>
      </c>
      <c r="D8" s="11" t="s">
        <v>255</v>
      </c>
      <c r="E8" s="11" t="s">
        <v>257</v>
      </c>
      <c r="F8" s="11" t="s">
        <v>173</v>
      </c>
      <c r="G8" s="11">
        <v>2</v>
      </c>
      <c r="H8" s="11">
        <v>72</v>
      </c>
      <c r="I8" s="11">
        <v>34</v>
      </c>
      <c r="J8" s="11">
        <v>2.1</v>
      </c>
      <c r="K8" s="11">
        <v>2296</v>
      </c>
      <c r="L8" s="11">
        <v>3397</v>
      </c>
      <c r="M8" s="97">
        <v>0.5</v>
      </c>
      <c r="N8" s="13">
        <v>4591</v>
      </c>
      <c r="O8" s="13">
        <v>6794</v>
      </c>
      <c r="P8" s="11" t="s">
        <v>59</v>
      </c>
      <c r="Q8" s="11" t="str">
        <f>VLOOKUP(D8,'TOP SERVICES'!$F$2:$G$1215,2,FALSE)</f>
        <v>SGSIN-IDSRG-IDSUB-SGSIN</v>
      </c>
    </row>
    <row r="9" spans="1:17">
      <c r="A9" s="11">
        <v>2024</v>
      </c>
      <c r="B9" s="11">
        <v>3</v>
      </c>
      <c r="C9" s="11" t="s">
        <v>7</v>
      </c>
      <c r="D9" s="11" t="s">
        <v>258</v>
      </c>
      <c r="E9" s="11" t="s">
        <v>257</v>
      </c>
      <c r="F9" s="11" t="s">
        <v>200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97">
        <v>0</v>
      </c>
      <c r="N9" s="11">
        <v>0</v>
      </c>
      <c r="O9" s="11">
        <v>0</v>
      </c>
      <c r="P9" s="11" t="s">
        <v>59</v>
      </c>
      <c r="Q9" s="11" t="str">
        <f>VLOOKUP(D9,'TOP SERVICES'!$F$2:$G$1215,2,FALSE)</f>
        <v>SGSIN-IDSRG-IDSUB-SGSIN</v>
      </c>
    </row>
    <row r="10" spans="1:17">
      <c r="A10" s="11">
        <v>2024</v>
      </c>
      <c r="B10" s="11">
        <v>3</v>
      </c>
      <c r="C10" s="11" t="s">
        <v>79</v>
      </c>
      <c r="D10" s="11" t="s">
        <v>170</v>
      </c>
      <c r="E10" s="11" t="s">
        <v>172</v>
      </c>
      <c r="F10" s="11" t="s">
        <v>173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97">
        <v>0</v>
      </c>
      <c r="N10" s="11">
        <v>0</v>
      </c>
      <c r="O10" s="11">
        <v>0</v>
      </c>
      <c r="P10" s="11" t="s">
        <v>59</v>
      </c>
      <c r="Q10" s="11" t="str">
        <f>VLOOKUP(D10,'TOP SERVICES'!$F$2:$G$1215,2,FALSE)</f>
        <v>IDJKT-IDSUB-SGSIN-MYPGU-SGSIN-MYKLA</v>
      </c>
    </row>
    <row r="11" spans="1:17">
      <c r="A11" s="11">
        <v>2024</v>
      </c>
      <c r="B11" s="11">
        <v>3</v>
      </c>
      <c r="C11" s="11" t="s">
        <v>79</v>
      </c>
      <c r="D11" s="11" t="s">
        <v>174</v>
      </c>
      <c r="E11" s="11" t="s">
        <v>176</v>
      </c>
      <c r="F11" s="11" t="s">
        <v>173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97">
        <v>0</v>
      </c>
      <c r="N11" s="11">
        <v>0</v>
      </c>
      <c r="O11" s="11">
        <v>0</v>
      </c>
      <c r="P11" s="11" t="s">
        <v>59</v>
      </c>
      <c r="Q11" s="11" t="str">
        <f>VLOOKUP(D11,'TOP SERVICES'!$F$2:$G$1215,2,FALSE)</f>
        <v>SGSIN-IDSUB-SGSIN</v>
      </c>
    </row>
    <row r="12" spans="1:17">
      <c r="A12" s="11">
        <v>2024</v>
      </c>
      <c r="B12" s="11">
        <v>3</v>
      </c>
      <c r="C12" s="11" t="s">
        <v>79</v>
      </c>
      <c r="D12" s="11" t="s">
        <v>177</v>
      </c>
      <c r="E12" s="11" t="s">
        <v>176</v>
      </c>
      <c r="F12" s="11" t="s">
        <v>173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97">
        <v>0</v>
      </c>
      <c r="N12" s="11">
        <v>0</v>
      </c>
      <c r="O12" s="11">
        <v>0</v>
      </c>
      <c r="P12" s="11" t="s">
        <v>59</v>
      </c>
      <c r="Q12" s="11" t="str">
        <f>VLOOKUP(D12,'TOP SERVICES'!$F$2:$G$1215,2,FALSE)</f>
        <v>SGSIN-IDSUB-SGSIN</v>
      </c>
    </row>
    <row r="13" spans="1:17">
      <c r="A13" s="11">
        <v>2024</v>
      </c>
      <c r="B13" s="11">
        <v>3</v>
      </c>
      <c r="C13" s="11" t="s">
        <v>79</v>
      </c>
      <c r="D13" s="11" t="s">
        <v>242</v>
      </c>
      <c r="E13" s="11" t="s">
        <v>244</v>
      </c>
      <c r="F13" s="11" t="s">
        <v>184</v>
      </c>
      <c r="G13" s="11">
        <v>0</v>
      </c>
      <c r="H13" s="11" t="e">
        <v>#DIV/0!</v>
      </c>
      <c r="I13" s="11" t="e">
        <v>#DIV/0!</v>
      </c>
      <c r="J13" s="11" t="e">
        <v>#DIV/0!</v>
      </c>
      <c r="K13" s="11" t="e">
        <v>#DIV/0!</v>
      </c>
      <c r="L13" s="11" t="e">
        <v>#DIV/0!</v>
      </c>
      <c r="M13" s="11" t="e">
        <v>#DIV/0!</v>
      </c>
      <c r="N13" s="11">
        <v>0</v>
      </c>
      <c r="O13" s="11">
        <v>0</v>
      </c>
      <c r="P13" s="11" t="s">
        <v>59</v>
      </c>
      <c r="Q13" s="11" t="str">
        <f>VLOOKUP(D13,'TOP SERVICES'!$F$2:$G$1215,2,FALSE)</f>
        <v>North South: CNLYG-CNQIN-CNNSH-MYTPP-SGSIN-IDJKT-IDSUB-PHDVO-CNSGH-CNDAL. East-West: CNYTN-CNNSH-CNCWN-HKHKG-PHMNL South-PHMNL North</v>
      </c>
    </row>
    <row r="14" spans="1:17">
      <c r="A14" s="11">
        <v>2024</v>
      </c>
      <c r="B14" s="11">
        <v>3</v>
      </c>
      <c r="C14" s="11" t="s">
        <v>79</v>
      </c>
      <c r="D14" s="11" t="s">
        <v>255</v>
      </c>
      <c r="E14" s="11" t="s">
        <v>257</v>
      </c>
      <c r="F14" s="11" t="s">
        <v>173</v>
      </c>
      <c r="G14" s="11">
        <v>2</v>
      </c>
      <c r="H14" s="11">
        <v>91</v>
      </c>
      <c r="I14" s="11">
        <v>35</v>
      </c>
      <c r="J14" s="11">
        <v>2.8</v>
      </c>
      <c r="K14" s="11">
        <v>2656</v>
      </c>
      <c r="L14" s="11">
        <v>3787</v>
      </c>
      <c r="M14" s="97">
        <v>1</v>
      </c>
      <c r="N14" s="11">
        <v>5311</v>
      </c>
      <c r="O14" s="11">
        <v>7573</v>
      </c>
      <c r="P14" s="11" t="s">
        <v>59</v>
      </c>
      <c r="Q14" s="11" t="str">
        <f>VLOOKUP(D14,'TOP SERVICES'!$F$2:$G$1215,2,FALSE)</f>
        <v>SGSIN-IDSRG-IDSUB-SGSIN</v>
      </c>
    </row>
    <row r="15" spans="1:17">
      <c r="A15" s="11">
        <v>2024</v>
      </c>
      <c r="B15" s="11">
        <v>3</v>
      </c>
      <c r="C15" s="11" t="s">
        <v>79</v>
      </c>
      <c r="D15" s="11" t="s">
        <v>239</v>
      </c>
      <c r="G15" s="11">
        <v>1</v>
      </c>
      <c r="H15" s="11">
        <v>62</v>
      </c>
      <c r="I15" s="11">
        <v>35</v>
      </c>
      <c r="J15" s="11">
        <v>2</v>
      </c>
      <c r="K15" s="11">
        <v>1300</v>
      </c>
      <c r="L15" s="11">
        <v>2032</v>
      </c>
      <c r="M15" s="97">
        <v>0</v>
      </c>
      <c r="N15" s="11">
        <v>1300</v>
      </c>
      <c r="O15" s="11">
        <v>2032</v>
      </c>
      <c r="P15" s="11" t="s">
        <v>59</v>
      </c>
      <c r="Q15" s="11" t="str">
        <f>VLOOKUP(D15,'TOP SERVICES'!$F$2:$G$1215,2,FALSE)</f>
        <v>CNSGH-CNNBO-CNSTG-CNSHK-IDJKT-IDSUB-PHMNL South-PHMNL North-CNSGH</v>
      </c>
    </row>
    <row r="16" spans="1:17">
      <c r="A16" s="11">
        <v>2024</v>
      </c>
      <c r="B16" s="11">
        <v>3</v>
      </c>
      <c r="C16" s="11" t="s">
        <v>8</v>
      </c>
      <c r="D16" s="11" t="s">
        <v>181</v>
      </c>
      <c r="E16" s="11" t="s">
        <v>183</v>
      </c>
      <c r="F16" s="11" t="s">
        <v>184</v>
      </c>
      <c r="G16" s="11">
        <v>3</v>
      </c>
      <c r="H16" s="11">
        <v>56</v>
      </c>
      <c r="I16" s="11">
        <v>34</v>
      </c>
      <c r="J16" s="11">
        <v>1.9</v>
      </c>
      <c r="K16" s="11">
        <v>607</v>
      </c>
      <c r="L16" s="11">
        <v>972</v>
      </c>
      <c r="M16" s="97">
        <v>0.67</v>
      </c>
      <c r="N16" s="13">
        <v>1820</v>
      </c>
      <c r="O16" s="13">
        <v>2917</v>
      </c>
      <c r="P16" s="11" t="s">
        <v>59</v>
      </c>
      <c r="Q16" s="11" t="str">
        <f>VLOOKUP(D16,'TOP SERVICES'!$F$2:$G$1215,2,FALSE)</f>
        <v>CNNBO-CNSGH-HKHKG (Zhujiang)-CNSHK-IDSUB-IDSRG-IDJKT-SGSIN-THLCH-HKHKG-CNNBO</v>
      </c>
    </row>
    <row r="17" spans="1:17">
      <c r="A17" s="11">
        <v>2024</v>
      </c>
      <c r="B17" s="11">
        <v>3</v>
      </c>
      <c r="C17" s="11" t="s">
        <v>8</v>
      </c>
      <c r="D17" s="11" t="s">
        <v>185</v>
      </c>
      <c r="E17" s="11" t="s">
        <v>187</v>
      </c>
      <c r="F17" s="11" t="s">
        <v>184</v>
      </c>
      <c r="G17" s="11">
        <v>4</v>
      </c>
      <c r="H17" s="11">
        <v>64</v>
      </c>
      <c r="I17" s="11">
        <v>29</v>
      </c>
      <c r="J17" s="11">
        <v>2.5</v>
      </c>
      <c r="K17" s="11">
        <v>986</v>
      </c>
      <c r="L17" s="11">
        <v>1507</v>
      </c>
      <c r="M17" s="97">
        <v>0.5</v>
      </c>
      <c r="N17" s="13">
        <v>3942</v>
      </c>
      <c r="O17" s="13">
        <v>6026</v>
      </c>
      <c r="P17" s="11" t="s">
        <v>59</v>
      </c>
      <c r="Q17" s="11" t="str">
        <f>VLOOKUP(D17,'TOP SERVICES'!$F$2:$G$1215,2,FALSE)</f>
        <v>JPYOK-JPTYO-JPSMZ-JPNGO-JPUKB-TWTPE-TWKHH-PHMNL South-IDSUB-IDJKT-MYTPP-MYBTU-TWKHH</v>
      </c>
    </row>
    <row r="18" spans="1:17">
      <c r="A18" s="11">
        <v>2024</v>
      </c>
      <c r="B18" s="11">
        <v>3</v>
      </c>
      <c r="C18" s="11" t="s">
        <v>8</v>
      </c>
      <c r="D18" s="11" t="s">
        <v>188</v>
      </c>
      <c r="E18" s="11" t="s">
        <v>190</v>
      </c>
      <c r="F18" s="11" t="s">
        <v>184</v>
      </c>
      <c r="G18" s="11">
        <v>5</v>
      </c>
      <c r="H18" s="11">
        <v>42</v>
      </c>
      <c r="I18" s="11">
        <v>22</v>
      </c>
      <c r="J18" s="11">
        <v>2.1</v>
      </c>
      <c r="K18" s="11">
        <v>637</v>
      </c>
      <c r="L18" s="11">
        <v>1034</v>
      </c>
      <c r="M18" s="97">
        <v>0.4</v>
      </c>
      <c r="N18" s="13">
        <v>3183</v>
      </c>
      <c r="O18" s="13">
        <v>5170</v>
      </c>
      <c r="P18" s="11" t="s">
        <v>59</v>
      </c>
      <c r="Q18" s="11" t="str">
        <f>VLOOKUP(D18,'TOP SERVICES'!$F$2:$G$1215,2,FALSE)</f>
        <v>CNSHK-HKHKG-IDJKT-IDSRG-IDSUB-PHMNL South-TWKHH-TWTPE-JPYOK</v>
      </c>
    </row>
    <row r="19" spans="1:17">
      <c r="A19" s="11">
        <v>2024</v>
      </c>
      <c r="B19" s="11">
        <v>3</v>
      </c>
      <c r="C19" s="11" t="s">
        <v>8</v>
      </c>
      <c r="D19" s="11" t="s">
        <v>191</v>
      </c>
      <c r="E19" s="11" t="s">
        <v>193</v>
      </c>
      <c r="F19" s="11" t="s">
        <v>173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97">
        <v>0</v>
      </c>
      <c r="N19" s="11">
        <v>0</v>
      </c>
      <c r="O19" s="11">
        <v>0</v>
      </c>
      <c r="P19" s="11" t="s">
        <v>59</v>
      </c>
      <c r="Q19" s="11" t="str">
        <f>VLOOKUP(D19,'TOP SERVICES'!$F$2:$G$1215,2,FALSE)</f>
        <v>IDSUB-IDSRG-MYTPP-THLCH</v>
      </c>
    </row>
    <row r="20" spans="1:17">
      <c r="A20" s="11">
        <v>2024</v>
      </c>
      <c r="B20" s="11">
        <v>3</v>
      </c>
      <c r="C20" s="11" t="s">
        <v>8</v>
      </c>
      <c r="D20" s="11" t="s">
        <v>245</v>
      </c>
      <c r="E20" s="11" t="s">
        <v>247</v>
      </c>
      <c r="F20" s="11" t="s">
        <v>184</v>
      </c>
      <c r="G20" s="11">
        <v>4</v>
      </c>
      <c r="H20" s="11">
        <v>49</v>
      </c>
      <c r="I20" s="11">
        <v>28</v>
      </c>
      <c r="J20" s="11">
        <v>2</v>
      </c>
      <c r="K20" s="11">
        <v>2583</v>
      </c>
      <c r="L20" s="11">
        <v>3546</v>
      </c>
      <c r="M20" s="97">
        <v>0</v>
      </c>
      <c r="N20" s="13">
        <v>2583</v>
      </c>
      <c r="O20" s="13">
        <v>3546</v>
      </c>
      <c r="P20" s="11" t="s">
        <v>59</v>
      </c>
      <c r="Q20" s="11" t="str">
        <f>VLOOKUP(D20,'TOP SERVICES'!$F$2:$G$1215,2,FALSE)</f>
        <v>VNHPH-VNSGN-MYKLA West Port-MYTPP-IDJKT-IDSRG-IDSUB</v>
      </c>
    </row>
    <row r="21" spans="1:17">
      <c r="A21" s="11">
        <v>2024</v>
      </c>
      <c r="B21" s="11">
        <v>3</v>
      </c>
      <c r="C21" s="11" t="s">
        <v>20</v>
      </c>
      <c r="D21" s="11" t="s">
        <v>178</v>
      </c>
      <c r="E21" s="11" t="s">
        <v>180</v>
      </c>
      <c r="F21" s="11" t="s">
        <v>173</v>
      </c>
      <c r="G21" s="11">
        <v>1</v>
      </c>
      <c r="H21" s="11">
        <v>39</v>
      </c>
      <c r="I21" s="11">
        <v>21</v>
      </c>
      <c r="J21" s="11">
        <v>1.9</v>
      </c>
      <c r="K21" s="11">
        <v>893</v>
      </c>
      <c r="L21" s="11">
        <v>1225</v>
      </c>
      <c r="M21" s="97">
        <v>0</v>
      </c>
      <c r="N21" s="11">
        <v>893</v>
      </c>
      <c r="O21" s="13">
        <v>1225</v>
      </c>
      <c r="P21" s="11" t="s">
        <v>59</v>
      </c>
      <c r="Q21" s="11" t="str">
        <f>VLOOKUP(D21,'TOP SERVICES'!$F$2:$G$1215,2,FALSE)</f>
        <v>MYKLA-SGSIN-IDSRG-IDSUB-MYKLA- SGSIN-THBKK THSCS-THLCH</v>
      </c>
    </row>
    <row r="22" spans="1:17">
      <c r="A22" s="11">
        <v>2024</v>
      </c>
      <c r="B22" s="11">
        <v>3</v>
      </c>
      <c r="C22" s="11" t="s">
        <v>102</v>
      </c>
      <c r="D22" s="11" t="s">
        <v>288</v>
      </c>
      <c r="E22" s="11" t="s">
        <v>199</v>
      </c>
      <c r="F22" s="11" t="s">
        <v>200</v>
      </c>
      <c r="G22" s="11">
        <v>0</v>
      </c>
      <c r="H22" s="11" t="e">
        <v>#DIV/0!</v>
      </c>
      <c r="I22" s="11" t="e">
        <v>#DIV/0!</v>
      </c>
      <c r="J22" s="11" t="e">
        <v>#DIV/0!</v>
      </c>
      <c r="K22" s="11" t="e">
        <v>#DIV/0!</v>
      </c>
      <c r="L22" s="11" t="e">
        <v>#DIV/0!</v>
      </c>
      <c r="M22" s="11" t="e">
        <v>#DIV/0!</v>
      </c>
      <c r="N22" s="11">
        <v>0</v>
      </c>
      <c r="O22" s="11">
        <v>0</v>
      </c>
      <c r="P22" s="11" t="s">
        <v>59</v>
      </c>
      <c r="Q22" s="11" t="str">
        <f>VLOOKUP(D22,'TOP SERVICES'!$F$2:$G$1215,2,FALSE)</f>
        <v>Various route</v>
      </c>
    </row>
    <row r="23" spans="1:17">
      <c r="A23" s="11">
        <v>2024</v>
      </c>
      <c r="B23" s="11">
        <v>3</v>
      </c>
      <c r="C23" s="11" t="s">
        <v>104</v>
      </c>
      <c r="D23" s="11" t="s">
        <v>198</v>
      </c>
      <c r="E23" s="11" t="s">
        <v>199</v>
      </c>
      <c r="F23" s="11" t="s">
        <v>200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97">
        <v>0</v>
      </c>
      <c r="N23" s="11">
        <v>0</v>
      </c>
      <c r="O23" s="11">
        <v>0</v>
      </c>
      <c r="P23" s="11" t="s">
        <v>59</v>
      </c>
      <c r="Q23" s="11" t="str">
        <f>VLOOKUP(D23,'TOP SERVICES'!$F$2:$G$1215,2,FALSE)</f>
        <v>Various route</v>
      </c>
    </row>
    <row r="24" spans="1:17">
      <c r="A24" s="11">
        <v>2024</v>
      </c>
      <c r="B24" s="11">
        <v>3</v>
      </c>
      <c r="C24" s="11" t="s">
        <v>88</v>
      </c>
      <c r="D24" s="11" t="s">
        <v>195</v>
      </c>
      <c r="E24" s="11" t="s">
        <v>197</v>
      </c>
      <c r="F24" s="11" t="s">
        <v>184</v>
      </c>
      <c r="G24" s="11">
        <v>4</v>
      </c>
      <c r="H24" s="11">
        <v>37</v>
      </c>
      <c r="I24" s="11">
        <v>26</v>
      </c>
      <c r="J24" s="11">
        <v>1.6</v>
      </c>
      <c r="K24" s="11">
        <v>399</v>
      </c>
      <c r="L24" s="11">
        <v>571</v>
      </c>
      <c r="M24" s="97">
        <v>0</v>
      </c>
      <c r="N24" s="13">
        <v>1597</v>
      </c>
      <c r="O24" s="13">
        <v>2284</v>
      </c>
      <c r="P24" s="11" t="s">
        <v>59</v>
      </c>
      <c r="Q24" s="11" t="str">
        <f>VLOOKUP(D24,'TOP SERVICES'!$F$2:$G$1215,2,FALSE)</f>
        <v>KRPUS-KRKWA-CNSGH-CNNBO-HKHKG-IDJKT-IDSUB-VNSGN VNCLI-CNNBO-CNSGH-KRPUS</v>
      </c>
    </row>
    <row r="25" spans="1:17">
      <c r="A25" s="11">
        <v>2024</v>
      </c>
      <c r="B25" s="11">
        <v>3</v>
      </c>
      <c r="C25" s="11" t="s">
        <v>30</v>
      </c>
      <c r="D25" s="11" t="s">
        <v>205</v>
      </c>
      <c r="E25" s="11" t="s">
        <v>207</v>
      </c>
      <c r="F25" s="11" t="s">
        <v>184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97">
        <v>0</v>
      </c>
      <c r="N25" s="11">
        <v>0</v>
      </c>
      <c r="O25" s="11">
        <v>0</v>
      </c>
      <c r="P25" s="11" t="s">
        <v>59</v>
      </c>
      <c r="Q25" s="11" t="str">
        <f>VLOOKUP(D25,'TOP SERVICES'!$F$2:$G$1215,2,FALSE)</f>
        <v>IDJKT-IDSUB-MYKLA West-INNSA-AEJEA-LKCMB-SADMM-PKKHI-INMUN</v>
      </c>
    </row>
    <row r="26" spans="1:17">
      <c r="A26" s="11">
        <v>2024</v>
      </c>
      <c r="B26" s="11">
        <v>3</v>
      </c>
      <c r="C26" s="11" t="s">
        <v>93</v>
      </c>
      <c r="D26" s="11" t="s">
        <v>265</v>
      </c>
      <c r="E26" s="11" t="s">
        <v>267</v>
      </c>
      <c r="F26" s="11" t="s">
        <v>184</v>
      </c>
      <c r="G26" s="11">
        <v>1</v>
      </c>
      <c r="H26" s="11">
        <v>17</v>
      </c>
      <c r="I26" s="11">
        <v>26</v>
      </c>
      <c r="J26" s="11">
        <v>0.9</v>
      </c>
      <c r="K26" s="11">
        <v>72</v>
      </c>
      <c r="L26" s="11">
        <v>133</v>
      </c>
      <c r="M26" s="97">
        <v>1</v>
      </c>
      <c r="N26" s="11">
        <v>72</v>
      </c>
      <c r="O26" s="11">
        <v>133</v>
      </c>
      <c r="P26" s="11" t="s">
        <v>59</v>
      </c>
      <c r="Q26" s="11" t="str">
        <f>VLOOKUP(D26,'TOP SERVICES'!$F$2:$G$1215,2,FALSE)</f>
        <v>SGSIN-IDSUB-TLDIL</v>
      </c>
    </row>
    <row r="27" spans="1:17">
      <c r="A27" s="11">
        <v>2024</v>
      </c>
      <c r="B27" s="11">
        <v>3</v>
      </c>
      <c r="C27" s="11" t="s">
        <v>201</v>
      </c>
      <c r="D27" s="11" t="s">
        <v>248</v>
      </c>
      <c r="E27" s="11" t="s">
        <v>199</v>
      </c>
      <c r="F27" s="11" t="s">
        <v>200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97">
        <v>0</v>
      </c>
      <c r="N27" s="97">
        <v>0</v>
      </c>
      <c r="O27" s="97">
        <v>0</v>
      </c>
      <c r="P27" s="11" t="s">
        <v>59</v>
      </c>
      <c r="Q27" s="11" t="str">
        <f>VLOOKUP(D27,'TOP SERVICES'!$F$2:$G$1215,2,FALSE)</f>
        <v>Various route</v>
      </c>
    </row>
    <row r="28" spans="1:17">
      <c r="A28" s="11">
        <v>2024</v>
      </c>
      <c r="B28" s="11">
        <v>3</v>
      </c>
      <c r="C28" s="11" t="s">
        <v>116</v>
      </c>
      <c r="D28" s="11" t="s">
        <v>271</v>
      </c>
      <c r="E28" s="11" t="s">
        <v>199</v>
      </c>
      <c r="F28" s="11" t="s">
        <v>200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97">
        <v>0</v>
      </c>
      <c r="N28" s="11">
        <v>0</v>
      </c>
      <c r="O28" s="11">
        <v>0</v>
      </c>
      <c r="P28" s="11" t="s">
        <v>59</v>
      </c>
      <c r="Q28" s="11">
        <f>VLOOKUP(D28,'TOP SERVICES'!$F$2:$G$1215,2,FALSE)</f>
        <v>0</v>
      </c>
    </row>
    <row r="29" spans="1:17">
      <c r="A29" s="11">
        <v>2024</v>
      </c>
      <c r="B29" s="11">
        <v>3</v>
      </c>
      <c r="C29" s="11" t="s">
        <v>10</v>
      </c>
      <c r="D29" s="11" t="s">
        <v>208</v>
      </c>
      <c r="E29" s="11" t="s">
        <v>210</v>
      </c>
      <c r="F29" s="11" t="s">
        <v>173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97">
        <v>0</v>
      </c>
      <c r="N29" s="11">
        <v>0</v>
      </c>
      <c r="O29" s="11">
        <v>0</v>
      </c>
      <c r="P29" s="11" t="s">
        <v>59</v>
      </c>
      <c r="Q29" s="11" t="str">
        <f>VLOOKUP(D29,'TOP SERVICES'!$F$2:$G$1215,2,FALSE)</f>
        <v>SGSIN-MYTPP-IDJKT-IDSUB-SGSIN</v>
      </c>
    </row>
    <row r="30" spans="1:17">
      <c r="A30" s="11">
        <v>2024</v>
      </c>
      <c r="B30" s="11">
        <v>3</v>
      </c>
      <c r="C30" s="11" t="s">
        <v>10</v>
      </c>
      <c r="D30" s="11" t="s">
        <v>211</v>
      </c>
      <c r="E30" s="11" t="s">
        <v>213</v>
      </c>
      <c r="F30" s="11" t="s">
        <v>173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97">
        <v>0</v>
      </c>
      <c r="N30" s="11">
        <v>0</v>
      </c>
      <c r="O30" s="11">
        <v>0</v>
      </c>
      <c r="P30" s="11" t="s">
        <v>59</v>
      </c>
      <c r="Q30" s="11" t="str">
        <f>VLOOKUP(D30,'TOP SERVICES'!$F$2:$G$1215,2,FALSE)</f>
        <v>SGSIN-MYTPP-IDSRG-IDSUB</v>
      </c>
    </row>
    <row r="31" spans="1:17">
      <c r="A31" s="11">
        <v>2024</v>
      </c>
      <c r="B31" s="11">
        <v>3</v>
      </c>
      <c r="C31" s="11" t="s">
        <v>10</v>
      </c>
      <c r="D31" s="11" t="s">
        <v>214</v>
      </c>
      <c r="E31" s="11" t="s">
        <v>216</v>
      </c>
      <c r="F31" s="11" t="s">
        <v>184</v>
      </c>
      <c r="G31" s="11">
        <v>5</v>
      </c>
      <c r="H31" s="11">
        <v>45</v>
      </c>
      <c r="I31" s="11">
        <v>21</v>
      </c>
      <c r="J31" s="11">
        <v>2.2000000000000002</v>
      </c>
      <c r="K31" s="11">
        <v>1009</v>
      </c>
      <c r="L31" s="11">
        <v>1519</v>
      </c>
      <c r="M31" s="97">
        <v>1</v>
      </c>
      <c r="N31" s="13">
        <v>5044</v>
      </c>
      <c r="O31" s="13">
        <v>7593</v>
      </c>
      <c r="P31" s="11" t="s">
        <v>59</v>
      </c>
      <c r="Q31" s="11" t="str">
        <f>VLOOKUP(D31,'TOP SERVICES'!$F$2:$G$1215,2,FALSE)</f>
        <v>CNSGH-CNNBO-CNXAM-MYTPP-SGSIN-IDJKT-IDSUB-MYTPP-SGSIN-THLCH-VNVUT-CNSGH</v>
      </c>
    </row>
    <row r="32" spans="1:17">
      <c r="A32" s="11">
        <v>2024</v>
      </c>
      <c r="B32" s="11">
        <v>3</v>
      </c>
      <c r="C32" s="11" t="s">
        <v>10</v>
      </c>
      <c r="D32" s="11" t="s">
        <v>268</v>
      </c>
      <c r="E32" s="11" t="s">
        <v>270</v>
      </c>
      <c r="F32" s="11" t="s">
        <v>184</v>
      </c>
      <c r="G32" s="11">
        <v>6</v>
      </c>
      <c r="H32" s="11">
        <v>48</v>
      </c>
      <c r="I32" s="11">
        <v>28</v>
      </c>
      <c r="J32" s="11">
        <v>2</v>
      </c>
      <c r="K32" s="11">
        <v>788</v>
      </c>
      <c r="L32" s="11">
        <v>1155</v>
      </c>
      <c r="M32" s="97">
        <v>0.33</v>
      </c>
      <c r="N32" s="11">
        <v>4730</v>
      </c>
      <c r="O32" s="11">
        <v>6929</v>
      </c>
      <c r="P32" s="11" t="s">
        <v>59</v>
      </c>
      <c r="Q32" s="11" t="str">
        <f>VLOOKUP(D32,'TOP SERVICES'!$F$2:$G$1215,2,FALSE)</f>
        <v>CNSGH-CNNBO-THLCH-MYKLA-SGSIN-IDSUB-IDJKT-MYTPP-CNQZH-HKHKG-CNSGH</v>
      </c>
    </row>
    <row r="33" spans="1:17">
      <c r="A33" s="11">
        <v>2024</v>
      </c>
      <c r="B33" s="11">
        <v>3</v>
      </c>
      <c r="C33" s="11" t="s">
        <v>9</v>
      </c>
      <c r="D33" s="11" t="s">
        <v>217</v>
      </c>
      <c r="E33" s="11" t="s">
        <v>219</v>
      </c>
      <c r="F33" s="11" t="s">
        <v>184</v>
      </c>
      <c r="G33" s="11">
        <v>5</v>
      </c>
      <c r="H33" s="11">
        <v>60</v>
      </c>
      <c r="I33" s="11">
        <v>28</v>
      </c>
      <c r="J33" s="11">
        <v>2.2000000000000002</v>
      </c>
      <c r="K33" s="11">
        <v>1697</v>
      </c>
      <c r="L33" s="11">
        <v>2772</v>
      </c>
      <c r="M33" s="97">
        <v>0.6</v>
      </c>
      <c r="N33" s="13">
        <v>8485</v>
      </c>
      <c r="O33" s="13">
        <v>13858</v>
      </c>
      <c r="P33" s="11" t="s">
        <v>59</v>
      </c>
      <c r="Q33" s="11" t="str">
        <f>VLOOKUP(D33,'TOP SERVICES'!$F$2:$G$1215,2,FALSE)</f>
        <v>CNSGH-CNTXG-CNQIN-TWKEL-SGSIN-MYTPP-IDJKT-IDSUB-PHDVO-CNSGH</v>
      </c>
    </row>
    <row r="34" spans="1:17">
      <c r="A34" s="11">
        <v>2024</v>
      </c>
      <c r="B34" s="11">
        <v>3</v>
      </c>
      <c r="C34" s="11" t="s">
        <v>101</v>
      </c>
      <c r="D34" s="11" t="s">
        <v>249</v>
      </c>
      <c r="E34" s="11" t="s">
        <v>251</v>
      </c>
      <c r="F34" s="11" t="s">
        <v>184</v>
      </c>
      <c r="G34" s="11">
        <v>1</v>
      </c>
      <c r="H34" s="11">
        <v>0</v>
      </c>
      <c r="I34" s="11">
        <v>23</v>
      </c>
      <c r="J34" s="11">
        <v>2</v>
      </c>
      <c r="K34" s="11">
        <v>774</v>
      </c>
      <c r="L34" s="11">
        <v>1207</v>
      </c>
      <c r="M34" s="97">
        <v>0</v>
      </c>
      <c r="N34" s="11">
        <v>774</v>
      </c>
      <c r="O34" s="11">
        <v>1207</v>
      </c>
      <c r="P34" s="11" t="s">
        <v>59</v>
      </c>
      <c r="Q34" s="11" t="str">
        <f>VLOOKUP(D34,'TOP SERVICES'!$F$2:$G$1215,2,FALSE)</f>
        <v>IDJKT-IDSUB-CNSHK-CNXAM-KRPUS-CNQIN-CNSGH-CNNBO-IDJKT</v>
      </c>
    </row>
    <row r="35" spans="1:17">
      <c r="A35" s="11">
        <v>2024</v>
      </c>
      <c r="B35" s="11">
        <v>3</v>
      </c>
      <c r="C35" s="11" t="s">
        <v>11</v>
      </c>
      <c r="D35" s="11" t="s">
        <v>220</v>
      </c>
      <c r="E35" s="11" t="s">
        <v>222</v>
      </c>
      <c r="F35" s="11" t="s">
        <v>184</v>
      </c>
      <c r="G35" s="11">
        <v>2</v>
      </c>
      <c r="H35" s="11">
        <v>44</v>
      </c>
      <c r="I35" s="11">
        <v>23</v>
      </c>
      <c r="J35" s="11">
        <v>2</v>
      </c>
      <c r="K35" s="11">
        <v>794</v>
      </c>
      <c r="L35" s="11">
        <v>1213</v>
      </c>
      <c r="M35" s="97">
        <v>0</v>
      </c>
      <c r="N35" s="13">
        <v>1587</v>
      </c>
      <c r="O35" s="13">
        <v>2426</v>
      </c>
      <c r="P35" s="11" t="s">
        <v>59</v>
      </c>
      <c r="Q35" s="11" t="str">
        <f>VLOOKUP(D35,'TOP SERVICES'!$F$2:$G$1215,2,FALSE)</f>
        <v>HKHKG–CNNSH–CNSHK–IDSUB–IDSRG– IDJKT–MYKLA (North)–MYKLA (West)– HKHKG</v>
      </c>
    </row>
    <row r="36" spans="1:17">
      <c r="A36" s="11">
        <v>2024</v>
      </c>
      <c r="B36" s="11">
        <v>3</v>
      </c>
      <c r="C36" s="11" t="s">
        <v>11</v>
      </c>
      <c r="D36" s="11" t="s">
        <v>249</v>
      </c>
      <c r="E36" s="11" t="s">
        <v>251</v>
      </c>
      <c r="F36" s="11" t="s">
        <v>184</v>
      </c>
      <c r="G36" s="11">
        <v>1</v>
      </c>
      <c r="H36" s="11">
        <v>0</v>
      </c>
      <c r="I36" s="11">
        <v>0</v>
      </c>
      <c r="J36" s="11">
        <v>0</v>
      </c>
      <c r="K36" s="11">
        <v>990</v>
      </c>
      <c r="L36" s="11">
        <v>1412</v>
      </c>
      <c r="M36" s="11">
        <v>0</v>
      </c>
      <c r="N36" s="11">
        <v>990</v>
      </c>
      <c r="O36" s="11">
        <v>1412</v>
      </c>
      <c r="P36" s="11" t="s">
        <v>59</v>
      </c>
      <c r="Q36" s="11" t="str">
        <f>VLOOKUP(D36,'TOP SERVICES'!$F$2:$G$1215,2,FALSE)</f>
        <v>IDJKT-IDSUB-CNSHK-CNXAM-KRPUS-CNQIN-CNSGH-CNNBO-IDJKT</v>
      </c>
    </row>
    <row r="37" spans="1:17">
      <c r="A37" s="11">
        <v>2024</v>
      </c>
      <c r="B37" s="11">
        <v>3</v>
      </c>
      <c r="C37" s="11" t="s">
        <v>91</v>
      </c>
      <c r="D37" s="11" t="s">
        <v>178</v>
      </c>
      <c r="E37" s="11" t="s">
        <v>180</v>
      </c>
      <c r="F37" s="11" t="s">
        <v>173</v>
      </c>
      <c r="G37" s="11">
        <v>2</v>
      </c>
      <c r="H37" s="11">
        <v>44</v>
      </c>
      <c r="I37" s="11">
        <v>18</v>
      </c>
      <c r="J37" s="11">
        <v>2.5</v>
      </c>
      <c r="K37" s="11">
        <v>946</v>
      </c>
      <c r="L37" s="11" t="e">
        <v>#DIV/0!</v>
      </c>
      <c r="M37" s="97">
        <v>0</v>
      </c>
      <c r="N37" s="13">
        <v>1892</v>
      </c>
      <c r="O37" s="13">
        <v>2604</v>
      </c>
      <c r="P37" s="11" t="s">
        <v>59</v>
      </c>
      <c r="Q37" s="11" t="str">
        <f>VLOOKUP(D37,'TOP SERVICES'!$F$2:$G$1215,2,FALSE)</f>
        <v>MYKLA-SGSIN-IDSRG-IDSUB-MYKLA- SGSIN-THBKK THSCS-THLCH</v>
      </c>
    </row>
    <row r="38" spans="1:17">
      <c r="A38" s="11">
        <v>2024</v>
      </c>
      <c r="B38" s="11">
        <v>3</v>
      </c>
      <c r="C38" s="11" t="s">
        <v>91</v>
      </c>
      <c r="D38" s="11" t="s">
        <v>289</v>
      </c>
      <c r="E38" s="11" t="s">
        <v>241</v>
      </c>
      <c r="F38" s="11" t="s">
        <v>184</v>
      </c>
      <c r="G38" s="11">
        <v>1</v>
      </c>
      <c r="H38" s="11">
        <v>69</v>
      </c>
      <c r="I38" s="11">
        <v>30</v>
      </c>
      <c r="J38" s="11">
        <v>2</v>
      </c>
      <c r="K38" s="11">
        <v>1154</v>
      </c>
      <c r="L38" s="11">
        <v>1667</v>
      </c>
      <c r="M38" s="97">
        <v>0</v>
      </c>
      <c r="N38" s="11">
        <v>1154</v>
      </c>
      <c r="O38" s="11">
        <v>1667</v>
      </c>
      <c r="P38" s="11" t="s">
        <v>59</v>
      </c>
      <c r="Q38" s="11" t="str">
        <f>VLOOKUP(D38,'TOP SERVICES'!$F$2:$G$1215,2,FALSE)</f>
        <v>CNSGH-CNNBO-CNSTG-CNSHK-IDJKT-IDSUB-PHMNL South-PHMNL North-CNSGH</v>
      </c>
    </row>
    <row r="39" spans="1:17">
      <c r="A39" s="11">
        <v>2024</v>
      </c>
      <c r="B39" s="11">
        <v>3</v>
      </c>
      <c r="C39" s="11" t="s">
        <v>23</v>
      </c>
      <c r="D39" s="11" t="s">
        <v>223</v>
      </c>
      <c r="E39" s="11" t="s">
        <v>176</v>
      </c>
      <c r="F39" s="11" t="s">
        <v>173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97">
        <v>0</v>
      </c>
      <c r="N39" s="11">
        <v>0</v>
      </c>
      <c r="O39" s="11">
        <v>0</v>
      </c>
      <c r="P39" s="11" t="s">
        <v>59</v>
      </c>
      <c r="Q39" s="11" t="str">
        <f>VLOOKUP(D39,'TOP SERVICES'!$F$2:$G$1215,2,FALSE)</f>
        <v>SGSIN-IDSUB-SGSIN</v>
      </c>
    </row>
    <row r="40" spans="1:17">
      <c r="A40" s="11">
        <v>2024</v>
      </c>
      <c r="B40" s="11">
        <v>3</v>
      </c>
      <c r="C40" s="11" t="s">
        <v>23</v>
      </c>
      <c r="D40" s="11" t="s">
        <v>224</v>
      </c>
      <c r="E40" s="11" t="s">
        <v>107</v>
      </c>
      <c r="F40" s="11" t="s">
        <v>107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97">
        <v>0</v>
      </c>
      <c r="N40" s="11">
        <v>0</v>
      </c>
      <c r="O40" s="11">
        <v>0</v>
      </c>
      <c r="P40" s="11" t="s">
        <v>59</v>
      </c>
      <c r="Q40" s="11" t="str">
        <f>VLOOKUP(D40,'TOP SERVICES'!$F$2:$G$1215,2,FALSE)</f>
        <v>-</v>
      </c>
    </row>
    <row r="41" spans="1:17">
      <c r="A41" s="11">
        <v>2024</v>
      </c>
      <c r="B41" s="11">
        <v>3</v>
      </c>
      <c r="C41" s="11" t="s">
        <v>15</v>
      </c>
      <c r="D41" s="11" t="s">
        <v>225</v>
      </c>
      <c r="E41" s="11" t="s">
        <v>227</v>
      </c>
      <c r="F41" s="11" t="s">
        <v>173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97">
        <v>0</v>
      </c>
      <c r="N41" s="11">
        <v>0</v>
      </c>
      <c r="O41" s="11">
        <v>0</v>
      </c>
      <c r="P41" s="11" t="s">
        <v>59</v>
      </c>
      <c r="Q41" s="11" t="str">
        <f>VLOOKUP(D41,'TOP SERVICES'!$F$2:$G$1215,2,FALSE)</f>
        <v>SGSIN-IDSUB-SGSIN-MYKLA-MYNTL-MYKLA-SGSIN</v>
      </c>
    </row>
    <row r="42" spans="1:17">
      <c r="A42" s="11">
        <v>2024</v>
      </c>
      <c r="B42" s="11">
        <v>3</v>
      </c>
      <c r="C42" s="11" t="s">
        <v>15</v>
      </c>
      <c r="D42" s="11" t="s">
        <v>220</v>
      </c>
      <c r="E42" s="11" t="s">
        <v>222</v>
      </c>
      <c r="F42" s="11" t="s">
        <v>184</v>
      </c>
      <c r="G42" s="11">
        <v>1</v>
      </c>
      <c r="H42" s="11">
        <v>31</v>
      </c>
      <c r="I42" s="11">
        <v>20</v>
      </c>
      <c r="J42" s="11">
        <v>1</v>
      </c>
      <c r="K42" s="11">
        <v>815</v>
      </c>
      <c r="L42" s="11">
        <v>1195</v>
      </c>
      <c r="M42" s="97">
        <v>0</v>
      </c>
      <c r="N42" s="11">
        <v>815</v>
      </c>
      <c r="O42" s="11">
        <v>1195</v>
      </c>
      <c r="P42" s="11" t="s">
        <v>59</v>
      </c>
      <c r="Q42" s="11" t="str">
        <f>VLOOKUP(D42,'TOP SERVICES'!$F$2:$G$1215,2,FALSE)</f>
        <v>HKHKG–CNNSH–CNSHK–IDSUB–IDSRG– IDJKT–MYKLA (North)–MYKLA (West)– HKHKG</v>
      </c>
    </row>
    <row r="43" spans="1:17">
      <c r="A43" s="11">
        <v>2024</v>
      </c>
      <c r="B43" s="11">
        <v>3</v>
      </c>
      <c r="C43" s="11" t="s">
        <v>84</v>
      </c>
      <c r="D43" s="11" t="s">
        <v>228</v>
      </c>
      <c r="E43" s="11" t="s">
        <v>230</v>
      </c>
      <c r="F43" s="11" t="s">
        <v>184</v>
      </c>
      <c r="G43" s="11">
        <v>5</v>
      </c>
      <c r="H43" s="11">
        <v>31</v>
      </c>
      <c r="I43" s="11">
        <v>24</v>
      </c>
      <c r="J43" s="11">
        <v>1.6</v>
      </c>
      <c r="K43" s="11">
        <v>314</v>
      </c>
      <c r="L43" s="11">
        <v>479</v>
      </c>
      <c r="M43" s="97">
        <v>0.4</v>
      </c>
      <c r="N43" s="13">
        <v>1569</v>
      </c>
      <c r="O43" s="13">
        <v>2397</v>
      </c>
      <c r="P43" s="11" t="s">
        <v>59</v>
      </c>
      <c r="Q43" s="11" t="str">
        <f>VLOOKUP(D43,'TOP SERVICES'!$F$2:$G$1215,2,FALSE)</f>
        <v>IDJKT-IDSRG-IDSUB-IDMAK-PHBTG-CNSGH-CNXAM-CNSHK-CNNSH-MYBTU-IDJKT</v>
      </c>
    </row>
    <row r="44" spans="1:17">
      <c r="A44" s="11">
        <v>2024</v>
      </c>
      <c r="B44" s="11">
        <v>3</v>
      </c>
      <c r="C44" s="11" t="s">
        <v>84</v>
      </c>
      <c r="D44" s="11" t="s">
        <v>231</v>
      </c>
      <c r="E44" s="11" t="s">
        <v>233</v>
      </c>
      <c r="F44" s="11" t="s">
        <v>184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97">
        <v>0</v>
      </c>
      <c r="N44" s="11">
        <v>0</v>
      </c>
      <c r="O44" s="11">
        <v>0</v>
      </c>
      <c r="P44" s="11" t="s">
        <v>59</v>
      </c>
      <c r="Q44" s="11" t="str">
        <f>VLOOKUP(D44,'TOP SERVICES'!$F$2:$G$1215,2,FALSE)</f>
        <v>CNSHK-CNNSH-VNSGN-IDJKT-IDSRG- IDSUB-MYBTU-CNQGS-CNSHK</v>
      </c>
    </row>
    <row r="45" spans="1:17">
      <c r="A45" s="11">
        <v>2024</v>
      </c>
      <c r="B45" s="11">
        <v>3</v>
      </c>
      <c r="C45" s="11" t="s">
        <v>84</v>
      </c>
      <c r="D45" s="11" t="s">
        <v>249</v>
      </c>
      <c r="E45" s="11" t="s">
        <v>251</v>
      </c>
      <c r="F45" s="11" t="s">
        <v>184</v>
      </c>
      <c r="G45" s="11">
        <v>1</v>
      </c>
      <c r="H45" s="11">
        <v>40</v>
      </c>
      <c r="I45" s="11">
        <v>22</v>
      </c>
      <c r="J45" s="11">
        <v>1.6</v>
      </c>
      <c r="K45" s="11">
        <v>866</v>
      </c>
      <c r="L45" s="11">
        <v>1258</v>
      </c>
      <c r="M45" s="97">
        <v>0</v>
      </c>
      <c r="N45" s="11">
        <v>866</v>
      </c>
      <c r="O45" s="13">
        <v>1258</v>
      </c>
      <c r="P45" s="11" t="s">
        <v>59</v>
      </c>
      <c r="Q45" s="11" t="str">
        <f>VLOOKUP(D45,'TOP SERVICES'!$F$2:$G$1215,2,FALSE)</f>
        <v>IDJKT-IDSUB-CNSHK-CNXAM-KRPUS-CNQIN-CNSGH-CNNBO-IDJKT</v>
      </c>
    </row>
    <row r="46" spans="1:17">
      <c r="A46" s="11">
        <v>2024</v>
      </c>
      <c r="B46" s="11">
        <v>3</v>
      </c>
      <c r="C46" s="11" t="s">
        <v>22</v>
      </c>
      <c r="D46" s="11" t="s">
        <v>174</v>
      </c>
      <c r="E46" s="11" t="s">
        <v>176</v>
      </c>
      <c r="F46" s="11" t="s">
        <v>173</v>
      </c>
      <c r="G46" s="11">
        <v>4</v>
      </c>
      <c r="H46" s="11">
        <v>86</v>
      </c>
      <c r="I46" s="11">
        <v>36</v>
      </c>
      <c r="J46" s="11">
        <v>2.2999999999999998</v>
      </c>
      <c r="K46" s="11">
        <v>1900</v>
      </c>
      <c r="L46" s="11">
        <v>2854</v>
      </c>
      <c r="M46" s="97">
        <v>0</v>
      </c>
      <c r="N46" s="13">
        <v>7601</v>
      </c>
      <c r="O46" s="13">
        <v>11414</v>
      </c>
      <c r="P46" s="11" t="s">
        <v>59</v>
      </c>
      <c r="Q46" s="11" t="str">
        <f>VLOOKUP(D46,'TOP SERVICES'!$F$2:$G$1215,2,FALSE)</f>
        <v>SGSIN-IDSUB-SGSIN</v>
      </c>
    </row>
    <row r="47" spans="1:17">
      <c r="A47" s="11">
        <v>2024</v>
      </c>
      <c r="B47" s="11">
        <v>3</v>
      </c>
      <c r="C47" s="11" t="s">
        <v>22</v>
      </c>
      <c r="D47" s="11" t="s">
        <v>177</v>
      </c>
      <c r="E47" s="11" t="s">
        <v>176</v>
      </c>
      <c r="F47" s="11" t="s">
        <v>173</v>
      </c>
      <c r="G47" s="11">
        <v>4</v>
      </c>
      <c r="H47" s="11">
        <v>68</v>
      </c>
      <c r="I47" s="11">
        <v>30</v>
      </c>
      <c r="J47" s="11">
        <v>2</v>
      </c>
      <c r="K47" s="11">
        <v>1519</v>
      </c>
      <c r="L47" s="11">
        <v>2263</v>
      </c>
      <c r="M47" s="97">
        <v>0</v>
      </c>
      <c r="N47" s="13">
        <v>6074</v>
      </c>
      <c r="O47" s="13">
        <v>9051</v>
      </c>
      <c r="P47" s="11" t="s">
        <v>59</v>
      </c>
      <c r="Q47" s="11" t="str">
        <f>VLOOKUP(D47,'TOP SERVICES'!$F$2:$G$1215,2,FALSE)</f>
        <v>SGSIN-IDSUB-SGSIN</v>
      </c>
    </row>
    <row r="48" spans="1:17">
      <c r="A48" s="11">
        <v>2024</v>
      </c>
      <c r="B48" s="11">
        <v>3</v>
      </c>
      <c r="C48" s="11" t="s">
        <v>22</v>
      </c>
      <c r="D48" s="11" t="s">
        <v>223</v>
      </c>
      <c r="E48" s="11" t="s">
        <v>176</v>
      </c>
      <c r="F48" s="11" t="s">
        <v>173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97">
        <v>0</v>
      </c>
      <c r="N48" s="11">
        <v>0</v>
      </c>
      <c r="O48" s="11">
        <v>0</v>
      </c>
      <c r="P48" s="11" t="s">
        <v>59</v>
      </c>
      <c r="Q48" s="11" t="str">
        <f>VLOOKUP(D48,'TOP SERVICES'!$F$2:$G$1215,2,FALSE)</f>
        <v>SGSIN-IDSUB-SGSIN</v>
      </c>
    </row>
    <row r="49" spans="1:17">
      <c r="A49" s="11">
        <v>2024</v>
      </c>
      <c r="B49" s="11">
        <v>3</v>
      </c>
      <c r="C49" s="11" t="s">
        <v>22</v>
      </c>
      <c r="D49" s="11" t="s">
        <v>290</v>
      </c>
      <c r="E49" s="11" t="s">
        <v>199</v>
      </c>
      <c r="F49" s="11" t="s">
        <v>200</v>
      </c>
      <c r="G49" s="11">
        <v>0</v>
      </c>
      <c r="H49" s="11" t="e">
        <v>#DIV/0!</v>
      </c>
      <c r="I49" s="11" t="e">
        <v>#DIV/0!</v>
      </c>
      <c r="J49" s="11" t="e">
        <v>#DIV/0!</v>
      </c>
      <c r="K49" s="11" t="e">
        <v>#DIV/0!</v>
      </c>
      <c r="L49" s="11" t="e">
        <v>#DIV/0!</v>
      </c>
      <c r="M49" s="11" t="e">
        <v>#DIV/0!</v>
      </c>
      <c r="N49" s="11">
        <v>0</v>
      </c>
      <c r="O49" s="11">
        <v>0</v>
      </c>
      <c r="P49" s="11" t="s">
        <v>59</v>
      </c>
      <c r="Q49" s="11" t="str">
        <f>VLOOKUP(D49,'TOP SERVICES'!$F$2:$G$1215,2,FALSE)</f>
        <v>Various route</v>
      </c>
    </row>
    <row r="50" spans="1:17">
      <c r="A50" s="11">
        <v>2024</v>
      </c>
      <c r="B50" s="11">
        <v>3</v>
      </c>
      <c r="C50" s="11" t="s">
        <v>32</v>
      </c>
      <c r="D50" s="11" t="s">
        <v>249</v>
      </c>
      <c r="E50" s="11" t="s">
        <v>251</v>
      </c>
      <c r="F50" s="11" t="s">
        <v>184</v>
      </c>
      <c r="G50" s="11">
        <v>1</v>
      </c>
      <c r="H50" s="11">
        <v>34</v>
      </c>
      <c r="I50" s="11">
        <v>18</v>
      </c>
      <c r="J50" s="11">
        <v>2</v>
      </c>
      <c r="K50" s="11">
        <v>876</v>
      </c>
      <c r="L50" s="11">
        <v>1333</v>
      </c>
      <c r="M50" s="97">
        <v>0</v>
      </c>
      <c r="N50" s="11">
        <v>876</v>
      </c>
      <c r="O50" s="11">
        <v>1333</v>
      </c>
      <c r="P50" s="11" t="s">
        <v>59</v>
      </c>
      <c r="Q50" s="11" t="str">
        <f>VLOOKUP(D50,'TOP SERVICES'!$F$2:$G$1215,2,FALSE)</f>
        <v>IDJKT-IDSUB-CNSHK-CNXAM-KRPUS-CNQIN-CNSGH-CNNBO-IDJKT</v>
      </c>
    </row>
    <row r="51" spans="1:17">
      <c r="A51" s="11">
        <v>2024</v>
      </c>
      <c r="B51" s="11">
        <v>3</v>
      </c>
      <c r="C51" s="11" t="s">
        <v>12</v>
      </c>
      <c r="D51" s="11" t="s">
        <v>220</v>
      </c>
      <c r="E51" s="11" t="s">
        <v>222</v>
      </c>
      <c r="F51" s="11" t="s">
        <v>184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97">
        <v>0</v>
      </c>
      <c r="N51" s="11">
        <v>0</v>
      </c>
      <c r="O51" s="11">
        <v>0</v>
      </c>
      <c r="P51" s="11" t="s">
        <v>59</v>
      </c>
      <c r="Q51" s="11" t="str">
        <f>VLOOKUP(D51,'TOP SERVICES'!$F$2:$G$1215,2,FALSE)</f>
        <v>HKHKG–CNNSH–CNSHK–IDSUB–IDSRG– IDJKT–MYKLA (North)–MYKLA (West)– HKHKG</v>
      </c>
    </row>
    <row r="52" spans="1:17">
      <c r="A52" s="11">
        <v>2024</v>
      </c>
      <c r="B52" s="11">
        <v>3</v>
      </c>
      <c r="C52" s="11" t="s">
        <v>12</v>
      </c>
      <c r="D52" s="11" t="s">
        <v>234</v>
      </c>
      <c r="E52" s="11" t="s">
        <v>236</v>
      </c>
      <c r="F52" s="11" t="s">
        <v>184</v>
      </c>
      <c r="G52" s="11">
        <v>5</v>
      </c>
      <c r="H52" s="11">
        <v>39</v>
      </c>
      <c r="I52" s="11">
        <v>19</v>
      </c>
      <c r="J52" s="11">
        <v>2.1</v>
      </c>
      <c r="K52" s="11">
        <v>1047</v>
      </c>
      <c r="L52" s="11">
        <v>1638</v>
      </c>
      <c r="M52" s="97">
        <v>0.6</v>
      </c>
      <c r="N52" s="13">
        <v>5235</v>
      </c>
      <c r="O52" s="13">
        <v>8192</v>
      </c>
      <c r="P52" s="11" t="s">
        <v>59</v>
      </c>
      <c r="Q52" s="11" t="str">
        <f>VLOOKUP(D52,'TOP SERVICES'!$F$2:$G$1215,2,FALSE)</f>
        <v>IDJKT-IDSRG-IDSUB-TWKHH-TWTXG-TWKHH-TWTPE</v>
      </c>
    </row>
    <row r="53" spans="1:17">
      <c r="A53" s="11">
        <v>2024</v>
      </c>
      <c r="B53" s="11">
        <v>3</v>
      </c>
      <c r="C53" s="11" t="s">
        <v>12</v>
      </c>
      <c r="D53" s="11" t="s">
        <v>237</v>
      </c>
      <c r="E53" s="11" t="s">
        <v>199</v>
      </c>
      <c r="F53" s="11" t="s">
        <v>200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97">
        <v>0</v>
      </c>
      <c r="N53" s="11">
        <v>0</v>
      </c>
      <c r="O53" s="11">
        <v>0</v>
      </c>
      <c r="P53" s="11" t="s">
        <v>59</v>
      </c>
      <c r="Q53" s="11" t="str">
        <f>VLOOKUP(D53,'TOP SERVICES'!$F$2:$G$1215,2,FALSE)</f>
        <v>Various route</v>
      </c>
    </row>
    <row r="54" spans="1:17">
      <c r="A54" s="11">
        <v>2024</v>
      </c>
      <c r="B54" s="11">
        <v>3</v>
      </c>
      <c r="C54" s="11" t="s">
        <v>12</v>
      </c>
      <c r="D54" s="11" t="s">
        <v>252</v>
      </c>
      <c r="E54" s="11" t="s">
        <v>254</v>
      </c>
      <c r="F54" s="11" t="s">
        <v>184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97">
        <v>0</v>
      </c>
      <c r="N54" s="11">
        <v>0</v>
      </c>
      <c r="O54" s="11">
        <v>0</v>
      </c>
      <c r="P54" s="11" t="s">
        <v>59</v>
      </c>
      <c r="Q54" s="11" t="str">
        <f>VLOOKUP(D54,'TOP SERVICES'!$F$2:$G$1215,2,FALSE)</f>
        <v>IDSUB-SGSIN-MYKLA- INMUN-INNSA</v>
      </c>
    </row>
    <row r="55" spans="1:17">
      <c r="A55" s="11">
        <v>2024</v>
      </c>
      <c r="B55" s="11">
        <v>3</v>
      </c>
      <c r="C55" s="11" t="s">
        <v>26</v>
      </c>
      <c r="D55" s="11" t="s">
        <v>238</v>
      </c>
      <c r="E55" s="11" t="s">
        <v>176</v>
      </c>
      <c r="F55" s="11" t="s">
        <v>173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97">
        <v>0</v>
      </c>
      <c r="N55" s="11">
        <v>0</v>
      </c>
      <c r="O55" s="11">
        <v>0</v>
      </c>
      <c r="P55" s="11" t="s">
        <v>59</v>
      </c>
      <c r="Q55" s="11" t="str">
        <f>VLOOKUP(D55,'TOP SERVICES'!$F$2:$G$1215,2,FALSE)</f>
        <v>SGSIN-IDSUB-SGSIN</v>
      </c>
    </row>
    <row r="56" spans="1:17">
      <c r="A56" s="11">
        <v>2024</v>
      </c>
      <c r="B56" s="11">
        <v>3</v>
      </c>
      <c r="C56" s="11" t="s">
        <v>19</v>
      </c>
      <c r="D56" s="11" t="s">
        <v>178</v>
      </c>
      <c r="E56" s="11" t="s">
        <v>180</v>
      </c>
      <c r="F56" s="11" t="s">
        <v>173</v>
      </c>
      <c r="G56" s="11">
        <v>0</v>
      </c>
      <c r="H56" s="11" t="e">
        <v>#DIV/0!</v>
      </c>
      <c r="I56" s="11" t="e">
        <v>#DIV/0!</v>
      </c>
      <c r="J56" s="11" t="e">
        <v>#DIV/0!</v>
      </c>
      <c r="K56" s="11" t="e">
        <v>#DIV/0!</v>
      </c>
      <c r="L56" s="11" t="e">
        <v>#DIV/0!</v>
      </c>
      <c r="M56" s="11" t="e">
        <v>#DIV/0!</v>
      </c>
      <c r="N56" s="11">
        <v>0</v>
      </c>
      <c r="O56" s="11">
        <v>0</v>
      </c>
      <c r="P56" s="11" t="s">
        <v>59</v>
      </c>
      <c r="Q56" s="11" t="str">
        <f>VLOOKUP(D56,'TOP SERVICES'!$F$2:$G$1215,2,FALSE)</f>
        <v>MYKLA-SGSIN-IDSRG-IDSUB-MYKLA- SGSIN-THBKK THSCS-THLCH</v>
      </c>
    </row>
    <row r="57" spans="1:17">
      <c r="A57" s="11">
        <v>2024</v>
      </c>
      <c r="B57" s="11">
        <v>3</v>
      </c>
      <c r="C57" s="11" t="s">
        <v>7</v>
      </c>
      <c r="D57" s="11" t="s">
        <v>272</v>
      </c>
      <c r="E57" s="11" t="s">
        <v>274</v>
      </c>
      <c r="F57" s="11" t="s">
        <v>173</v>
      </c>
      <c r="G57" s="11" t="s">
        <v>107</v>
      </c>
      <c r="H57" s="11" t="s">
        <v>107</v>
      </c>
      <c r="I57" s="11" t="s">
        <v>107</v>
      </c>
      <c r="J57" s="11" t="s">
        <v>107</v>
      </c>
      <c r="K57" s="11" t="s">
        <v>107</v>
      </c>
      <c r="L57" s="11" t="s">
        <v>107</v>
      </c>
      <c r="M57" s="97">
        <v>0</v>
      </c>
      <c r="N57" s="11" t="s">
        <v>107</v>
      </c>
      <c r="O57" s="11" t="s">
        <v>107</v>
      </c>
      <c r="P57" s="11" t="s">
        <v>278</v>
      </c>
      <c r="Q57" s="11" t="str">
        <f>VLOOKUP(D57,'TOP SERVICES'!$F$2:$G$1215,2,FALSE)</f>
        <v>SGSIN-IDSRG-IDSUB-SGSIN</v>
      </c>
    </row>
    <row r="58" spans="1:17">
      <c r="A58" s="11">
        <v>2024</v>
      </c>
      <c r="B58" s="11">
        <v>3</v>
      </c>
      <c r="C58" s="11" t="s">
        <v>111</v>
      </c>
      <c r="D58" s="11" t="s">
        <v>275</v>
      </c>
      <c r="E58" s="11" t="s">
        <v>277</v>
      </c>
      <c r="F58" s="11" t="s">
        <v>184</v>
      </c>
      <c r="G58" s="11">
        <v>6</v>
      </c>
      <c r="H58" s="11">
        <v>20</v>
      </c>
      <c r="I58" s="11">
        <v>20</v>
      </c>
      <c r="J58" s="11">
        <v>1.1599999999999999</v>
      </c>
      <c r="K58" s="11">
        <v>373</v>
      </c>
      <c r="L58" s="11">
        <v>407</v>
      </c>
      <c r="M58" s="97">
        <v>1</v>
      </c>
      <c r="N58" s="13">
        <v>2237</v>
      </c>
      <c r="O58" s="13">
        <v>2439</v>
      </c>
      <c r="P58" s="11" t="s">
        <v>278</v>
      </c>
      <c r="Q58" s="11" t="str">
        <f>VLOOKUP(D58,'TOP SERVICES'!$F$2:$G$1215,2,FALSE)</f>
        <v>IDSUB - IDJKT - IDMAK - IDPAL</v>
      </c>
    </row>
    <row r="59" spans="1:17">
      <c r="A59" s="11">
        <v>2024</v>
      </c>
      <c r="B59" s="11">
        <v>3</v>
      </c>
      <c r="C59" s="11" t="s">
        <v>113</v>
      </c>
      <c r="D59" s="11" t="s">
        <v>279</v>
      </c>
      <c r="E59" s="11" t="s">
        <v>280</v>
      </c>
      <c r="F59" s="11" t="s">
        <v>184</v>
      </c>
      <c r="G59" s="11">
        <v>14</v>
      </c>
      <c r="H59" s="11">
        <v>18</v>
      </c>
      <c r="I59" s="11">
        <v>28</v>
      </c>
      <c r="J59" s="11">
        <v>0.79</v>
      </c>
      <c r="K59" s="11">
        <v>355</v>
      </c>
      <c r="L59" s="11">
        <v>400</v>
      </c>
      <c r="M59" s="97">
        <v>0.98</v>
      </c>
      <c r="N59" s="13">
        <v>4976</v>
      </c>
      <c r="O59" s="13">
        <v>5601</v>
      </c>
      <c r="P59" s="11" t="s">
        <v>278</v>
      </c>
      <c r="Q59" s="11" t="str">
        <f>VLOOKUP(D59,'TOP SERVICES'!$F$2:$G$1215,2,FALSE)</f>
        <v>Various POO</v>
      </c>
    </row>
    <row r="60" spans="1:17">
      <c r="A60" s="11">
        <v>2024</v>
      </c>
      <c r="B60" s="11">
        <v>3</v>
      </c>
      <c r="C60" s="11" t="s">
        <v>153</v>
      </c>
      <c r="D60" s="11" t="s">
        <v>281</v>
      </c>
      <c r="E60" s="11" t="s">
        <v>283</v>
      </c>
      <c r="F60" s="11" t="s">
        <v>173</v>
      </c>
      <c r="G60" s="11" t="s">
        <v>107</v>
      </c>
      <c r="H60" s="11" t="s">
        <v>107</v>
      </c>
      <c r="I60" s="11" t="s">
        <v>107</v>
      </c>
      <c r="J60" s="11" t="s">
        <v>107</v>
      </c>
      <c r="K60" s="11" t="s">
        <v>107</v>
      </c>
      <c r="L60" s="11" t="s">
        <v>107</v>
      </c>
      <c r="M60" s="97">
        <v>0</v>
      </c>
      <c r="N60" s="11" t="s">
        <v>107</v>
      </c>
      <c r="O60" s="11" t="s">
        <v>107</v>
      </c>
      <c r="P60" s="11" t="s">
        <v>278</v>
      </c>
      <c r="Q60" s="11" t="str">
        <f>VLOOKUP(D60,'TOP SERVICES'!$F$2:$G$1215,2,FALSE)</f>
        <v>IDSUB - IDMAK</v>
      </c>
    </row>
    <row r="61" spans="1:17">
      <c r="A61" s="11">
        <v>2024</v>
      </c>
      <c r="B61" s="11">
        <v>3</v>
      </c>
      <c r="C61" s="11" t="s">
        <v>117</v>
      </c>
      <c r="D61" s="11" t="s">
        <v>117</v>
      </c>
      <c r="F61" s="11" t="s">
        <v>184</v>
      </c>
      <c r="G61" s="11">
        <v>2</v>
      </c>
      <c r="H61" s="11">
        <v>15</v>
      </c>
      <c r="I61" s="11">
        <v>23</v>
      </c>
      <c r="J61" s="11">
        <v>0.87</v>
      </c>
      <c r="K61" s="11">
        <v>169</v>
      </c>
      <c r="L61" s="11">
        <v>200</v>
      </c>
      <c r="M61" s="97">
        <v>1</v>
      </c>
      <c r="N61" s="11">
        <v>338</v>
      </c>
      <c r="O61" s="11">
        <v>399</v>
      </c>
      <c r="P61" s="11" t="s">
        <v>278</v>
      </c>
      <c r="Q61" s="11">
        <f>VLOOKUP(D61,'TOP SERVICES'!$F$2:$G$1215,2,FALSE)</f>
        <v>0</v>
      </c>
    </row>
    <row r="62" spans="1:17">
      <c r="A62" s="11">
        <v>2024</v>
      </c>
      <c r="B62" s="11">
        <v>3</v>
      </c>
      <c r="C62" s="11" t="s">
        <v>152</v>
      </c>
      <c r="D62" s="11" t="s">
        <v>284</v>
      </c>
      <c r="E62" s="11" t="s">
        <v>286</v>
      </c>
      <c r="F62" s="11" t="s">
        <v>184</v>
      </c>
      <c r="G62" s="11">
        <v>1</v>
      </c>
      <c r="H62" s="11">
        <v>12</v>
      </c>
      <c r="I62" s="11">
        <v>23</v>
      </c>
      <c r="J62" s="11">
        <v>1</v>
      </c>
      <c r="K62" s="11">
        <v>35</v>
      </c>
      <c r="L62" s="11">
        <v>54</v>
      </c>
      <c r="M62" s="97">
        <v>1</v>
      </c>
      <c r="N62" s="11">
        <v>35</v>
      </c>
      <c r="O62" s="11">
        <v>54</v>
      </c>
      <c r="P62" s="11" t="s">
        <v>278</v>
      </c>
      <c r="Q62" s="11" t="str">
        <f>VLOOKUP(D62,'TOP SERVICES'!$F$2:$G$1215,2,FALSE)</f>
        <v>IDSUB - IDBNA</v>
      </c>
    </row>
    <row r="63" spans="1:17">
      <c r="A63" s="11">
        <v>2024</v>
      </c>
      <c r="B63" s="11">
        <v>3</v>
      </c>
      <c r="C63" s="11" t="s">
        <v>118</v>
      </c>
      <c r="D63" s="11" t="s">
        <v>287</v>
      </c>
      <c r="E63" s="11" t="s">
        <v>283</v>
      </c>
      <c r="G63" s="11">
        <v>2</v>
      </c>
      <c r="H63" s="11">
        <v>11</v>
      </c>
      <c r="I63" s="11">
        <v>24</v>
      </c>
      <c r="J63" s="11">
        <v>1</v>
      </c>
      <c r="K63" s="11">
        <v>71</v>
      </c>
      <c r="L63" s="11">
        <v>77</v>
      </c>
      <c r="M63" s="97">
        <v>0</v>
      </c>
      <c r="N63" s="11">
        <v>141</v>
      </c>
      <c r="O63" s="11">
        <v>154</v>
      </c>
      <c r="P63" s="11" t="s">
        <v>278</v>
      </c>
      <c r="Q63" s="11" t="str">
        <f>VLOOKUP(D63,'TOP SERVICES'!$F$2:$G$1215,2,FALSE)</f>
        <v>IDSUB - IDMAK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47D"/>
    <outlinePr summaryBelow="0" summaryRight="0"/>
  </sheetPr>
  <dimension ref="A1:I5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7" max="7" width="15.5703125" customWidth="1"/>
  </cols>
  <sheetData>
    <row r="1" spans="1:9">
      <c r="A1" s="11" t="s">
        <v>57</v>
      </c>
      <c r="B1" s="11" t="s">
        <v>1</v>
      </c>
      <c r="C1" s="11" t="s">
        <v>2</v>
      </c>
      <c r="D1" s="11" t="s">
        <v>3</v>
      </c>
      <c r="E1" s="11" t="s">
        <v>62</v>
      </c>
      <c r="F1" s="11" t="s">
        <v>63</v>
      </c>
      <c r="G1" s="11" t="s">
        <v>64</v>
      </c>
      <c r="H1" s="11" t="s">
        <v>65</v>
      </c>
      <c r="I1" s="11" t="s">
        <v>66</v>
      </c>
    </row>
    <row r="2" spans="1:9">
      <c r="A2" s="12">
        <v>44927</v>
      </c>
      <c r="B2" s="11">
        <f t="shared" ref="B2:B421" si="0">YEAR(A2)</f>
        <v>2023</v>
      </c>
      <c r="C2" s="11">
        <f t="shared" ref="C2:C16" si="1">MONTH(A2)</f>
        <v>1</v>
      </c>
      <c r="D2" s="11" t="s">
        <v>8</v>
      </c>
      <c r="E2" s="13">
        <v>14609</v>
      </c>
      <c r="F2" s="13">
        <v>9643</v>
      </c>
      <c r="G2" s="13">
        <v>16341982320</v>
      </c>
      <c r="H2" s="98">
        <v>28.8</v>
      </c>
      <c r="I2" s="98">
        <v>48.32</v>
      </c>
    </row>
    <row r="3" spans="1:9">
      <c r="A3" s="12">
        <v>44928</v>
      </c>
      <c r="B3" s="11">
        <f t="shared" si="0"/>
        <v>2023</v>
      </c>
      <c r="C3" s="11">
        <f t="shared" si="1"/>
        <v>1</v>
      </c>
      <c r="D3" s="11" t="s">
        <v>22</v>
      </c>
      <c r="E3" s="13">
        <v>14466</v>
      </c>
      <c r="F3" s="13">
        <v>9926</v>
      </c>
      <c r="G3" s="13">
        <v>16655410181</v>
      </c>
      <c r="H3" s="98">
        <v>36.4</v>
      </c>
      <c r="I3" s="98">
        <v>83.92</v>
      </c>
    </row>
    <row r="4" spans="1:9">
      <c r="A4" s="12">
        <v>44929</v>
      </c>
      <c r="B4" s="11">
        <f t="shared" si="0"/>
        <v>2023</v>
      </c>
      <c r="C4" s="11">
        <f t="shared" si="1"/>
        <v>1</v>
      </c>
      <c r="D4" s="11" t="s">
        <v>75</v>
      </c>
      <c r="E4" s="13">
        <v>11401</v>
      </c>
      <c r="F4" s="13">
        <v>7403</v>
      </c>
      <c r="G4" s="13">
        <v>12972661683</v>
      </c>
      <c r="H4" s="98">
        <v>31.5</v>
      </c>
      <c r="I4" s="98">
        <v>54.21</v>
      </c>
    </row>
    <row r="5" spans="1:9">
      <c r="A5" s="12">
        <v>44930</v>
      </c>
      <c r="B5" s="11">
        <f t="shared" si="0"/>
        <v>2023</v>
      </c>
      <c r="C5" s="11">
        <f t="shared" si="1"/>
        <v>1</v>
      </c>
      <c r="D5" s="11" t="s">
        <v>10</v>
      </c>
      <c r="E5" s="13">
        <v>11061</v>
      </c>
      <c r="F5" s="13">
        <v>7657</v>
      </c>
      <c r="G5" s="13">
        <v>13168083042</v>
      </c>
      <c r="H5" s="98">
        <v>29</v>
      </c>
      <c r="I5" s="98">
        <v>52.13</v>
      </c>
    </row>
    <row r="6" spans="1:9">
      <c r="A6" s="12">
        <v>44931</v>
      </c>
      <c r="B6" s="11">
        <f t="shared" si="0"/>
        <v>2023</v>
      </c>
      <c r="C6" s="11">
        <f t="shared" si="1"/>
        <v>1</v>
      </c>
      <c r="D6" s="11" t="s">
        <v>9</v>
      </c>
      <c r="E6" s="13">
        <v>9145</v>
      </c>
      <c r="F6" s="13">
        <v>5700</v>
      </c>
      <c r="G6" s="13">
        <v>10435664983</v>
      </c>
      <c r="H6" s="98">
        <v>28.8</v>
      </c>
      <c r="I6" s="98">
        <v>74.83</v>
      </c>
    </row>
    <row r="7" spans="1:9">
      <c r="A7" s="12">
        <v>44932</v>
      </c>
      <c r="B7" s="11">
        <f t="shared" si="0"/>
        <v>2023</v>
      </c>
      <c r="C7" s="11">
        <f t="shared" si="1"/>
        <v>1</v>
      </c>
      <c r="D7" s="11" t="s">
        <v>79</v>
      </c>
      <c r="E7" s="13">
        <v>8393</v>
      </c>
      <c r="F7" s="13">
        <v>5678</v>
      </c>
      <c r="G7" s="13">
        <v>9725904427</v>
      </c>
      <c r="H7" s="98">
        <v>32.700000000000003</v>
      </c>
      <c r="I7" s="98">
        <v>68.11</v>
      </c>
    </row>
    <row r="8" spans="1:9">
      <c r="A8" s="12">
        <v>44933</v>
      </c>
      <c r="B8" s="11">
        <f t="shared" si="0"/>
        <v>2023</v>
      </c>
      <c r="C8" s="11">
        <f t="shared" si="1"/>
        <v>1</v>
      </c>
      <c r="D8" s="11" t="s">
        <v>12</v>
      </c>
      <c r="E8" s="13">
        <v>7155</v>
      </c>
      <c r="F8" s="13">
        <v>4721</v>
      </c>
      <c r="G8" s="13">
        <v>8407390538</v>
      </c>
      <c r="H8" s="98">
        <v>26.5</v>
      </c>
      <c r="I8" s="98">
        <v>42.46</v>
      </c>
    </row>
    <row r="9" spans="1:9">
      <c r="A9" s="12">
        <v>44934</v>
      </c>
      <c r="B9" s="11">
        <f t="shared" si="0"/>
        <v>2023</v>
      </c>
      <c r="C9" s="11">
        <f t="shared" si="1"/>
        <v>1</v>
      </c>
      <c r="D9" s="11" t="s">
        <v>23</v>
      </c>
      <c r="E9" s="13">
        <v>5757</v>
      </c>
      <c r="F9" s="13">
        <v>3893</v>
      </c>
      <c r="G9" s="13">
        <v>6714230932</v>
      </c>
      <c r="H9" s="98">
        <v>31</v>
      </c>
      <c r="I9" s="98">
        <v>57.22</v>
      </c>
    </row>
    <row r="10" spans="1:9">
      <c r="A10" s="12">
        <v>44935</v>
      </c>
      <c r="B10" s="11">
        <f t="shared" si="0"/>
        <v>2023</v>
      </c>
      <c r="C10" s="11">
        <f t="shared" si="1"/>
        <v>1</v>
      </c>
      <c r="D10" s="11" t="s">
        <v>15</v>
      </c>
      <c r="E10" s="13">
        <v>3889</v>
      </c>
      <c r="F10" s="13">
        <v>2691</v>
      </c>
      <c r="G10" s="13">
        <v>4541270822</v>
      </c>
      <c r="H10" s="98">
        <v>23.9</v>
      </c>
      <c r="I10" s="98">
        <v>42.06</v>
      </c>
    </row>
    <row r="11" spans="1:9">
      <c r="A11" s="12">
        <v>44936</v>
      </c>
      <c r="B11" s="11">
        <f t="shared" si="0"/>
        <v>2023</v>
      </c>
      <c r="C11" s="11">
        <f t="shared" si="1"/>
        <v>1</v>
      </c>
      <c r="D11" s="11" t="s">
        <v>84</v>
      </c>
      <c r="E11" s="13">
        <v>3208</v>
      </c>
      <c r="F11" s="13">
        <v>2210</v>
      </c>
      <c r="G11" s="13">
        <v>3936766752</v>
      </c>
      <c r="H11" s="98">
        <v>24</v>
      </c>
      <c r="I11" s="98">
        <v>30.29</v>
      </c>
    </row>
    <row r="12" spans="1:9">
      <c r="A12" s="12">
        <v>44937</v>
      </c>
      <c r="B12" s="11">
        <f t="shared" si="0"/>
        <v>2023</v>
      </c>
      <c r="C12" s="11">
        <f t="shared" si="1"/>
        <v>1</v>
      </c>
      <c r="D12" s="11" t="s">
        <v>7</v>
      </c>
      <c r="E12" s="13">
        <v>3191</v>
      </c>
      <c r="F12" s="13">
        <v>2219</v>
      </c>
      <c r="G12" s="13">
        <v>3599164731</v>
      </c>
      <c r="H12" s="98">
        <v>26.9</v>
      </c>
      <c r="I12" s="98">
        <v>63.15</v>
      </c>
    </row>
    <row r="13" spans="1:9">
      <c r="A13" s="12">
        <v>44938</v>
      </c>
      <c r="B13" s="11">
        <f t="shared" si="0"/>
        <v>2023</v>
      </c>
      <c r="C13" s="11">
        <f t="shared" si="1"/>
        <v>1</v>
      </c>
      <c r="D13" s="11" t="s">
        <v>19</v>
      </c>
      <c r="E13" s="13">
        <v>2132</v>
      </c>
      <c r="F13" s="13">
        <v>1400</v>
      </c>
      <c r="G13" s="13">
        <v>2349174700</v>
      </c>
      <c r="H13" s="98">
        <v>27.3</v>
      </c>
      <c r="I13" s="98">
        <v>45.25</v>
      </c>
    </row>
    <row r="14" spans="1:9">
      <c r="A14" s="12">
        <v>44939</v>
      </c>
      <c r="B14" s="11">
        <f t="shared" si="0"/>
        <v>2023</v>
      </c>
      <c r="C14" s="11">
        <f t="shared" si="1"/>
        <v>1</v>
      </c>
      <c r="D14" s="11" t="s">
        <v>88</v>
      </c>
      <c r="E14" s="13">
        <v>1305</v>
      </c>
      <c r="F14" s="13">
        <v>909</v>
      </c>
      <c r="G14" s="13">
        <v>1552933479</v>
      </c>
      <c r="H14" s="98">
        <v>33</v>
      </c>
      <c r="I14" s="98">
        <v>49.57</v>
      </c>
    </row>
    <row r="15" spans="1:9">
      <c r="A15" s="12">
        <v>44940</v>
      </c>
      <c r="B15" s="11">
        <f t="shared" si="0"/>
        <v>2023</v>
      </c>
      <c r="C15" s="11">
        <f t="shared" si="1"/>
        <v>1</v>
      </c>
      <c r="D15" s="11" t="s">
        <v>20</v>
      </c>
      <c r="E15" s="11">
        <v>1210</v>
      </c>
      <c r="F15" s="13">
        <v>802</v>
      </c>
      <c r="G15" s="13">
        <v>1326466739</v>
      </c>
      <c r="H15" s="98">
        <v>34.200000000000003</v>
      </c>
      <c r="I15" s="98">
        <v>60.8</v>
      </c>
    </row>
    <row r="16" spans="1:9">
      <c r="A16" s="12">
        <v>44941</v>
      </c>
      <c r="B16" s="11">
        <f t="shared" si="0"/>
        <v>2023</v>
      </c>
      <c r="C16" s="11">
        <f t="shared" si="1"/>
        <v>1</v>
      </c>
      <c r="D16" s="11" t="s">
        <v>91</v>
      </c>
      <c r="E16" s="11">
        <v>975</v>
      </c>
      <c r="F16" s="13">
        <v>690</v>
      </c>
      <c r="G16" s="13">
        <v>1125059378</v>
      </c>
      <c r="H16" s="98">
        <v>34.6</v>
      </c>
      <c r="I16" s="98">
        <v>72.739999999999995</v>
      </c>
    </row>
    <row r="17" spans="1:9">
      <c r="A17" s="12">
        <v>44941</v>
      </c>
      <c r="B17" s="11">
        <f t="shared" si="0"/>
        <v>2023</v>
      </c>
      <c r="C17" s="11">
        <v>1</v>
      </c>
      <c r="D17" s="11" t="s">
        <v>11</v>
      </c>
      <c r="E17" s="13">
        <v>911</v>
      </c>
      <c r="F17" s="13">
        <v>643</v>
      </c>
      <c r="G17" s="13">
        <v>1087991525</v>
      </c>
      <c r="H17" s="98">
        <v>25.1</v>
      </c>
      <c r="I17" s="98">
        <v>48.71</v>
      </c>
    </row>
    <row r="18" spans="1:9">
      <c r="A18" s="12">
        <v>44958</v>
      </c>
      <c r="B18" s="11">
        <f t="shared" si="0"/>
        <v>2023</v>
      </c>
      <c r="C18" s="11">
        <f t="shared" ref="C18:C362" si="2">MONTH(A18)</f>
        <v>2</v>
      </c>
      <c r="D18" s="11" t="s">
        <v>9</v>
      </c>
      <c r="E18" s="13">
        <v>13960</v>
      </c>
      <c r="F18" s="13">
        <v>8933</v>
      </c>
      <c r="G18" s="13">
        <v>15836582394</v>
      </c>
      <c r="H18" s="98">
        <v>32</v>
      </c>
      <c r="I18" s="98">
        <v>67.569999999999993</v>
      </c>
    </row>
    <row r="19" spans="1:9">
      <c r="A19" s="12">
        <v>44959</v>
      </c>
      <c r="B19" s="11">
        <f t="shared" si="0"/>
        <v>2023</v>
      </c>
      <c r="C19" s="11">
        <f t="shared" si="2"/>
        <v>2</v>
      </c>
      <c r="D19" s="11" t="s">
        <v>22</v>
      </c>
      <c r="E19" s="13">
        <v>12920</v>
      </c>
      <c r="F19" s="13">
        <v>8370</v>
      </c>
      <c r="G19" s="13">
        <v>14457141551</v>
      </c>
      <c r="H19" s="98">
        <v>33.700000000000003</v>
      </c>
      <c r="I19" s="98">
        <v>81.39</v>
      </c>
    </row>
    <row r="20" spans="1:9">
      <c r="A20" s="12">
        <v>44960</v>
      </c>
      <c r="B20" s="11">
        <f t="shared" si="0"/>
        <v>2023</v>
      </c>
      <c r="C20" s="11">
        <f t="shared" si="2"/>
        <v>2</v>
      </c>
      <c r="D20" s="11" t="s">
        <v>8</v>
      </c>
      <c r="E20" s="13">
        <v>12126</v>
      </c>
      <c r="F20" s="13">
        <v>8386</v>
      </c>
      <c r="G20" s="13">
        <v>13294331286</v>
      </c>
      <c r="H20" s="98">
        <v>32.799999999999997</v>
      </c>
      <c r="I20" s="98">
        <v>56.29</v>
      </c>
    </row>
    <row r="21" spans="1:9">
      <c r="A21" s="12">
        <v>44961</v>
      </c>
      <c r="B21" s="11">
        <f t="shared" si="0"/>
        <v>2023</v>
      </c>
      <c r="C21" s="11">
        <f t="shared" si="2"/>
        <v>2</v>
      </c>
      <c r="D21" s="11" t="s">
        <v>79</v>
      </c>
      <c r="E21" s="13">
        <v>10441</v>
      </c>
      <c r="F21" s="13">
        <v>6975</v>
      </c>
      <c r="G21" s="13">
        <v>11775696904</v>
      </c>
      <c r="H21" s="98">
        <v>31</v>
      </c>
      <c r="I21" s="98">
        <v>64.34</v>
      </c>
    </row>
    <row r="22" spans="1:9">
      <c r="A22" s="12">
        <v>44962</v>
      </c>
      <c r="B22" s="11">
        <f t="shared" si="0"/>
        <v>2023</v>
      </c>
      <c r="C22" s="11">
        <f t="shared" si="2"/>
        <v>2</v>
      </c>
      <c r="D22" s="11" t="s">
        <v>75</v>
      </c>
      <c r="E22" s="13">
        <v>10031</v>
      </c>
      <c r="F22" s="13">
        <v>6554</v>
      </c>
      <c r="G22" s="13">
        <v>11236123104</v>
      </c>
      <c r="H22" s="98">
        <v>28.8</v>
      </c>
      <c r="I22" s="98">
        <v>45.8</v>
      </c>
    </row>
    <row r="23" spans="1:9">
      <c r="A23" s="12">
        <v>44963</v>
      </c>
      <c r="B23" s="11">
        <f t="shared" si="0"/>
        <v>2023</v>
      </c>
      <c r="C23" s="11">
        <f t="shared" si="2"/>
        <v>2</v>
      </c>
      <c r="D23" s="11" t="s">
        <v>10</v>
      </c>
      <c r="E23" s="13">
        <v>8400</v>
      </c>
      <c r="F23" s="13">
        <v>5950</v>
      </c>
      <c r="G23" s="13">
        <v>10009211505</v>
      </c>
      <c r="H23" s="98">
        <v>29.1</v>
      </c>
      <c r="I23" s="98">
        <v>45.78</v>
      </c>
    </row>
    <row r="24" spans="1:9">
      <c r="A24" s="12">
        <v>44964</v>
      </c>
      <c r="B24" s="11">
        <f t="shared" si="0"/>
        <v>2023</v>
      </c>
      <c r="C24" s="11">
        <f t="shared" si="2"/>
        <v>2</v>
      </c>
      <c r="D24" s="11" t="s">
        <v>12</v>
      </c>
      <c r="E24" s="13">
        <v>7406</v>
      </c>
      <c r="F24" s="13">
        <v>4639</v>
      </c>
      <c r="G24" s="13">
        <v>8221317255</v>
      </c>
      <c r="H24" s="98">
        <v>24.4</v>
      </c>
      <c r="I24" s="98">
        <v>39.450000000000003</v>
      </c>
    </row>
    <row r="25" spans="1:9">
      <c r="A25" s="12">
        <v>44965</v>
      </c>
      <c r="B25" s="11">
        <f t="shared" si="0"/>
        <v>2023</v>
      </c>
      <c r="C25" s="11">
        <f t="shared" si="2"/>
        <v>2</v>
      </c>
      <c r="D25" s="11" t="s">
        <v>15</v>
      </c>
      <c r="E25" s="13">
        <v>6379</v>
      </c>
      <c r="F25" s="13">
        <v>4462</v>
      </c>
      <c r="G25" s="13">
        <v>7159027892</v>
      </c>
      <c r="H25" s="98">
        <v>23</v>
      </c>
      <c r="I25" s="98">
        <v>44.07</v>
      </c>
    </row>
    <row r="26" spans="1:9">
      <c r="A26" s="12">
        <v>44966</v>
      </c>
      <c r="B26" s="11">
        <f t="shared" si="0"/>
        <v>2023</v>
      </c>
      <c r="C26" s="11">
        <f t="shared" si="2"/>
        <v>2</v>
      </c>
      <c r="D26" s="11" t="s">
        <v>91</v>
      </c>
      <c r="E26" s="13">
        <v>2465</v>
      </c>
      <c r="F26" s="13">
        <v>1627</v>
      </c>
      <c r="G26" s="13">
        <v>2745250265</v>
      </c>
      <c r="H26" s="98">
        <v>27.3</v>
      </c>
      <c r="I26" s="98">
        <v>51.77</v>
      </c>
    </row>
    <row r="27" spans="1:9">
      <c r="A27" s="12">
        <v>44967</v>
      </c>
      <c r="B27" s="11">
        <f t="shared" si="0"/>
        <v>2023</v>
      </c>
      <c r="C27" s="11">
        <f t="shared" si="2"/>
        <v>2</v>
      </c>
      <c r="D27" s="11" t="s">
        <v>88</v>
      </c>
      <c r="E27" s="13">
        <v>2410</v>
      </c>
      <c r="F27" s="13">
        <v>1778</v>
      </c>
      <c r="G27" s="13">
        <v>2897676897</v>
      </c>
      <c r="H27" s="98">
        <v>23.6</v>
      </c>
      <c r="I27" s="98">
        <v>38.54</v>
      </c>
    </row>
    <row r="28" spans="1:9">
      <c r="A28" s="12">
        <v>44968</v>
      </c>
      <c r="B28" s="11">
        <f t="shared" si="0"/>
        <v>2023</v>
      </c>
      <c r="C28" s="11">
        <f t="shared" si="2"/>
        <v>2</v>
      </c>
      <c r="D28" s="11" t="s">
        <v>7</v>
      </c>
      <c r="E28" s="13">
        <v>2389</v>
      </c>
      <c r="F28" s="13">
        <v>1678</v>
      </c>
      <c r="G28" s="13">
        <v>2650267790</v>
      </c>
      <c r="H28" s="98">
        <v>36.1</v>
      </c>
      <c r="I28" s="98">
        <v>77.540000000000006</v>
      </c>
    </row>
    <row r="29" spans="1:9">
      <c r="A29" s="12">
        <v>44969</v>
      </c>
      <c r="B29" s="11">
        <f t="shared" si="0"/>
        <v>2023</v>
      </c>
      <c r="C29" s="11">
        <f t="shared" si="2"/>
        <v>2</v>
      </c>
      <c r="D29" s="11" t="s">
        <v>84</v>
      </c>
      <c r="E29" s="13">
        <v>2332</v>
      </c>
      <c r="F29" s="13">
        <v>1656</v>
      </c>
      <c r="G29" s="13">
        <v>2825192352</v>
      </c>
      <c r="H29" s="98">
        <v>23.1</v>
      </c>
      <c r="I29" s="98">
        <v>24.6</v>
      </c>
    </row>
    <row r="30" spans="1:9">
      <c r="A30" s="12">
        <v>44970</v>
      </c>
      <c r="B30" s="11">
        <f t="shared" si="0"/>
        <v>2023</v>
      </c>
      <c r="C30" s="11">
        <f t="shared" si="2"/>
        <v>2</v>
      </c>
      <c r="D30" s="11" t="s">
        <v>23</v>
      </c>
      <c r="E30" s="13">
        <v>1719</v>
      </c>
      <c r="F30" s="13">
        <v>1294</v>
      </c>
      <c r="G30" s="13">
        <v>2007119933</v>
      </c>
      <c r="H30" s="98">
        <v>30.1</v>
      </c>
      <c r="I30" s="98">
        <v>39.33</v>
      </c>
    </row>
    <row r="31" spans="1:9">
      <c r="A31" s="12">
        <v>44971</v>
      </c>
      <c r="B31" s="11">
        <f t="shared" si="0"/>
        <v>2023</v>
      </c>
      <c r="C31" s="11">
        <f t="shared" si="2"/>
        <v>2</v>
      </c>
      <c r="D31" s="11" t="s">
        <v>19</v>
      </c>
      <c r="E31" s="13">
        <v>1247</v>
      </c>
      <c r="F31" s="13">
        <v>813</v>
      </c>
      <c r="G31" s="13">
        <v>1325166166</v>
      </c>
      <c r="H31" s="98">
        <v>28.9</v>
      </c>
      <c r="I31" s="98">
        <v>55.87</v>
      </c>
    </row>
    <row r="32" spans="1:9">
      <c r="A32" s="12">
        <v>44972</v>
      </c>
      <c r="B32" s="11">
        <f t="shared" si="0"/>
        <v>2023</v>
      </c>
      <c r="C32" s="11">
        <f t="shared" si="2"/>
        <v>2</v>
      </c>
      <c r="D32" s="11" t="s">
        <v>20</v>
      </c>
      <c r="E32" s="13">
        <v>1232</v>
      </c>
      <c r="F32" s="13">
        <v>880</v>
      </c>
      <c r="G32" s="13">
        <v>1370211811</v>
      </c>
      <c r="H32" s="98">
        <v>38.6</v>
      </c>
      <c r="I32" s="98">
        <v>61.9</v>
      </c>
    </row>
    <row r="33" spans="1:9">
      <c r="A33" s="12">
        <v>44973</v>
      </c>
      <c r="B33" s="11">
        <f t="shared" si="0"/>
        <v>2023</v>
      </c>
      <c r="C33" s="11">
        <f t="shared" si="2"/>
        <v>2</v>
      </c>
      <c r="D33" s="11" t="s">
        <v>11</v>
      </c>
      <c r="E33" s="11">
        <v>969</v>
      </c>
      <c r="F33" s="13">
        <v>625</v>
      </c>
      <c r="G33" s="13">
        <v>1145881559</v>
      </c>
      <c r="H33" s="98">
        <v>22.8</v>
      </c>
      <c r="I33" s="98">
        <v>30.15</v>
      </c>
    </row>
    <row r="34" spans="1:9">
      <c r="A34" s="12">
        <v>44986</v>
      </c>
      <c r="B34" s="11">
        <f t="shared" si="0"/>
        <v>2023</v>
      </c>
      <c r="C34" s="11">
        <f t="shared" si="2"/>
        <v>3</v>
      </c>
      <c r="D34" s="11" t="s">
        <v>8</v>
      </c>
      <c r="E34" s="13">
        <v>17470</v>
      </c>
      <c r="F34" s="13">
        <v>11339</v>
      </c>
      <c r="G34" s="13">
        <v>19012500455</v>
      </c>
      <c r="H34" s="98">
        <v>29.2</v>
      </c>
      <c r="I34" s="98">
        <v>52.87</v>
      </c>
    </row>
    <row r="35" spans="1:9">
      <c r="A35" s="12">
        <v>44987</v>
      </c>
      <c r="B35" s="11">
        <f t="shared" si="0"/>
        <v>2023</v>
      </c>
      <c r="C35" s="11">
        <f t="shared" si="2"/>
        <v>3</v>
      </c>
      <c r="D35" s="11" t="s">
        <v>75</v>
      </c>
      <c r="E35" s="13">
        <v>16398</v>
      </c>
      <c r="F35" s="13">
        <v>10695</v>
      </c>
      <c r="G35" s="13">
        <v>18888831629</v>
      </c>
      <c r="H35" s="98">
        <v>27.3</v>
      </c>
      <c r="I35" s="98">
        <v>57.06</v>
      </c>
    </row>
    <row r="36" spans="1:9">
      <c r="A36" s="12">
        <v>44988</v>
      </c>
      <c r="B36" s="11">
        <f t="shared" si="0"/>
        <v>2023</v>
      </c>
      <c r="C36" s="11">
        <f t="shared" si="2"/>
        <v>3</v>
      </c>
      <c r="D36" s="11" t="s">
        <v>9</v>
      </c>
      <c r="E36" s="13">
        <v>13743</v>
      </c>
      <c r="F36" s="13">
        <v>8526</v>
      </c>
      <c r="G36" s="13">
        <v>15462667861</v>
      </c>
      <c r="H36" s="98">
        <v>30.6</v>
      </c>
      <c r="I36" s="98">
        <v>85.17</v>
      </c>
    </row>
    <row r="37" spans="1:9">
      <c r="A37" s="12">
        <v>44989</v>
      </c>
      <c r="B37" s="11">
        <f t="shared" si="0"/>
        <v>2023</v>
      </c>
      <c r="C37" s="11">
        <f t="shared" si="2"/>
        <v>3</v>
      </c>
      <c r="D37" s="11" t="s">
        <v>22</v>
      </c>
      <c r="E37" s="13">
        <v>13537</v>
      </c>
      <c r="F37" s="13">
        <v>5312</v>
      </c>
      <c r="G37" s="13">
        <v>15235574565</v>
      </c>
      <c r="H37" s="98">
        <v>35.700000000000003</v>
      </c>
      <c r="I37" s="98">
        <v>99.67</v>
      </c>
    </row>
    <row r="38" spans="1:9">
      <c r="A38" s="12">
        <v>44990</v>
      </c>
      <c r="B38" s="11">
        <f t="shared" si="0"/>
        <v>2023</v>
      </c>
      <c r="C38" s="11">
        <f t="shared" si="2"/>
        <v>3</v>
      </c>
      <c r="D38" s="11" t="s">
        <v>79</v>
      </c>
      <c r="E38" s="13">
        <v>13525</v>
      </c>
      <c r="F38" s="13">
        <v>9155</v>
      </c>
      <c r="G38" s="13">
        <v>15652539542</v>
      </c>
      <c r="H38" s="98">
        <v>36.799999999999997</v>
      </c>
      <c r="I38" s="98">
        <v>79.459999999999994</v>
      </c>
    </row>
    <row r="39" spans="1:9">
      <c r="A39" s="12">
        <v>44991</v>
      </c>
      <c r="B39" s="11">
        <f t="shared" si="0"/>
        <v>2023</v>
      </c>
      <c r="C39" s="11">
        <f t="shared" si="2"/>
        <v>3</v>
      </c>
      <c r="D39" s="11" t="s">
        <v>12</v>
      </c>
      <c r="E39" s="13">
        <v>10291</v>
      </c>
      <c r="F39" s="13">
        <v>6370</v>
      </c>
      <c r="G39" s="13">
        <v>11088720904</v>
      </c>
      <c r="H39" s="98">
        <v>28.6</v>
      </c>
      <c r="I39" s="98">
        <v>51.73</v>
      </c>
    </row>
    <row r="40" spans="1:9">
      <c r="A40" s="12">
        <v>44992</v>
      </c>
      <c r="B40" s="11">
        <f t="shared" si="0"/>
        <v>2023</v>
      </c>
      <c r="C40" s="11">
        <f t="shared" si="2"/>
        <v>3</v>
      </c>
      <c r="D40" s="11" t="s">
        <v>10</v>
      </c>
      <c r="E40" s="13">
        <v>10167</v>
      </c>
      <c r="F40" s="13">
        <v>7382</v>
      </c>
      <c r="G40" s="13">
        <v>12123902002</v>
      </c>
      <c r="H40" s="98">
        <v>29.6</v>
      </c>
      <c r="I40" s="98">
        <v>55.89</v>
      </c>
    </row>
    <row r="41" spans="1:9">
      <c r="A41" s="12">
        <v>44993</v>
      </c>
      <c r="B41" s="11">
        <f t="shared" si="0"/>
        <v>2023</v>
      </c>
      <c r="C41" s="11">
        <f t="shared" si="2"/>
        <v>3</v>
      </c>
      <c r="D41" s="11" t="s">
        <v>7</v>
      </c>
      <c r="E41" s="13">
        <v>3395</v>
      </c>
      <c r="F41" s="13">
        <v>2488</v>
      </c>
      <c r="G41" s="13">
        <v>3770355609</v>
      </c>
      <c r="H41" s="98">
        <v>23.9</v>
      </c>
      <c r="I41" s="98">
        <v>49.68</v>
      </c>
    </row>
    <row r="42" spans="1:9">
      <c r="A42" s="12">
        <v>44994</v>
      </c>
      <c r="B42" s="11">
        <f t="shared" si="0"/>
        <v>2023</v>
      </c>
      <c r="C42" s="11">
        <f t="shared" si="2"/>
        <v>3</v>
      </c>
      <c r="D42" s="11" t="s">
        <v>84</v>
      </c>
      <c r="E42" s="13">
        <v>2925</v>
      </c>
      <c r="F42" s="13">
        <v>2051</v>
      </c>
      <c r="G42" s="13">
        <v>3899219847</v>
      </c>
      <c r="H42" s="98">
        <v>20.100000000000001</v>
      </c>
      <c r="I42" s="98">
        <v>29.07</v>
      </c>
    </row>
    <row r="43" spans="1:9">
      <c r="A43" s="12">
        <v>44995</v>
      </c>
      <c r="B43" s="11">
        <f t="shared" si="0"/>
        <v>2023</v>
      </c>
      <c r="C43" s="11">
        <f t="shared" si="2"/>
        <v>3</v>
      </c>
      <c r="D43" s="11" t="s">
        <v>20</v>
      </c>
      <c r="E43" s="13">
        <v>2622</v>
      </c>
      <c r="F43" s="13">
        <v>1835</v>
      </c>
      <c r="G43" s="13">
        <v>2907857323</v>
      </c>
      <c r="H43" s="98">
        <v>27.9</v>
      </c>
      <c r="I43" s="98">
        <v>48.6</v>
      </c>
    </row>
    <row r="44" spans="1:9">
      <c r="A44" s="12">
        <v>44996</v>
      </c>
      <c r="B44" s="11">
        <f t="shared" si="0"/>
        <v>2023</v>
      </c>
      <c r="C44" s="11">
        <f t="shared" si="2"/>
        <v>3</v>
      </c>
      <c r="D44" s="11" t="s">
        <v>88</v>
      </c>
      <c r="E44" s="13">
        <v>2589</v>
      </c>
      <c r="F44" s="13">
        <v>1819</v>
      </c>
      <c r="G44" s="13">
        <v>3146256255</v>
      </c>
      <c r="H44" s="98">
        <v>23.6</v>
      </c>
      <c r="I44" s="98">
        <v>33.619999999999997</v>
      </c>
    </row>
    <row r="45" spans="1:9">
      <c r="A45" s="12">
        <v>44997</v>
      </c>
      <c r="B45" s="11">
        <f t="shared" si="0"/>
        <v>2023</v>
      </c>
      <c r="C45" s="11">
        <f t="shared" si="2"/>
        <v>3</v>
      </c>
      <c r="D45" s="11" t="s">
        <v>15</v>
      </c>
      <c r="E45" s="13">
        <v>2512</v>
      </c>
      <c r="F45" s="13">
        <v>1786</v>
      </c>
      <c r="G45" s="13">
        <v>2880645844</v>
      </c>
      <c r="H45" s="98">
        <v>22</v>
      </c>
      <c r="I45" s="98">
        <v>45.95</v>
      </c>
    </row>
    <row r="46" spans="1:9">
      <c r="A46" s="12">
        <v>44998</v>
      </c>
      <c r="B46" s="11">
        <f t="shared" si="0"/>
        <v>2023</v>
      </c>
      <c r="C46" s="11">
        <f t="shared" si="2"/>
        <v>3</v>
      </c>
      <c r="D46" s="11" t="s">
        <v>19</v>
      </c>
      <c r="E46" s="13">
        <v>2365</v>
      </c>
      <c r="F46" s="13">
        <v>1656</v>
      </c>
      <c r="G46" s="13">
        <v>2632048009</v>
      </c>
      <c r="H46" s="98">
        <v>26.2</v>
      </c>
      <c r="I46" s="98">
        <v>50.9</v>
      </c>
    </row>
    <row r="47" spans="1:9">
      <c r="A47" s="12">
        <v>44999</v>
      </c>
      <c r="B47" s="11">
        <f t="shared" si="0"/>
        <v>2023</v>
      </c>
      <c r="C47" s="11">
        <f t="shared" si="2"/>
        <v>3</v>
      </c>
      <c r="D47" s="11" t="s">
        <v>11</v>
      </c>
      <c r="E47" s="13">
        <v>1490</v>
      </c>
      <c r="F47" s="13">
        <v>1071</v>
      </c>
      <c r="G47" s="13">
        <v>1695266006</v>
      </c>
      <c r="H47" s="98">
        <v>34.4</v>
      </c>
      <c r="I47" s="98">
        <v>65.81</v>
      </c>
    </row>
    <row r="48" spans="1:9">
      <c r="A48" s="12">
        <v>45000</v>
      </c>
      <c r="B48" s="11">
        <f t="shared" si="0"/>
        <v>2023</v>
      </c>
      <c r="C48" s="11">
        <f t="shared" si="2"/>
        <v>3</v>
      </c>
      <c r="D48" s="11" t="s">
        <v>91</v>
      </c>
      <c r="E48" s="13">
        <v>1457</v>
      </c>
      <c r="F48" s="13">
        <v>965</v>
      </c>
      <c r="G48" s="13">
        <v>1617593638</v>
      </c>
      <c r="H48" s="98">
        <v>25.6</v>
      </c>
      <c r="I48" s="98">
        <v>49.04</v>
      </c>
    </row>
    <row r="49" spans="1:9">
      <c r="A49" s="12">
        <v>45001</v>
      </c>
      <c r="B49" s="11">
        <f t="shared" si="0"/>
        <v>2023</v>
      </c>
      <c r="C49" s="11">
        <f t="shared" si="2"/>
        <v>3</v>
      </c>
      <c r="D49" s="11" t="s">
        <v>24</v>
      </c>
      <c r="E49" s="13">
        <v>1086</v>
      </c>
      <c r="F49" s="13">
        <v>680</v>
      </c>
      <c r="G49" s="13">
        <v>1306075082</v>
      </c>
      <c r="H49" s="98">
        <v>23.2</v>
      </c>
      <c r="I49" s="98">
        <v>16.36</v>
      </c>
    </row>
    <row r="50" spans="1:9">
      <c r="A50" s="12">
        <v>45002</v>
      </c>
      <c r="B50" s="11">
        <f t="shared" si="0"/>
        <v>2023</v>
      </c>
      <c r="C50" s="11">
        <f t="shared" si="2"/>
        <v>3</v>
      </c>
      <c r="D50" s="11" t="s">
        <v>23</v>
      </c>
      <c r="E50" s="11">
        <v>906</v>
      </c>
      <c r="F50" s="13">
        <v>660</v>
      </c>
      <c r="G50" s="13">
        <v>1050430537</v>
      </c>
      <c r="H50" s="98">
        <v>28.6</v>
      </c>
      <c r="I50" s="98">
        <v>34.21</v>
      </c>
    </row>
    <row r="51" spans="1:9">
      <c r="A51" s="12">
        <v>45003</v>
      </c>
      <c r="B51" s="11">
        <f t="shared" si="0"/>
        <v>2023</v>
      </c>
      <c r="C51" s="11">
        <f t="shared" si="2"/>
        <v>3</v>
      </c>
      <c r="D51" s="11" t="s">
        <v>93</v>
      </c>
      <c r="E51" s="11">
        <v>327</v>
      </c>
      <c r="F51" s="13">
        <v>270</v>
      </c>
      <c r="G51" s="13">
        <v>319486879.89999998</v>
      </c>
      <c r="H51" s="98">
        <v>25.2</v>
      </c>
      <c r="I51" s="98">
        <v>31.63</v>
      </c>
    </row>
    <row r="52" spans="1:9">
      <c r="A52" s="12">
        <v>45017</v>
      </c>
      <c r="B52" s="11">
        <f t="shared" si="0"/>
        <v>2023</v>
      </c>
      <c r="C52" s="11">
        <f t="shared" si="2"/>
        <v>4</v>
      </c>
      <c r="D52" s="11" t="s">
        <v>75</v>
      </c>
      <c r="E52" s="13">
        <v>17947</v>
      </c>
      <c r="F52" s="13">
        <v>11563</v>
      </c>
      <c r="G52" s="13">
        <v>19436230431</v>
      </c>
      <c r="H52" s="98">
        <v>33</v>
      </c>
      <c r="I52" s="98">
        <v>62.18</v>
      </c>
    </row>
    <row r="53" spans="1:9">
      <c r="A53" s="12">
        <v>45018</v>
      </c>
      <c r="B53" s="11">
        <f t="shared" si="0"/>
        <v>2023</v>
      </c>
      <c r="C53" s="11">
        <f t="shared" si="2"/>
        <v>4</v>
      </c>
      <c r="D53" s="11" t="s">
        <v>9</v>
      </c>
      <c r="E53" s="13">
        <v>17456</v>
      </c>
      <c r="F53" s="13">
        <v>11046</v>
      </c>
      <c r="G53" s="13">
        <v>19298366025</v>
      </c>
      <c r="H53" s="98">
        <v>32.5</v>
      </c>
      <c r="I53" s="98">
        <v>75.34</v>
      </c>
    </row>
    <row r="54" spans="1:9">
      <c r="A54" s="12">
        <v>45019</v>
      </c>
      <c r="B54" s="11">
        <f t="shared" si="0"/>
        <v>2023</v>
      </c>
      <c r="C54" s="11">
        <f t="shared" si="2"/>
        <v>4</v>
      </c>
      <c r="D54" s="11" t="s">
        <v>22</v>
      </c>
      <c r="E54" s="13">
        <v>12378</v>
      </c>
      <c r="F54" s="13">
        <v>7859</v>
      </c>
      <c r="G54" s="13">
        <v>13423747328</v>
      </c>
      <c r="H54" s="98">
        <v>34.1</v>
      </c>
      <c r="I54" s="98">
        <v>75.44</v>
      </c>
    </row>
    <row r="55" spans="1:9">
      <c r="A55" s="12">
        <v>45020</v>
      </c>
      <c r="B55" s="11">
        <f t="shared" si="0"/>
        <v>2023</v>
      </c>
      <c r="C55" s="11">
        <f t="shared" si="2"/>
        <v>4</v>
      </c>
      <c r="D55" s="11" t="s">
        <v>8</v>
      </c>
      <c r="E55" s="13">
        <v>12310</v>
      </c>
      <c r="F55" s="13">
        <v>8028</v>
      </c>
      <c r="G55" s="13">
        <v>13340278773</v>
      </c>
      <c r="H55" s="98">
        <v>28.2</v>
      </c>
      <c r="I55" s="98">
        <v>47.6</v>
      </c>
    </row>
    <row r="56" spans="1:9">
      <c r="A56" s="12">
        <v>45021</v>
      </c>
      <c r="B56" s="11">
        <f t="shared" si="0"/>
        <v>2023</v>
      </c>
      <c r="C56" s="11">
        <f t="shared" si="2"/>
        <v>4</v>
      </c>
      <c r="D56" s="11" t="s">
        <v>10</v>
      </c>
      <c r="E56" s="13">
        <v>10377</v>
      </c>
      <c r="F56" s="13">
        <v>7352</v>
      </c>
      <c r="G56" s="13">
        <v>12047124105</v>
      </c>
      <c r="H56" s="98">
        <v>31</v>
      </c>
      <c r="I56" s="98">
        <v>50.78</v>
      </c>
    </row>
    <row r="57" spans="1:9">
      <c r="A57" s="12">
        <v>45022</v>
      </c>
      <c r="B57" s="11">
        <f t="shared" si="0"/>
        <v>2023</v>
      </c>
      <c r="C57" s="11">
        <f t="shared" si="2"/>
        <v>4</v>
      </c>
      <c r="D57" s="11" t="s">
        <v>79</v>
      </c>
      <c r="E57" s="13">
        <v>9527</v>
      </c>
      <c r="F57" s="13">
        <v>6604</v>
      </c>
      <c r="G57" s="13">
        <v>11002126486</v>
      </c>
      <c r="H57" s="98">
        <v>33.4</v>
      </c>
      <c r="I57" s="98">
        <v>73.41</v>
      </c>
    </row>
    <row r="58" spans="1:9">
      <c r="A58" s="12">
        <v>45023</v>
      </c>
      <c r="B58" s="11">
        <f t="shared" si="0"/>
        <v>2023</v>
      </c>
      <c r="C58" s="11">
        <f t="shared" si="2"/>
        <v>4</v>
      </c>
      <c r="D58" s="11" t="s">
        <v>12</v>
      </c>
      <c r="E58" s="13">
        <v>6306</v>
      </c>
      <c r="F58" s="13">
        <v>4111</v>
      </c>
      <c r="G58" s="13">
        <v>7352983240</v>
      </c>
      <c r="H58" s="98">
        <v>24.5</v>
      </c>
      <c r="I58" s="98">
        <v>45.5</v>
      </c>
    </row>
    <row r="59" spans="1:9">
      <c r="A59" s="12">
        <v>45024</v>
      </c>
      <c r="B59" s="11">
        <f t="shared" si="0"/>
        <v>2023</v>
      </c>
      <c r="C59" s="11">
        <f t="shared" si="2"/>
        <v>4</v>
      </c>
      <c r="D59" s="11" t="s">
        <v>7</v>
      </c>
      <c r="E59" s="13">
        <v>5242</v>
      </c>
      <c r="F59" s="13">
        <v>3241</v>
      </c>
      <c r="G59" s="13">
        <v>5698975095</v>
      </c>
      <c r="H59" s="98">
        <v>29.4</v>
      </c>
      <c r="I59" s="98">
        <v>58.09</v>
      </c>
    </row>
    <row r="60" spans="1:9">
      <c r="A60" s="12">
        <v>45025</v>
      </c>
      <c r="B60" s="11">
        <f t="shared" si="0"/>
        <v>2023</v>
      </c>
      <c r="C60" s="11">
        <f t="shared" si="2"/>
        <v>4</v>
      </c>
      <c r="D60" s="11" t="s">
        <v>84</v>
      </c>
      <c r="E60" s="13">
        <v>2872</v>
      </c>
      <c r="F60" s="13">
        <v>2091</v>
      </c>
      <c r="G60" s="13">
        <v>3468615851</v>
      </c>
      <c r="H60" s="98">
        <v>20.3</v>
      </c>
      <c r="I60" s="98">
        <v>27.73</v>
      </c>
    </row>
    <row r="61" spans="1:9">
      <c r="A61" s="12">
        <v>45026</v>
      </c>
      <c r="B61" s="11">
        <f t="shared" si="0"/>
        <v>2023</v>
      </c>
      <c r="C61" s="11">
        <f t="shared" si="2"/>
        <v>4</v>
      </c>
      <c r="D61" s="11" t="s">
        <v>91</v>
      </c>
      <c r="E61" s="13">
        <v>1995</v>
      </c>
      <c r="F61" s="13">
        <v>1427</v>
      </c>
      <c r="G61" s="13">
        <v>2193242770</v>
      </c>
      <c r="H61" s="98">
        <v>24.4</v>
      </c>
      <c r="I61" s="98">
        <v>51.63</v>
      </c>
    </row>
    <row r="62" spans="1:9">
      <c r="A62" s="12">
        <v>45027</v>
      </c>
      <c r="B62" s="11">
        <f t="shared" si="0"/>
        <v>2023</v>
      </c>
      <c r="C62" s="11">
        <f t="shared" si="2"/>
        <v>4</v>
      </c>
      <c r="D62" s="11" t="s">
        <v>11</v>
      </c>
      <c r="E62" s="13">
        <v>1799</v>
      </c>
      <c r="F62" s="13">
        <v>1204</v>
      </c>
      <c r="G62" s="13">
        <v>2096677564</v>
      </c>
      <c r="H62" s="98">
        <v>26.3</v>
      </c>
      <c r="I62" s="98">
        <v>47.65</v>
      </c>
    </row>
    <row r="63" spans="1:9">
      <c r="A63" s="12">
        <v>45028</v>
      </c>
      <c r="B63" s="11">
        <f t="shared" si="0"/>
        <v>2023</v>
      </c>
      <c r="C63" s="11">
        <f t="shared" si="2"/>
        <v>4</v>
      </c>
      <c r="D63" s="11" t="s">
        <v>88</v>
      </c>
      <c r="E63" s="13">
        <v>1540</v>
      </c>
      <c r="F63" s="13">
        <v>1097</v>
      </c>
      <c r="G63" s="13">
        <v>1811479589</v>
      </c>
      <c r="H63" s="98">
        <v>29.4</v>
      </c>
      <c r="I63" s="98">
        <v>42.48</v>
      </c>
    </row>
    <row r="64" spans="1:9">
      <c r="A64" s="12">
        <v>45029</v>
      </c>
      <c r="B64" s="11">
        <f t="shared" si="0"/>
        <v>2023</v>
      </c>
      <c r="C64" s="11">
        <f t="shared" si="2"/>
        <v>4</v>
      </c>
      <c r="D64" s="11" t="s">
        <v>20</v>
      </c>
      <c r="E64" s="13">
        <v>1267</v>
      </c>
      <c r="F64" s="13">
        <v>899</v>
      </c>
      <c r="G64" s="13">
        <v>1404349560</v>
      </c>
      <c r="H64" s="98">
        <v>30.4</v>
      </c>
      <c r="I64" s="98">
        <v>49.47</v>
      </c>
    </row>
    <row r="65" spans="1:9">
      <c r="A65" s="12">
        <v>45030</v>
      </c>
      <c r="B65" s="11">
        <f t="shared" si="0"/>
        <v>2023</v>
      </c>
      <c r="C65" s="11">
        <f t="shared" si="2"/>
        <v>4</v>
      </c>
      <c r="D65" s="11" t="s">
        <v>19</v>
      </c>
      <c r="E65" s="13">
        <v>1150</v>
      </c>
      <c r="F65" s="13">
        <v>771</v>
      </c>
      <c r="G65" s="13">
        <v>1218346774</v>
      </c>
      <c r="H65" s="98">
        <v>19.2</v>
      </c>
      <c r="I65" s="98">
        <v>35.67</v>
      </c>
    </row>
    <row r="66" spans="1:9">
      <c r="A66" s="12">
        <v>45031</v>
      </c>
      <c r="B66" s="11">
        <f t="shared" si="0"/>
        <v>2023</v>
      </c>
      <c r="C66" s="11">
        <f t="shared" si="2"/>
        <v>4</v>
      </c>
      <c r="D66" s="11" t="s">
        <v>24</v>
      </c>
      <c r="E66" s="13">
        <v>364</v>
      </c>
      <c r="F66" s="13">
        <v>225</v>
      </c>
      <c r="G66" s="13">
        <v>410331037</v>
      </c>
      <c r="H66" s="98">
        <v>22.1</v>
      </c>
      <c r="I66" s="98">
        <v>14.31</v>
      </c>
    </row>
    <row r="67" spans="1:9">
      <c r="A67" s="12">
        <v>45047</v>
      </c>
      <c r="B67" s="11">
        <f t="shared" si="0"/>
        <v>2023</v>
      </c>
      <c r="C67" s="11">
        <f t="shared" si="2"/>
        <v>5</v>
      </c>
      <c r="D67" s="11" t="s">
        <v>75</v>
      </c>
      <c r="E67" s="13">
        <v>23249</v>
      </c>
      <c r="F67" s="13">
        <v>15265</v>
      </c>
      <c r="G67" s="13">
        <v>25143106207</v>
      </c>
      <c r="H67" s="98">
        <v>33.4</v>
      </c>
      <c r="I67" s="98">
        <v>75.290000000000006</v>
      </c>
    </row>
    <row r="68" spans="1:9">
      <c r="A68" s="12">
        <v>45048</v>
      </c>
      <c r="B68" s="11">
        <f t="shared" si="0"/>
        <v>2023</v>
      </c>
      <c r="C68" s="11">
        <f t="shared" si="2"/>
        <v>5</v>
      </c>
      <c r="D68" s="11" t="s">
        <v>8</v>
      </c>
      <c r="E68" s="13">
        <v>17544</v>
      </c>
      <c r="F68" s="13">
        <v>11713</v>
      </c>
      <c r="G68" s="13">
        <v>18548851539</v>
      </c>
      <c r="H68" s="98">
        <v>31.8</v>
      </c>
      <c r="I68" s="98">
        <v>63.87</v>
      </c>
    </row>
    <row r="69" spans="1:9">
      <c r="A69" s="12">
        <v>45049</v>
      </c>
      <c r="B69" s="11">
        <f t="shared" si="0"/>
        <v>2023</v>
      </c>
      <c r="C69" s="11">
        <f t="shared" si="2"/>
        <v>5</v>
      </c>
      <c r="D69" s="11" t="s">
        <v>22</v>
      </c>
      <c r="E69" s="13">
        <v>15527</v>
      </c>
      <c r="F69" s="13">
        <v>10091</v>
      </c>
      <c r="G69" s="13">
        <v>16870173301</v>
      </c>
      <c r="H69" s="98">
        <v>28</v>
      </c>
      <c r="I69" s="98">
        <v>69.66</v>
      </c>
    </row>
    <row r="70" spans="1:9">
      <c r="A70" s="12">
        <v>45050</v>
      </c>
      <c r="B70" s="11">
        <f t="shared" si="0"/>
        <v>2023</v>
      </c>
      <c r="C70" s="11">
        <f t="shared" si="2"/>
        <v>5</v>
      </c>
      <c r="D70" s="11" t="s">
        <v>10</v>
      </c>
      <c r="E70" s="13">
        <v>15083</v>
      </c>
      <c r="F70" s="13">
        <v>10221</v>
      </c>
      <c r="G70" s="13">
        <v>16872470105</v>
      </c>
      <c r="H70" s="98">
        <v>30.5</v>
      </c>
      <c r="I70" s="98">
        <v>64.3</v>
      </c>
    </row>
    <row r="71" spans="1:9">
      <c r="A71" s="12">
        <v>45051</v>
      </c>
      <c r="B71" s="11">
        <f t="shared" si="0"/>
        <v>2023</v>
      </c>
      <c r="C71" s="11">
        <f t="shared" si="2"/>
        <v>5</v>
      </c>
      <c r="D71" s="11" t="s">
        <v>9</v>
      </c>
      <c r="E71" s="13">
        <v>13992</v>
      </c>
      <c r="F71" s="13">
        <v>8595</v>
      </c>
      <c r="G71" s="13">
        <v>15296022560</v>
      </c>
      <c r="H71" s="98">
        <v>32.299999999999997</v>
      </c>
      <c r="I71" s="98">
        <v>77.819999999999993</v>
      </c>
    </row>
    <row r="72" spans="1:9">
      <c r="A72" s="12">
        <v>45052</v>
      </c>
      <c r="B72" s="11">
        <f t="shared" si="0"/>
        <v>2023</v>
      </c>
      <c r="C72" s="11">
        <f t="shared" si="2"/>
        <v>5</v>
      </c>
      <c r="D72" s="11" t="s">
        <v>79</v>
      </c>
      <c r="E72" s="13">
        <v>11186</v>
      </c>
      <c r="F72" s="13">
        <v>7518</v>
      </c>
      <c r="G72" s="13">
        <v>12618502825</v>
      </c>
      <c r="H72" s="98">
        <v>25.9</v>
      </c>
      <c r="I72" s="98">
        <v>64.930000000000007</v>
      </c>
    </row>
    <row r="73" spans="1:9">
      <c r="A73" s="12">
        <v>45053</v>
      </c>
      <c r="B73" s="11">
        <f t="shared" si="0"/>
        <v>2023</v>
      </c>
      <c r="C73" s="11">
        <f t="shared" si="2"/>
        <v>5</v>
      </c>
      <c r="D73" s="11" t="s">
        <v>12</v>
      </c>
      <c r="E73" s="13">
        <v>6663</v>
      </c>
      <c r="F73" s="13">
        <v>4525</v>
      </c>
      <c r="G73" s="13">
        <v>7782746218</v>
      </c>
      <c r="H73" s="98">
        <v>31.5</v>
      </c>
      <c r="I73" s="98">
        <v>61.22</v>
      </c>
    </row>
    <row r="74" spans="1:9">
      <c r="A74" s="12">
        <v>45054</v>
      </c>
      <c r="B74" s="11">
        <f t="shared" si="0"/>
        <v>2023</v>
      </c>
      <c r="C74" s="11">
        <f t="shared" si="2"/>
        <v>5</v>
      </c>
      <c r="D74" s="11" t="s">
        <v>7</v>
      </c>
      <c r="E74" s="13">
        <v>5583</v>
      </c>
      <c r="F74" s="13">
        <v>3593</v>
      </c>
      <c r="G74" s="13">
        <v>5908378914</v>
      </c>
      <c r="H74" s="98">
        <v>34.9</v>
      </c>
      <c r="I74" s="98">
        <v>76.09</v>
      </c>
    </row>
    <row r="75" spans="1:9">
      <c r="A75" s="12">
        <v>45055</v>
      </c>
      <c r="B75" s="11">
        <f t="shared" si="0"/>
        <v>2023</v>
      </c>
      <c r="C75" s="11">
        <f t="shared" si="2"/>
        <v>5</v>
      </c>
      <c r="D75" s="11" t="s">
        <v>84</v>
      </c>
      <c r="E75" s="13">
        <v>2637</v>
      </c>
      <c r="F75" s="13">
        <v>1898</v>
      </c>
      <c r="G75" s="13">
        <v>3175251523</v>
      </c>
      <c r="H75" s="98">
        <v>22.5</v>
      </c>
      <c r="I75" s="98">
        <v>34.6</v>
      </c>
    </row>
    <row r="76" spans="1:9">
      <c r="A76" s="12">
        <v>45056</v>
      </c>
      <c r="B76" s="11">
        <f t="shared" si="0"/>
        <v>2023</v>
      </c>
      <c r="C76" s="11">
        <f t="shared" si="2"/>
        <v>5</v>
      </c>
      <c r="D76" s="11" t="s">
        <v>19</v>
      </c>
      <c r="E76" s="13">
        <v>2525</v>
      </c>
      <c r="F76" s="13">
        <v>1751</v>
      </c>
      <c r="G76" s="13">
        <v>2727190139</v>
      </c>
      <c r="H76" s="98">
        <v>25.3</v>
      </c>
      <c r="I76" s="98">
        <v>62.61</v>
      </c>
    </row>
    <row r="77" spans="1:9">
      <c r="A77" s="12">
        <v>45057</v>
      </c>
      <c r="B77" s="11">
        <f t="shared" si="0"/>
        <v>2023</v>
      </c>
      <c r="C77" s="11">
        <f t="shared" si="2"/>
        <v>5</v>
      </c>
      <c r="D77" s="11" t="s">
        <v>20</v>
      </c>
      <c r="E77" s="13">
        <v>2496</v>
      </c>
      <c r="F77" s="13">
        <v>1860</v>
      </c>
      <c r="G77" s="13">
        <v>2754394664</v>
      </c>
      <c r="H77" s="98">
        <v>43.3</v>
      </c>
      <c r="I77" s="98">
        <v>75.5</v>
      </c>
    </row>
    <row r="78" spans="1:9">
      <c r="A78" s="12">
        <v>45058</v>
      </c>
      <c r="B78" s="11">
        <f t="shared" si="0"/>
        <v>2023</v>
      </c>
      <c r="C78" s="11">
        <f t="shared" si="2"/>
        <v>5</v>
      </c>
      <c r="D78" s="11" t="s">
        <v>88</v>
      </c>
      <c r="E78" s="13">
        <v>2352</v>
      </c>
      <c r="F78" s="13">
        <v>1580</v>
      </c>
      <c r="G78" s="13">
        <v>2690903445</v>
      </c>
      <c r="H78" s="98">
        <v>17.899999999999999</v>
      </c>
      <c r="I78" s="98">
        <v>42.5</v>
      </c>
    </row>
    <row r="79" spans="1:9">
      <c r="A79" s="12">
        <v>45059</v>
      </c>
      <c r="B79" s="11">
        <f t="shared" si="0"/>
        <v>2023</v>
      </c>
      <c r="C79" s="11">
        <f t="shared" si="2"/>
        <v>5</v>
      </c>
      <c r="D79" s="11" t="s">
        <v>91</v>
      </c>
      <c r="E79" s="13">
        <v>1318</v>
      </c>
      <c r="F79" s="13">
        <v>909</v>
      </c>
      <c r="G79" s="13">
        <v>1442418094</v>
      </c>
      <c r="H79" s="98">
        <v>25.6</v>
      </c>
      <c r="I79" s="98">
        <v>64.930000000000007</v>
      </c>
    </row>
    <row r="80" spans="1:9">
      <c r="A80" s="12">
        <v>45060</v>
      </c>
      <c r="B80" s="11">
        <f t="shared" si="0"/>
        <v>2023</v>
      </c>
      <c r="C80" s="11">
        <f t="shared" si="2"/>
        <v>5</v>
      </c>
      <c r="D80" s="11" t="s">
        <v>11</v>
      </c>
      <c r="E80" s="13">
        <v>865</v>
      </c>
      <c r="F80" s="13">
        <v>597</v>
      </c>
      <c r="G80" s="13">
        <v>1000844582</v>
      </c>
      <c r="H80" s="98">
        <v>26.2</v>
      </c>
      <c r="I80" s="98">
        <v>52.22</v>
      </c>
    </row>
    <row r="81" spans="1:9">
      <c r="A81" s="12">
        <v>45061</v>
      </c>
      <c r="B81" s="11">
        <f t="shared" si="0"/>
        <v>2023</v>
      </c>
      <c r="C81" s="11">
        <f t="shared" si="2"/>
        <v>5</v>
      </c>
      <c r="D81" s="11" t="s">
        <v>28</v>
      </c>
      <c r="E81" s="13">
        <v>364</v>
      </c>
      <c r="F81" s="13">
        <v>206</v>
      </c>
      <c r="G81" s="13">
        <v>310186666.80000001</v>
      </c>
      <c r="H81" s="98">
        <v>27.9</v>
      </c>
      <c r="I81" s="98">
        <v>22.7</v>
      </c>
    </row>
    <row r="82" spans="1:9">
      <c r="A82" s="12">
        <v>45062</v>
      </c>
      <c r="B82" s="11">
        <f t="shared" si="0"/>
        <v>2023</v>
      </c>
      <c r="C82" s="11">
        <f t="shared" si="2"/>
        <v>5</v>
      </c>
      <c r="D82" s="11" t="s">
        <v>24</v>
      </c>
      <c r="E82" s="13">
        <v>286</v>
      </c>
      <c r="F82" s="13">
        <v>198</v>
      </c>
      <c r="G82" s="13">
        <v>332590120.80000001</v>
      </c>
      <c r="H82" s="98">
        <v>19.3</v>
      </c>
      <c r="I82" s="98">
        <v>19.2</v>
      </c>
    </row>
    <row r="83" spans="1:9">
      <c r="A83" s="12">
        <v>45063</v>
      </c>
      <c r="B83" s="11">
        <f t="shared" si="0"/>
        <v>2023</v>
      </c>
      <c r="C83" s="11">
        <f t="shared" si="2"/>
        <v>5</v>
      </c>
      <c r="D83" s="11" t="s">
        <v>93</v>
      </c>
      <c r="E83" s="11">
        <v>64</v>
      </c>
      <c r="F83" s="13">
        <v>33</v>
      </c>
      <c r="G83" s="13">
        <v>53517200.93</v>
      </c>
      <c r="H83" s="98">
        <v>12.5</v>
      </c>
      <c r="I83" s="98">
        <v>6.81</v>
      </c>
    </row>
    <row r="84" spans="1:9">
      <c r="A84" s="12">
        <v>45078</v>
      </c>
      <c r="B84" s="11">
        <f t="shared" si="0"/>
        <v>2023</v>
      </c>
      <c r="C84" s="11">
        <f t="shared" si="2"/>
        <v>6</v>
      </c>
      <c r="D84" s="11" t="s">
        <v>75</v>
      </c>
      <c r="E84" s="13">
        <v>17793</v>
      </c>
      <c r="F84" s="13">
        <v>11184</v>
      </c>
      <c r="G84" s="13">
        <v>19267863102</v>
      </c>
      <c r="H84" s="98">
        <v>27.4</v>
      </c>
      <c r="I84" s="98">
        <v>69.19</v>
      </c>
    </row>
    <row r="85" spans="1:9">
      <c r="A85" s="12">
        <v>45079</v>
      </c>
      <c r="B85" s="11">
        <f t="shared" si="0"/>
        <v>2023</v>
      </c>
      <c r="C85" s="11">
        <f t="shared" si="2"/>
        <v>6</v>
      </c>
      <c r="D85" s="11" t="s">
        <v>9</v>
      </c>
      <c r="E85" s="13">
        <v>17102</v>
      </c>
      <c r="F85" s="13">
        <v>10607</v>
      </c>
      <c r="G85" s="13">
        <v>18403999716</v>
      </c>
      <c r="H85" s="98">
        <v>32.299999999999997</v>
      </c>
      <c r="I85" s="98">
        <v>87.38</v>
      </c>
    </row>
    <row r="86" spans="1:9">
      <c r="A86" s="12">
        <v>45080</v>
      </c>
      <c r="B86" s="11">
        <f t="shared" si="0"/>
        <v>2023</v>
      </c>
      <c r="C86" s="11">
        <f t="shared" si="2"/>
        <v>6</v>
      </c>
      <c r="D86" s="11" t="s">
        <v>8</v>
      </c>
      <c r="E86" s="11">
        <v>16118</v>
      </c>
      <c r="F86" s="13">
        <v>10606</v>
      </c>
      <c r="G86" s="13">
        <v>16902625014</v>
      </c>
      <c r="H86" s="98">
        <v>26.8</v>
      </c>
      <c r="I86" s="98">
        <v>57.8</v>
      </c>
    </row>
    <row r="87" spans="1:9">
      <c r="A87" s="12">
        <v>45081</v>
      </c>
      <c r="B87" s="11">
        <f t="shared" si="0"/>
        <v>2023</v>
      </c>
      <c r="C87" s="11">
        <f t="shared" si="2"/>
        <v>6</v>
      </c>
      <c r="D87" s="11" t="s">
        <v>22</v>
      </c>
      <c r="E87" s="13">
        <v>13187</v>
      </c>
      <c r="F87" s="13">
        <v>8372</v>
      </c>
      <c r="G87" s="13">
        <v>14253981227</v>
      </c>
      <c r="H87" s="98">
        <v>29.9</v>
      </c>
      <c r="I87" s="98">
        <v>82.23</v>
      </c>
    </row>
    <row r="88" spans="1:9">
      <c r="A88" s="12">
        <v>45082</v>
      </c>
      <c r="B88" s="11">
        <f t="shared" si="0"/>
        <v>2023</v>
      </c>
      <c r="C88" s="11">
        <f t="shared" si="2"/>
        <v>6</v>
      </c>
      <c r="D88" s="11" t="s">
        <v>79</v>
      </c>
      <c r="E88" s="13">
        <v>11902</v>
      </c>
      <c r="F88" s="13">
        <v>8103</v>
      </c>
      <c r="G88" s="13">
        <v>13570103248</v>
      </c>
      <c r="H88" s="98">
        <v>26.5</v>
      </c>
      <c r="I88" s="98">
        <v>71.27</v>
      </c>
    </row>
    <row r="89" spans="1:9">
      <c r="A89" s="12">
        <v>45083</v>
      </c>
      <c r="B89" s="11">
        <f t="shared" si="0"/>
        <v>2023</v>
      </c>
      <c r="C89" s="11">
        <f t="shared" si="2"/>
        <v>6</v>
      </c>
      <c r="D89" s="11" t="s">
        <v>10</v>
      </c>
      <c r="E89" s="13">
        <v>10768</v>
      </c>
      <c r="F89" s="13">
        <v>7549</v>
      </c>
      <c r="G89" s="13">
        <v>11839933223</v>
      </c>
      <c r="H89" s="98">
        <v>31.8</v>
      </c>
      <c r="I89" s="98">
        <v>84.13</v>
      </c>
    </row>
    <row r="90" spans="1:9">
      <c r="A90" s="12">
        <v>45084</v>
      </c>
      <c r="B90" s="11">
        <f t="shared" si="0"/>
        <v>2023</v>
      </c>
      <c r="C90" s="11">
        <f t="shared" si="2"/>
        <v>6</v>
      </c>
      <c r="D90" s="11" t="s">
        <v>12</v>
      </c>
      <c r="E90" s="13">
        <v>4850</v>
      </c>
      <c r="F90" s="13">
        <v>3255</v>
      </c>
      <c r="G90" s="13">
        <v>5634556847</v>
      </c>
      <c r="H90" s="98">
        <v>27.3</v>
      </c>
      <c r="I90" s="98">
        <v>60.79</v>
      </c>
    </row>
    <row r="91" spans="1:9">
      <c r="A91" s="12">
        <v>45085</v>
      </c>
      <c r="B91" s="11">
        <f t="shared" si="0"/>
        <v>2023</v>
      </c>
      <c r="C91" s="11">
        <f t="shared" si="2"/>
        <v>6</v>
      </c>
      <c r="D91" s="11" t="s">
        <v>88</v>
      </c>
      <c r="E91" s="13">
        <v>3826</v>
      </c>
      <c r="F91" s="13">
        <v>2649</v>
      </c>
      <c r="G91" s="13">
        <v>4407528812</v>
      </c>
      <c r="H91" s="98">
        <v>20.2</v>
      </c>
      <c r="I91" s="98">
        <v>45.17</v>
      </c>
    </row>
    <row r="92" spans="1:9">
      <c r="A92" s="12">
        <v>45086</v>
      </c>
      <c r="B92" s="11">
        <f t="shared" si="0"/>
        <v>2023</v>
      </c>
      <c r="C92" s="11">
        <f t="shared" si="2"/>
        <v>6</v>
      </c>
      <c r="D92" s="11" t="s">
        <v>84</v>
      </c>
      <c r="E92" s="13">
        <v>2672</v>
      </c>
      <c r="F92" s="13">
        <v>1745</v>
      </c>
      <c r="G92" s="13">
        <v>3082182822</v>
      </c>
      <c r="H92" s="98">
        <v>27.7</v>
      </c>
      <c r="I92" s="98">
        <v>41.85</v>
      </c>
    </row>
    <row r="93" spans="1:9">
      <c r="A93" s="12">
        <v>45087</v>
      </c>
      <c r="B93" s="11">
        <f t="shared" si="0"/>
        <v>2023</v>
      </c>
      <c r="C93" s="11">
        <f t="shared" si="2"/>
        <v>6</v>
      </c>
      <c r="D93" s="11" t="s">
        <v>91</v>
      </c>
      <c r="E93" s="13">
        <v>2513</v>
      </c>
      <c r="F93" s="13">
        <v>1734</v>
      </c>
      <c r="G93" s="13">
        <v>2782051095</v>
      </c>
      <c r="H93" s="98">
        <v>21.2</v>
      </c>
      <c r="I93" s="98">
        <v>48.24</v>
      </c>
    </row>
    <row r="94" spans="1:9">
      <c r="A94" s="12">
        <v>45088</v>
      </c>
      <c r="B94" s="11">
        <f t="shared" si="0"/>
        <v>2023</v>
      </c>
      <c r="C94" s="11">
        <f t="shared" si="2"/>
        <v>6</v>
      </c>
      <c r="D94" s="11" t="s">
        <v>11</v>
      </c>
      <c r="E94" s="13">
        <v>2477</v>
      </c>
      <c r="F94" s="13">
        <v>1705</v>
      </c>
      <c r="G94" s="13">
        <v>2875268489</v>
      </c>
      <c r="H94" s="98">
        <v>36.5</v>
      </c>
      <c r="I94" s="98">
        <v>67.760000000000005</v>
      </c>
    </row>
    <row r="95" spans="1:9">
      <c r="A95" s="12">
        <v>45089</v>
      </c>
      <c r="B95" s="11">
        <f t="shared" si="0"/>
        <v>2023</v>
      </c>
      <c r="C95" s="11">
        <f t="shared" si="2"/>
        <v>6</v>
      </c>
      <c r="D95" s="11" t="s">
        <v>7</v>
      </c>
      <c r="E95" s="13">
        <v>2306</v>
      </c>
      <c r="F95" s="13">
        <v>1513</v>
      </c>
      <c r="G95" s="13">
        <v>2475320743</v>
      </c>
      <c r="H95" s="98">
        <v>21.9</v>
      </c>
      <c r="I95" s="98">
        <v>51.23</v>
      </c>
    </row>
    <row r="96" spans="1:9">
      <c r="A96" s="12">
        <v>45090</v>
      </c>
      <c r="B96" s="11">
        <f t="shared" si="0"/>
        <v>2023</v>
      </c>
      <c r="C96" s="11">
        <f t="shared" si="2"/>
        <v>6</v>
      </c>
      <c r="D96" s="11" t="s">
        <v>20</v>
      </c>
      <c r="E96" s="13">
        <v>1409</v>
      </c>
      <c r="F96" s="13">
        <v>973</v>
      </c>
      <c r="G96" s="13">
        <v>1521471111</v>
      </c>
      <c r="H96" s="98">
        <v>28.3</v>
      </c>
      <c r="I96" s="98">
        <v>60.64</v>
      </c>
    </row>
    <row r="97" spans="1:9">
      <c r="A97" s="12">
        <v>45091</v>
      </c>
      <c r="B97" s="11">
        <f t="shared" si="0"/>
        <v>2023</v>
      </c>
      <c r="C97" s="11">
        <f t="shared" si="2"/>
        <v>6</v>
      </c>
      <c r="D97" s="11" t="s">
        <v>19</v>
      </c>
      <c r="E97" s="13">
        <v>1176</v>
      </c>
      <c r="F97" s="13">
        <v>767</v>
      </c>
      <c r="G97" s="13">
        <v>1254782978</v>
      </c>
      <c r="H97" s="98">
        <v>24.5</v>
      </c>
      <c r="I97" s="98">
        <v>53.27</v>
      </c>
    </row>
    <row r="98" spans="1:9">
      <c r="A98" s="12">
        <v>45092</v>
      </c>
      <c r="B98" s="11">
        <f t="shared" si="0"/>
        <v>2023</v>
      </c>
      <c r="C98" s="11">
        <f t="shared" si="2"/>
        <v>6</v>
      </c>
      <c r="D98" s="11" t="s">
        <v>93</v>
      </c>
      <c r="E98" s="13">
        <v>682</v>
      </c>
      <c r="F98" s="13">
        <v>505</v>
      </c>
      <c r="G98" s="13">
        <v>669139708.20000005</v>
      </c>
      <c r="H98" s="98">
        <v>20.9</v>
      </c>
      <c r="I98" s="98">
        <v>21.55</v>
      </c>
    </row>
    <row r="99" spans="1:9">
      <c r="A99" s="12">
        <v>45093</v>
      </c>
      <c r="B99" s="11">
        <f t="shared" si="0"/>
        <v>2023</v>
      </c>
      <c r="C99" s="11">
        <f t="shared" si="2"/>
        <v>6</v>
      </c>
      <c r="D99" s="11" t="s">
        <v>24</v>
      </c>
      <c r="E99" s="13">
        <v>492</v>
      </c>
      <c r="F99" s="13">
        <v>309</v>
      </c>
      <c r="G99" s="13">
        <v>536995672</v>
      </c>
      <c r="H99" s="98">
        <v>20.2</v>
      </c>
      <c r="I99" s="98">
        <v>22.91</v>
      </c>
    </row>
    <row r="100" spans="1:9">
      <c r="A100" s="12">
        <v>45094</v>
      </c>
      <c r="B100" s="11">
        <f t="shared" si="0"/>
        <v>2023</v>
      </c>
      <c r="C100" s="11">
        <f t="shared" si="2"/>
        <v>6</v>
      </c>
      <c r="D100" s="11" t="s">
        <v>28</v>
      </c>
      <c r="E100" s="13">
        <v>166</v>
      </c>
      <c r="F100" s="13">
        <v>117</v>
      </c>
      <c r="G100" s="13">
        <v>161172626.69999999</v>
      </c>
      <c r="H100" s="98">
        <v>36.799999999999997</v>
      </c>
      <c r="I100" s="98">
        <v>21.33</v>
      </c>
    </row>
    <row r="101" spans="1:9">
      <c r="A101" s="12">
        <v>45108</v>
      </c>
      <c r="B101" s="11">
        <f t="shared" si="0"/>
        <v>2023</v>
      </c>
      <c r="C101" s="11">
        <f t="shared" si="2"/>
        <v>7</v>
      </c>
      <c r="D101" s="11" t="s">
        <v>75</v>
      </c>
      <c r="E101" s="13">
        <v>32032</v>
      </c>
      <c r="F101" s="13">
        <v>20344</v>
      </c>
      <c r="G101" s="13">
        <v>34950935638</v>
      </c>
      <c r="H101" s="98">
        <v>31.7</v>
      </c>
      <c r="I101" s="98">
        <v>73.19</v>
      </c>
    </row>
    <row r="102" spans="1:9">
      <c r="A102" s="12">
        <v>45109</v>
      </c>
      <c r="B102" s="11">
        <f t="shared" si="0"/>
        <v>2023</v>
      </c>
      <c r="C102" s="11">
        <f t="shared" si="2"/>
        <v>7</v>
      </c>
      <c r="D102" s="11" t="s">
        <v>9</v>
      </c>
      <c r="E102" s="13">
        <v>19631</v>
      </c>
      <c r="F102" s="13">
        <v>12226</v>
      </c>
      <c r="G102" s="13">
        <v>21836793254</v>
      </c>
      <c r="H102" s="98">
        <v>30.5</v>
      </c>
      <c r="I102" s="98">
        <v>81.349999999999994</v>
      </c>
    </row>
    <row r="103" spans="1:9">
      <c r="A103" s="12">
        <v>45110</v>
      </c>
      <c r="B103" s="11">
        <f t="shared" si="0"/>
        <v>2023</v>
      </c>
      <c r="C103" s="11">
        <f t="shared" si="2"/>
        <v>7</v>
      </c>
      <c r="D103" s="11" t="s">
        <v>8</v>
      </c>
      <c r="E103" s="13">
        <v>18295</v>
      </c>
      <c r="F103" s="13">
        <v>12289</v>
      </c>
      <c r="G103" s="13">
        <v>19280598136</v>
      </c>
      <c r="H103" s="98">
        <v>28.6</v>
      </c>
      <c r="I103" s="98">
        <v>61.13</v>
      </c>
    </row>
    <row r="104" spans="1:9">
      <c r="A104" s="12">
        <v>45111</v>
      </c>
      <c r="B104" s="11">
        <f t="shared" si="0"/>
        <v>2023</v>
      </c>
      <c r="C104" s="11">
        <f t="shared" si="2"/>
        <v>7</v>
      </c>
      <c r="D104" s="11" t="s">
        <v>79</v>
      </c>
      <c r="E104" s="13">
        <v>13119</v>
      </c>
      <c r="F104" s="13">
        <v>9070</v>
      </c>
      <c r="G104" s="13">
        <v>15543782692</v>
      </c>
      <c r="H104" s="98">
        <v>22.9</v>
      </c>
      <c r="I104" s="98">
        <v>54.62</v>
      </c>
    </row>
    <row r="105" spans="1:9">
      <c r="A105" s="12">
        <v>45112</v>
      </c>
      <c r="B105" s="11">
        <f t="shared" si="0"/>
        <v>2023</v>
      </c>
      <c r="C105" s="11">
        <f t="shared" si="2"/>
        <v>7</v>
      </c>
      <c r="D105" s="11" t="s">
        <v>10</v>
      </c>
      <c r="E105" s="13">
        <v>12655</v>
      </c>
      <c r="F105" s="13">
        <v>8673</v>
      </c>
      <c r="G105" s="13">
        <v>14569010215</v>
      </c>
      <c r="H105" s="98">
        <v>27.4</v>
      </c>
      <c r="I105" s="98">
        <v>53.89</v>
      </c>
    </row>
    <row r="106" spans="1:9">
      <c r="A106" s="12">
        <v>45113</v>
      </c>
      <c r="B106" s="11">
        <f t="shared" si="0"/>
        <v>2023</v>
      </c>
      <c r="C106" s="11">
        <f t="shared" si="2"/>
        <v>7</v>
      </c>
      <c r="D106" s="11" t="s">
        <v>22</v>
      </c>
      <c r="E106" s="13">
        <v>12644</v>
      </c>
      <c r="F106" s="13">
        <v>8225</v>
      </c>
      <c r="G106" s="13">
        <v>13904977780</v>
      </c>
      <c r="H106" s="98">
        <v>30.3</v>
      </c>
      <c r="I106" s="98">
        <v>79.150000000000006</v>
      </c>
    </row>
    <row r="107" spans="1:9">
      <c r="A107" s="12">
        <v>45114</v>
      </c>
      <c r="B107" s="11">
        <f t="shared" si="0"/>
        <v>2023</v>
      </c>
      <c r="C107" s="11">
        <f t="shared" si="2"/>
        <v>7</v>
      </c>
      <c r="D107" s="11" t="s">
        <v>12</v>
      </c>
      <c r="E107" s="13">
        <v>8153</v>
      </c>
      <c r="F107" s="13">
        <v>5478</v>
      </c>
      <c r="G107" s="13">
        <v>9624091266</v>
      </c>
      <c r="H107" s="98">
        <v>31.6</v>
      </c>
      <c r="I107" s="98">
        <v>65.959999999999994</v>
      </c>
    </row>
    <row r="108" spans="1:9">
      <c r="A108" s="12">
        <v>45115</v>
      </c>
      <c r="B108" s="11">
        <f t="shared" si="0"/>
        <v>2023</v>
      </c>
      <c r="C108" s="11">
        <f t="shared" si="2"/>
        <v>7</v>
      </c>
      <c r="D108" s="11" t="s">
        <v>88</v>
      </c>
      <c r="E108" s="13">
        <v>3706</v>
      </c>
      <c r="F108" s="13">
        <v>2611</v>
      </c>
      <c r="G108" s="13">
        <v>4424089324</v>
      </c>
      <c r="H108" s="98">
        <v>18</v>
      </c>
      <c r="I108" s="98">
        <v>39.04</v>
      </c>
    </row>
    <row r="109" spans="1:9">
      <c r="A109" s="12">
        <v>45116</v>
      </c>
      <c r="B109" s="11">
        <f t="shared" si="0"/>
        <v>2023</v>
      </c>
      <c r="C109" s="11">
        <f t="shared" si="2"/>
        <v>7</v>
      </c>
      <c r="D109" s="11" t="s">
        <v>84</v>
      </c>
      <c r="E109" s="13">
        <v>3103</v>
      </c>
      <c r="F109" s="13">
        <v>2203</v>
      </c>
      <c r="G109" s="13">
        <v>3859352323</v>
      </c>
      <c r="H109" s="98">
        <v>21.9</v>
      </c>
      <c r="I109" s="98">
        <v>34.97</v>
      </c>
    </row>
    <row r="110" spans="1:9">
      <c r="A110" s="12">
        <v>45117</v>
      </c>
      <c r="B110" s="11">
        <f t="shared" si="0"/>
        <v>2023</v>
      </c>
      <c r="C110" s="11">
        <f t="shared" si="2"/>
        <v>7</v>
      </c>
      <c r="D110" s="11" t="s">
        <v>11</v>
      </c>
      <c r="E110" s="13">
        <v>1288</v>
      </c>
      <c r="F110" s="13">
        <v>830</v>
      </c>
      <c r="G110" s="13">
        <v>1465193430</v>
      </c>
      <c r="H110" s="98">
        <v>33.799999999999997</v>
      </c>
      <c r="I110" s="98">
        <v>62.06</v>
      </c>
    </row>
    <row r="111" spans="1:9">
      <c r="A111" s="12">
        <v>45118</v>
      </c>
      <c r="B111" s="11">
        <f t="shared" si="0"/>
        <v>2023</v>
      </c>
      <c r="C111" s="11">
        <f t="shared" si="2"/>
        <v>7</v>
      </c>
      <c r="D111" s="11" t="s">
        <v>7</v>
      </c>
      <c r="E111" s="13">
        <v>1270</v>
      </c>
      <c r="F111" s="13">
        <v>881</v>
      </c>
      <c r="G111" s="13">
        <v>1485786148</v>
      </c>
      <c r="H111" s="98">
        <v>33.200000000000003</v>
      </c>
      <c r="I111" s="98">
        <v>73.2</v>
      </c>
    </row>
    <row r="112" spans="1:9">
      <c r="A112" s="12">
        <v>45119</v>
      </c>
      <c r="B112" s="11">
        <f t="shared" si="0"/>
        <v>2023</v>
      </c>
      <c r="C112" s="11">
        <f t="shared" si="2"/>
        <v>7</v>
      </c>
      <c r="D112" s="11" t="s">
        <v>91</v>
      </c>
      <c r="E112" s="13">
        <v>1248</v>
      </c>
      <c r="F112" s="13">
        <v>845</v>
      </c>
      <c r="G112" s="13">
        <v>1381996116</v>
      </c>
      <c r="H112" s="98">
        <v>17.399999999999999</v>
      </c>
      <c r="I112" s="98">
        <v>39.71</v>
      </c>
    </row>
    <row r="113" spans="1:9">
      <c r="A113" s="12">
        <v>45120</v>
      </c>
      <c r="B113" s="11">
        <f t="shared" si="0"/>
        <v>2023</v>
      </c>
      <c r="C113" s="11">
        <f t="shared" si="2"/>
        <v>7</v>
      </c>
      <c r="D113" s="11" t="s">
        <v>19</v>
      </c>
      <c r="E113" s="13">
        <v>1188</v>
      </c>
      <c r="F113" s="13">
        <v>817</v>
      </c>
      <c r="G113" s="13">
        <v>1314147207</v>
      </c>
      <c r="H113" s="98">
        <v>32.9</v>
      </c>
      <c r="I113" s="98">
        <v>67.17</v>
      </c>
    </row>
    <row r="114" spans="1:9">
      <c r="A114" s="12">
        <v>45121</v>
      </c>
      <c r="B114" s="11">
        <f t="shared" si="0"/>
        <v>2023</v>
      </c>
      <c r="C114" s="11">
        <f t="shared" si="2"/>
        <v>7</v>
      </c>
      <c r="D114" s="11" t="s">
        <v>20</v>
      </c>
      <c r="E114" s="13">
        <v>1083</v>
      </c>
      <c r="F114" s="13">
        <v>771</v>
      </c>
      <c r="G114" s="13">
        <v>1223139608</v>
      </c>
      <c r="H114" s="98">
        <v>25.1</v>
      </c>
      <c r="I114" s="98">
        <v>56.33</v>
      </c>
    </row>
    <row r="115" spans="1:9">
      <c r="A115" s="12">
        <v>45122</v>
      </c>
      <c r="B115" s="11">
        <f t="shared" si="0"/>
        <v>2023</v>
      </c>
      <c r="C115" s="11">
        <f t="shared" si="2"/>
        <v>7</v>
      </c>
      <c r="D115" s="11" t="s">
        <v>28</v>
      </c>
      <c r="E115" s="13">
        <v>575</v>
      </c>
      <c r="F115" s="13">
        <v>383</v>
      </c>
      <c r="G115" s="13">
        <v>528167979.80000001</v>
      </c>
      <c r="H115" s="98">
        <v>20.399999999999999</v>
      </c>
      <c r="I115" s="98">
        <v>25.95</v>
      </c>
    </row>
    <row r="116" spans="1:9">
      <c r="A116" s="12">
        <v>45123</v>
      </c>
      <c r="B116" s="11">
        <f t="shared" si="0"/>
        <v>2023</v>
      </c>
      <c r="C116" s="11">
        <f t="shared" si="2"/>
        <v>7</v>
      </c>
      <c r="D116" s="11" t="s">
        <v>24</v>
      </c>
      <c r="E116" s="13">
        <v>253</v>
      </c>
      <c r="F116" s="13">
        <v>194</v>
      </c>
      <c r="G116" s="13">
        <v>309932136.5</v>
      </c>
      <c r="H116" s="98">
        <v>38.200000000000003</v>
      </c>
      <c r="I116" s="98">
        <v>11.25</v>
      </c>
    </row>
    <row r="117" spans="1:9">
      <c r="A117" s="12">
        <v>45124</v>
      </c>
      <c r="B117" s="11">
        <f t="shared" si="0"/>
        <v>2023</v>
      </c>
      <c r="C117" s="11">
        <f t="shared" si="2"/>
        <v>7</v>
      </c>
      <c r="D117" s="11" t="s">
        <v>93</v>
      </c>
      <c r="E117" s="13">
        <v>137</v>
      </c>
      <c r="F117" s="13">
        <v>83</v>
      </c>
      <c r="G117" s="13">
        <v>133864406.90000001</v>
      </c>
      <c r="H117" s="98">
        <v>21.5</v>
      </c>
      <c r="I117" s="98">
        <v>16.98</v>
      </c>
    </row>
    <row r="118" spans="1:9">
      <c r="A118" s="12">
        <v>45139</v>
      </c>
      <c r="B118" s="11">
        <f t="shared" si="0"/>
        <v>2023</v>
      </c>
      <c r="C118" s="11">
        <f t="shared" si="2"/>
        <v>8</v>
      </c>
      <c r="D118" s="11" t="s">
        <v>75</v>
      </c>
      <c r="E118" s="13">
        <v>22137</v>
      </c>
      <c r="F118" s="13">
        <v>14294</v>
      </c>
      <c r="G118" s="13">
        <v>24913905374</v>
      </c>
      <c r="H118" s="98">
        <v>29.9</v>
      </c>
      <c r="I118" s="98">
        <v>77.31</v>
      </c>
    </row>
    <row r="119" spans="1:9">
      <c r="A119" s="12">
        <v>45140</v>
      </c>
      <c r="B119" s="11">
        <f t="shared" si="0"/>
        <v>2023</v>
      </c>
      <c r="C119" s="11">
        <f t="shared" si="2"/>
        <v>8</v>
      </c>
      <c r="D119" s="11" t="s">
        <v>8</v>
      </c>
      <c r="E119" s="13">
        <v>17155</v>
      </c>
      <c r="F119" s="13">
        <v>11363</v>
      </c>
      <c r="G119" s="13">
        <v>18799964442</v>
      </c>
      <c r="H119" s="98">
        <v>27.8</v>
      </c>
      <c r="I119" s="98">
        <v>56.81</v>
      </c>
    </row>
    <row r="120" spans="1:9">
      <c r="A120" s="12">
        <v>45141</v>
      </c>
      <c r="B120" s="11">
        <f t="shared" si="0"/>
        <v>2023</v>
      </c>
      <c r="C120" s="11">
        <f t="shared" si="2"/>
        <v>8</v>
      </c>
      <c r="D120" s="11" t="s">
        <v>10</v>
      </c>
      <c r="E120" s="13">
        <v>15089</v>
      </c>
      <c r="F120" s="13">
        <v>9933</v>
      </c>
      <c r="G120" s="13">
        <v>16570286666</v>
      </c>
      <c r="H120" s="98">
        <v>28</v>
      </c>
      <c r="I120" s="98">
        <v>61.06</v>
      </c>
    </row>
    <row r="121" spans="1:9">
      <c r="A121" s="12">
        <v>45142</v>
      </c>
      <c r="B121" s="11">
        <f t="shared" si="0"/>
        <v>2023</v>
      </c>
      <c r="C121" s="11">
        <f t="shared" si="2"/>
        <v>8</v>
      </c>
      <c r="D121" s="11" t="s">
        <v>9</v>
      </c>
      <c r="E121" s="13">
        <v>14606</v>
      </c>
      <c r="F121" s="13">
        <v>9301</v>
      </c>
      <c r="G121" s="13">
        <v>16596981097</v>
      </c>
      <c r="H121" s="98">
        <v>33.799999999999997</v>
      </c>
      <c r="I121" s="98">
        <v>103.54</v>
      </c>
    </row>
    <row r="122" spans="1:9">
      <c r="A122" s="12">
        <v>45143</v>
      </c>
      <c r="B122" s="11">
        <f t="shared" si="0"/>
        <v>2023</v>
      </c>
      <c r="C122" s="11">
        <f t="shared" si="2"/>
        <v>8</v>
      </c>
      <c r="D122" s="11" t="s">
        <v>22</v>
      </c>
      <c r="E122" s="13">
        <v>12457</v>
      </c>
      <c r="F122" s="13">
        <v>8208</v>
      </c>
      <c r="G122" s="13">
        <v>14116950153</v>
      </c>
      <c r="H122" s="98">
        <v>31.3</v>
      </c>
      <c r="I122" s="98">
        <v>78.28</v>
      </c>
    </row>
    <row r="123" spans="1:9">
      <c r="A123" s="12">
        <v>45144</v>
      </c>
      <c r="B123" s="11">
        <f t="shared" si="0"/>
        <v>2023</v>
      </c>
      <c r="C123" s="11">
        <f t="shared" si="2"/>
        <v>8</v>
      </c>
      <c r="D123" s="11" t="s">
        <v>79</v>
      </c>
      <c r="E123" s="13">
        <v>8207</v>
      </c>
      <c r="F123" s="13">
        <v>5761</v>
      </c>
      <c r="G123" s="13">
        <v>9710081842</v>
      </c>
      <c r="H123" s="98">
        <v>30.8</v>
      </c>
      <c r="I123" s="98">
        <v>75.62</v>
      </c>
    </row>
    <row r="124" spans="1:9">
      <c r="A124" s="12">
        <v>45145</v>
      </c>
      <c r="B124" s="11">
        <f t="shared" si="0"/>
        <v>2023</v>
      </c>
      <c r="C124" s="11">
        <f t="shared" si="2"/>
        <v>8</v>
      </c>
      <c r="D124" s="11" t="s">
        <v>12</v>
      </c>
      <c r="E124" s="13">
        <v>6588</v>
      </c>
      <c r="F124" s="13">
        <v>4460</v>
      </c>
      <c r="G124" s="13">
        <v>7785088541</v>
      </c>
      <c r="H124" s="98">
        <v>27.4</v>
      </c>
      <c r="I124" s="98">
        <v>60.93</v>
      </c>
    </row>
    <row r="125" spans="1:9">
      <c r="A125" s="12">
        <v>45146</v>
      </c>
      <c r="B125" s="11">
        <f t="shared" si="0"/>
        <v>2023</v>
      </c>
      <c r="C125" s="11">
        <f t="shared" si="2"/>
        <v>8</v>
      </c>
      <c r="D125" s="11" t="s">
        <v>88</v>
      </c>
      <c r="E125" s="13">
        <v>2805</v>
      </c>
      <c r="F125" s="13">
        <v>2002</v>
      </c>
      <c r="G125" s="13">
        <v>3339001031</v>
      </c>
      <c r="H125" s="98">
        <v>32.1</v>
      </c>
      <c r="I125" s="98">
        <v>69.260000000000005</v>
      </c>
    </row>
    <row r="126" spans="1:9">
      <c r="A126" s="12">
        <v>45147</v>
      </c>
      <c r="B126" s="11">
        <f t="shared" si="0"/>
        <v>2023</v>
      </c>
      <c r="C126" s="11">
        <f t="shared" si="2"/>
        <v>8</v>
      </c>
      <c r="D126" s="11" t="s">
        <v>20</v>
      </c>
      <c r="E126" s="13">
        <v>2610</v>
      </c>
      <c r="F126" s="13">
        <v>1844</v>
      </c>
      <c r="G126" s="13">
        <v>2972495302</v>
      </c>
      <c r="H126" s="98">
        <v>28</v>
      </c>
      <c r="I126" s="98">
        <v>58.13</v>
      </c>
    </row>
    <row r="127" spans="1:9">
      <c r="A127" s="12">
        <v>45148</v>
      </c>
      <c r="B127" s="11">
        <f t="shared" si="0"/>
        <v>2023</v>
      </c>
      <c r="C127" s="11">
        <f t="shared" si="2"/>
        <v>8</v>
      </c>
      <c r="D127" s="11" t="s">
        <v>84</v>
      </c>
      <c r="E127" s="13">
        <v>2539</v>
      </c>
      <c r="F127" s="13">
        <v>1623</v>
      </c>
      <c r="G127" s="13">
        <v>3164279199</v>
      </c>
      <c r="H127" s="98">
        <v>25.6</v>
      </c>
      <c r="I127" s="98">
        <v>35.14</v>
      </c>
    </row>
    <row r="128" spans="1:9">
      <c r="A128" s="12">
        <v>45149</v>
      </c>
      <c r="B128" s="11">
        <f t="shared" si="0"/>
        <v>2023</v>
      </c>
      <c r="C128" s="11">
        <f t="shared" si="2"/>
        <v>8</v>
      </c>
      <c r="D128" s="11" t="s">
        <v>11</v>
      </c>
      <c r="E128" s="13">
        <v>2538</v>
      </c>
      <c r="F128" s="13">
        <v>1584</v>
      </c>
      <c r="G128" s="13">
        <v>2865263127</v>
      </c>
      <c r="H128" s="98">
        <v>30</v>
      </c>
      <c r="I128" s="98">
        <v>53.47</v>
      </c>
    </row>
    <row r="129" spans="1:9">
      <c r="A129" s="12">
        <v>45150</v>
      </c>
      <c r="B129" s="11">
        <f t="shared" si="0"/>
        <v>2023</v>
      </c>
      <c r="C129" s="11">
        <f t="shared" si="2"/>
        <v>8</v>
      </c>
      <c r="D129" s="11" t="s">
        <v>91</v>
      </c>
      <c r="E129" s="13">
        <v>2456</v>
      </c>
      <c r="F129" s="13">
        <v>1724</v>
      </c>
      <c r="G129" s="13">
        <v>2827940049</v>
      </c>
      <c r="H129" s="98">
        <v>21.5</v>
      </c>
      <c r="I129" s="98">
        <v>49.89</v>
      </c>
    </row>
    <row r="130" spans="1:9">
      <c r="A130" s="12">
        <v>45151</v>
      </c>
      <c r="B130" s="11">
        <f t="shared" si="0"/>
        <v>2023</v>
      </c>
      <c r="C130" s="11">
        <f t="shared" si="2"/>
        <v>8</v>
      </c>
      <c r="D130" s="11" t="s">
        <v>19</v>
      </c>
      <c r="E130" s="13">
        <v>2387</v>
      </c>
      <c r="F130" s="13">
        <v>1628</v>
      </c>
      <c r="G130" s="13">
        <v>2669804252</v>
      </c>
      <c r="H130" s="98">
        <v>24.7</v>
      </c>
      <c r="I130" s="98">
        <v>51.21</v>
      </c>
    </row>
    <row r="131" spans="1:9">
      <c r="A131" s="12">
        <v>45152</v>
      </c>
      <c r="B131" s="11">
        <f t="shared" si="0"/>
        <v>2023</v>
      </c>
      <c r="C131" s="11">
        <f t="shared" si="2"/>
        <v>8</v>
      </c>
      <c r="D131" s="11" t="s">
        <v>7</v>
      </c>
      <c r="E131" s="13">
        <v>2284</v>
      </c>
      <c r="F131" s="13">
        <v>1581</v>
      </c>
      <c r="G131" s="13">
        <v>2677201065</v>
      </c>
      <c r="H131" s="98">
        <v>38.200000000000003</v>
      </c>
      <c r="I131" s="98">
        <v>76.319999999999993</v>
      </c>
    </row>
    <row r="132" spans="1:9">
      <c r="A132" s="12">
        <v>45153</v>
      </c>
      <c r="B132" s="11">
        <f t="shared" si="0"/>
        <v>2023</v>
      </c>
      <c r="C132" s="11">
        <f t="shared" si="2"/>
        <v>8</v>
      </c>
      <c r="D132" s="11" t="s">
        <v>24</v>
      </c>
      <c r="E132" s="13">
        <v>800</v>
      </c>
      <c r="F132" s="13">
        <v>488</v>
      </c>
      <c r="G132" s="13">
        <v>907074617.70000005</v>
      </c>
      <c r="H132" s="98">
        <v>25.5</v>
      </c>
      <c r="I132" s="98">
        <v>23.3</v>
      </c>
    </row>
    <row r="133" spans="1:9">
      <c r="A133" s="12">
        <v>45154</v>
      </c>
      <c r="B133" s="11">
        <f t="shared" si="0"/>
        <v>2023</v>
      </c>
      <c r="C133" s="11">
        <f t="shared" si="2"/>
        <v>8</v>
      </c>
      <c r="D133" s="11" t="s">
        <v>93</v>
      </c>
      <c r="E133" s="13">
        <v>299</v>
      </c>
      <c r="F133" s="13">
        <v>243</v>
      </c>
      <c r="G133" s="13">
        <v>321991534.10000002</v>
      </c>
      <c r="H133" s="98">
        <v>28</v>
      </c>
      <c r="I133" s="98">
        <v>18.190000000000001</v>
      </c>
    </row>
    <row r="134" spans="1:9">
      <c r="A134" s="12">
        <v>45155</v>
      </c>
      <c r="B134" s="11">
        <f t="shared" si="0"/>
        <v>2023</v>
      </c>
      <c r="C134" s="11">
        <f t="shared" si="2"/>
        <v>8</v>
      </c>
      <c r="D134" s="11" t="s">
        <v>28</v>
      </c>
      <c r="E134" s="13">
        <v>276</v>
      </c>
      <c r="F134" s="13">
        <v>249</v>
      </c>
      <c r="G134" s="13">
        <v>313372963.69999999</v>
      </c>
      <c r="H134" s="98">
        <v>23.4</v>
      </c>
      <c r="I134" s="98">
        <v>19.899999999999999</v>
      </c>
    </row>
    <row r="135" spans="1:9">
      <c r="A135" s="12">
        <v>45170</v>
      </c>
      <c r="B135" s="11">
        <f t="shared" si="0"/>
        <v>2023</v>
      </c>
      <c r="C135" s="11">
        <f t="shared" si="2"/>
        <v>9</v>
      </c>
      <c r="D135" s="11" t="s">
        <v>22</v>
      </c>
      <c r="E135" s="13">
        <v>20557</v>
      </c>
      <c r="F135" s="13">
        <v>14072</v>
      </c>
      <c r="G135" s="13">
        <v>23691155436</v>
      </c>
      <c r="H135" s="98">
        <v>28.8</v>
      </c>
      <c r="I135" s="98">
        <v>77.849999999999994</v>
      </c>
    </row>
    <row r="136" spans="1:9">
      <c r="A136" s="12">
        <v>45171</v>
      </c>
      <c r="B136" s="11">
        <f t="shared" si="0"/>
        <v>2023</v>
      </c>
      <c r="C136" s="11">
        <f t="shared" si="2"/>
        <v>9</v>
      </c>
      <c r="D136" s="11" t="s">
        <v>75</v>
      </c>
      <c r="E136" s="13">
        <v>19453</v>
      </c>
      <c r="F136" s="13">
        <v>12434</v>
      </c>
      <c r="G136" s="13">
        <v>22636718335</v>
      </c>
      <c r="H136" s="98">
        <v>30.1</v>
      </c>
      <c r="I136" s="98">
        <v>72.599999999999994</v>
      </c>
    </row>
    <row r="137" spans="1:9">
      <c r="A137" s="12">
        <v>45172</v>
      </c>
      <c r="B137" s="11">
        <f t="shared" si="0"/>
        <v>2023</v>
      </c>
      <c r="C137" s="11">
        <f t="shared" si="2"/>
        <v>9</v>
      </c>
      <c r="D137" s="11" t="s">
        <v>9</v>
      </c>
      <c r="E137" s="13">
        <v>17892</v>
      </c>
      <c r="F137" s="13">
        <v>10961</v>
      </c>
      <c r="G137" s="13">
        <v>19971100017</v>
      </c>
      <c r="H137" s="98">
        <v>29.9</v>
      </c>
      <c r="I137" s="98">
        <v>91.29</v>
      </c>
    </row>
    <row r="138" spans="1:9">
      <c r="A138" s="12">
        <v>45173</v>
      </c>
      <c r="B138" s="11">
        <f t="shared" si="0"/>
        <v>2023</v>
      </c>
      <c r="C138" s="11">
        <f t="shared" si="2"/>
        <v>9</v>
      </c>
      <c r="D138" s="11" t="s">
        <v>10</v>
      </c>
      <c r="E138" s="13">
        <v>17439</v>
      </c>
      <c r="F138" s="13">
        <v>12214</v>
      </c>
      <c r="G138" s="13">
        <v>18785485399</v>
      </c>
      <c r="H138" s="98">
        <v>29.7</v>
      </c>
      <c r="I138" s="98">
        <v>68.83</v>
      </c>
    </row>
    <row r="139" spans="1:9">
      <c r="A139" s="12">
        <v>45174</v>
      </c>
      <c r="B139" s="11">
        <f t="shared" si="0"/>
        <v>2023</v>
      </c>
      <c r="C139" s="11">
        <f t="shared" si="2"/>
        <v>9</v>
      </c>
      <c r="D139" s="11" t="s">
        <v>8</v>
      </c>
      <c r="E139" s="13">
        <v>16247</v>
      </c>
      <c r="F139" s="13">
        <v>10349</v>
      </c>
      <c r="G139" s="13">
        <v>17551145516</v>
      </c>
      <c r="H139" s="98">
        <v>29.1</v>
      </c>
      <c r="I139" s="98">
        <v>58.86</v>
      </c>
    </row>
    <row r="140" spans="1:9">
      <c r="A140" s="12">
        <v>45175</v>
      </c>
      <c r="B140" s="11">
        <f t="shared" si="0"/>
        <v>2023</v>
      </c>
      <c r="C140" s="11">
        <f t="shared" si="2"/>
        <v>9</v>
      </c>
      <c r="D140" s="11" t="s">
        <v>12</v>
      </c>
      <c r="E140" s="13">
        <v>7653</v>
      </c>
      <c r="F140" s="13">
        <v>4966</v>
      </c>
      <c r="G140" s="13">
        <v>8933044559</v>
      </c>
      <c r="H140" s="98">
        <v>24.8</v>
      </c>
      <c r="I140" s="98">
        <v>51.99</v>
      </c>
    </row>
    <row r="141" spans="1:9">
      <c r="A141" s="12">
        <v>45176</v>
      </c>
      <c r="B141" s="11">
        <f t="shared" si="0"/>
        <v>2023</v>
      </c>
      <c r="C141" s="11">
        <f t="shared" si="2"/>
        <v>9</v>
      </c>
      <c r="D141" s="11" t="s">
        <v>79</v>
      </c>
      <c r="E141" s="13">
        <v>6027</v>
      </c>
      <c r="F141" s="13">
        <v>4144</v>
      </c>
      <c r="G141" s="13">
        <v>7152676640</v>
      </c>
      <c r="H141" s="98">
        <v>25.6</v>
      </c>
      <c r="I141" s="98">
        <v>75.13</v>
      </c>
    </row>
    <row r="142" spans="1:9">
      <c r="A142" s="12">
        <v>45177</v>
      </c>
      <c r="B142" s="11">
        <f t="shared" si="0"/>
        <v>2023</v>
      </c>
      <c r="C142" s="11">
        <f t="shared" si="2"/>
        <v>9</v>
      </c>
      <c r="D142" s="11" t="s">
        <v>84</v>
      </c>
      <c r="E142" s="13">
        <v>3494</v>
      </c>
      <c r="F142" s="13">
        <v>2267</v>
      </c>
      <c r="G142" s="13">
        <v>4314835399</v>
      </c>
      <c r="H142" s="98">
        <v>24.5</v>
      </c>
      <c r="I142" s="98">
        <v>39.130000000000003</v>
      </c>
    </row>
    <row r="143" spans="1:9">
      <c r="A143" s="12">
        <v>45178</v>
      </c>
      <c r="B143" s="11">
        <f t="shared" si="0"/>
        <v>2023</v>
      </c>
      <c r="C143" s="11">
        <f t="shared" si="2"/>
        <v>9</v>
      </c>
      <c r="D143" s="11" t="s">
        <v>20</v>
      </c>
      <c r="E143" s="13">
        <v>2916</v>
      </c>
      <c r="F143" s="13">
        <v>1987</v>
      </c>
      <c r="G143" s="13">
        <v>3312785900</v>
      </c>
      <c r="H143" s="98">
        <v>21.2</v>
      </c>
      <c r="I143" s="98">
        <v>51.84</v>
      </c>
    </row>
    <row r="144" spans="1:9">
      <c r="A144" s="12">
        <v>45179</v>
      </c>
      <c r="B144" s="11">
        <f t="shared" si="0"/>
        <v>2023</v>
      </c>
      <c r="C144" s="11">
        <f t="shared" si="2"/>
        <v>9</v>
      </c>
      <c r="D144" s="11" t="s">
        <v>88</v>
      </c>
      <c r="E144" s="13">
        <v>1986</v>
      </c>
      <c r="F144" s="13">
        <v>1310</v>
      </c>
      <c r="G144" s="13">
        <v>2297554164</v>
      </c>
      <c r="H144" s="98">
        <v>19.5</v>
      </c>
      <c r="I144" s="98">
        <v>40.68</v>
      </c>
    </row>
    <row r="145" spans="1:9">
      <c r="A145" s="12">
        <v>45180</v>
      </c>
      <c r="B145" s="11">
        <f t="shared" si="0"/>
        <v>2023</v>
      </c>
      <c r="C145" s="11">
        <f t="shared" si="2"/>
        <v>9</v>
      </c>
      <c r="D145" s="11" t="s">
        <v>7</v>
      </c>
      <c r="E145" s="13">
        <v>1254</v>
      </c>
      <c r="F145" s="13">
        <v>871</v>
      </c>
      <c r="G145" s="13">
        <v>1523814406</v>
      </c>
      <c r="H145" s="98">
        <v>36.799999999999997</v>
      </c>
      <c r="I145" s="98">
        <v>74.67</v>
      </c>
    </row>
    <row r="146" spans="1:9">
      <c r="A146" s="12">
        <v>45181</v>
      </c>
      <c r="B146" s="11">
        <f t="shared" si="0"/>
        <v>2023</v>
      </c>
      <c r="C146" s="11">
        <f t="shared" si="2"/>
        <v>9</v>
      </c>
      <c r="D146" s="11" t="s">
        <v>91</v>
      </c>
      <c r="E146" s="13">
        <v>1223</v>
      </c>
      <c r="F146" s="13">
        <v>873</v>
      </c>
      <c r="G146" s="13">
        <v>1418792308</v>
      </c>
      <c r="H146" s="98">
        <v>33.5</v>
      </c>
      <c r="I146" s="98">
        <v>73.17</v>
      </c>
    </row>
    <row r="147" spans="1:9">
      <c r="A147" s="12">
        <v>45182</v>
      </c>
      <c r="B147" s="11">
        <f t="shared" si="0"/>
        <v>2023</v>
      </c>
      <c r="C147" s="11">
        <f t="shared" si="2"/>
        <v>9</v>
      </c>
      <c r="D147" s="11" t="s">
        <v>19</v>
      </c>
      <c r="E147" s="13">
        <v>1188</v>
      </c>
      <c r="F147" s="13">
        <v>814</v>
      </c>
      <c r="G147" s="13">
        <v>1352140092</v>
      </c>
      <c r="H147" s="98">
        <v>28.7</v>
      </c>
      <c r="I147" s="98">
        <v>58.98</v>
      </c>
    </row>
    <row r="148" spans="1:9">
      <c r="A148" s="12">
        <v>45183</v>
      </c>
      <c r="B148" s="11">
        <f t="shared" si="0"/>
        <v>2023</v>
      </c>
      <c r="C148" s="11">
        <f t="shared" si="2"/>
        <v>9</v>
      </c>
      <c r="D148" s="11" t="s">
        <v>11</v>
      </c>
      <c r="E148" s="13">
        <v>1126</v>
      </c>
      <c r="F148" s="13">
        <v>786</v>
      </c>
      <c r="G148" s="13">
        <v>1334280119</v>
      </c>
      <c r="H148" s="98">
        <v>39</v>
      </c>
      <c r="I148" s="98">
        <v>79.31</v>
      </c>
    </row>
    <row r="149" spans="1:9">
      <c r="A149" s="12">
        <v>45184</v>
      </c>
      <c r="B149" s="11">
        <f t="shared" si="0"/>
        <v>2023</v>
      </c>
      <c r="C149" s="11">
        <f t="shared" si="2"/>
        <v>9</v>
      </c>
      <c r="D149" s="11" t="s">
        <v>24</v>
      </c>
      <c r="E149" s="13">
        <v>1047</v>
      </c>
      <c r="F149" s="13">
        <v>644</v>
      </c>
      <c r="G149" s="13">
        <v>1192396563</v>
      </c>
      <c r="H149" s="98">
        <v>23.8</v>
      </c>
      <c r="I149" s="98">
        <v>20.2</v>
      </c>
    </row>
    <row r="150" spans="1:9">
      <c r="A150" s="12">
        <v>45185</v>
      </c>
      <c r="B150" s="11">
        <f t="shared" si="0"/>
        <v>2023</v>
      </c>
      <c r="C150" s="11">
        <f t="shared" si="2"/>
        <v>9</v>
      </c>
      <c r="D150" s="11" t="s">
        <v>28</v>
      </c>
      <c r="E150" s="13">
        <v>432</v>
      </c>
      <c r="F150" s="13">
        <v>331</v>
      </c>
      <c r="G150" s="13">
        <v>466942005.39999998</v>
      </c>
      <c r="H150" s="98">
        <v>26.1</v>
      </c>
      <c r="I150" s="98">
        <v>23.93</v>
      </c>
    </row>
    <row r="151" spans="1:9">
      <c r="A151" s="12">
        <v>45186</v>
      </c>
      <c r="B151" s="11">
        <f t="shared" si="0"/>
        <v>2023</v>
      </c>
      <c r="C151" s="11">
        <f t="shared" si="2"/>
        <v>9</v>
      </c>
      <c r="D151" s="11" t="s">
        <v>93</v>
      </c>
      <c r="E151" s="13">
        <v>194</v>
      </c>
      <c r="F151" s="13">
        <v>138</v>
      </c>
      <c r="G151" s="13">
        <v>215776772.30000001</v>
      </c>
      <c r="H151" s="98">
        <v>20.100000000000001</v>
      </c>
      <c r="I151" s="98">
        <v>15.14</v>
      </c>
    </row>
    <row r="152" spans="1:9">
      <c r="A152" s="15">
        <v>45200</v>
      </c>
      <c r="B152" s="11">
        <f t="shared" si="0"/>
        <v>2023</v>
      </c>
      <c r="C152" s="11">
        <f t="shared" si="2"/>
        <v>10</v>
      </c>
      <c r="D152" s="11" t="s">
        <v>22</v>
      </c>
      <c r="E152" s="13">
        <v>22901</v>
      </c>
      <c r="F152" s="13">
        <v>16140</v>
      </c>
      <c r="G152" s="13">
        <v>27278259885</v>
      </c>
      <c r="H152" s="98">
        <v>31.1</v>
      </c>
      <c r="I152" s="98">
        <v>76.569999999999993</v>
      </c>
    </row>
    <row r="153" spans="1:9">
      <c r="A153" s="15">
        <v>45201</v>
      </c>
      <c r="B153" s="11">
        <f t="shared" si="0"/>
        <v>2023</v>
      </c>
      <c r="C153" s="11">
        <f t="shared" si="2"/>
        <v>10</v>
      </c>
      <c r="D153" s="11" t="s">
        <v>9</v>
      </c>
      <c r="E153" s="13">
        <v>21525</v>
      </c>
      <c r="F153" s="13">
        <v>13044</v>
      </c>
      <c r="G153" s="13">
        <v>24968732861</v>
      </c>
      <c r="H153" s="98">
        <v>29.9</v>
      </c>
      <c r="I153" s="98">
        <v>77.19</v>
      </c>
    </row>
    <row r="154" spans="1:9">
      <c r="A154" s="15">
        <v>45202</v>
      </c>
      <c r="B154" s="11">
        <f t="shared" si="0"/>
        <v>2023</v>
      </c>
      <c r="C154" s="11">
        <f t="shared" si="2"/>
        <v>10</v>
      </c>
      <c r="D154" s="11" t="s">
        <v>8</v>
      </c>
      <c r="E154" s="13">
        <v>17411</v>
      </c>
      <c r="F154" s="13">
        <v>11587</v>
      </c>
      <c r="G154" s="13">
        <v>19590560500</v>
      </c>
      <c r="H154" s="98">
        <v>26.9</v>
      </c>
      <c r="I154" s="98">
        <v>57.84</v>
      </c>
    </row>
    <row r="155" spans="1:9">
      <c r="A155" s="15">
        <v>45203</v>
      </c>
      <c r="B155" s="11">
        <f t="shared" si="0"/>
        <v>2023</v>
      </c>
      <c r="C155" s="11">
        <f t="shared" si="2"/>
        <v>10</v>
      </c>
      <c r="D155" s="11" t="s">
        <v>75</v>
      </c>
      <c r="E155" s="13">
        <v>17411</v>
      </c>
      <c r="F155" s="13">
        <v>11022</v>
      </c>
      <c r="G155" s="13">
        <v>20235009463</v>
      </c>
      <c r="H155" s="98">
        <v>26.4</v>
      </c>
      <c r="I155" s="98">
        <v>65.8</v>
      </c>
    </row>
    <row r="156" spans="1:9">
      <c r="A156" s="15">
        <v>45204</v>
      </c>
      <c r="B156" s="11">
        <f t="shared" si="0"/>
        <v>2023</v>
      </c>
      <c r="C156" s="11">
        <f t="shared" si="2"/>
        <v>10</v>
      </c>
      <c r="D156" s="11" t="s">
        <v>10</v>
      </c>
      <c r="E156" s="13">
        <v>12745</v>
      </c>
      <c r="F156" s="13">
        <v>8256</v>
      </c>
      <c r="G156" s="13">
        <v>14511755154</v>
      </c>
      <c r="H156" s="98">
        <v>26.6</v>
      </c>
      <c r="I156" s="98">
        <v>54.74</v>
      </c>
    </row>
    <row r="157" spans="1:9">
      <c r="A157" s="15">
        <v>45205</v>
      </c>
      <c r="B157" s="11">
        <f t="shared" si="0"/>
        <v>2023</v>
      </c>
      <c r="C157" s="11">
        <f t="shared" si="2"/>
        <v>10</v>
      </c>
      <c r="D157" s="11" t="s">
        <v>79</v>
      </c>
      <c r="E157" s="13">
        <v>10870</v>
      </c>
      <c r="F157" s="13">
        <v>7254</v>
      </c>
      <c r="G157" s="13">
        <v>13156989892</v>
      </c>
      <c r="H157" s="98">
        <v>28.2</v>
      </c>
      <c r="I157" s="98">
        <v>70.989999999999995</v>
      </c>
    </row>
    <row r="158" spans="1:9">
      <c r="A158" s="15">
        <v>45206</v>
      </c>
      <c r="B158" s="11">
        <f t="shared" si="0"/>
        <v>2023</v>
      </c>
      <c r="C158" s="11">
        <f t="shared" si="2"/>
        <v>10</v>
      </c>
      <c r="D158" s="11" t="s">
        <v>12</v>
      </c>
      <c r="E158" s="13">
        <v>6855</v>
      </c>
      <c r="F158" s="13">
        <v>4790</v>
      </c>
      <c r="G158" s="13">
        <v>8544952425</v>
      </c>
      <c r="H158" s="98">
        <v>19.3</v>
      </c>
      <c r="I158" s="98">
        <v>40.86</v>
      </c>
    </row>
    <row r="159" spans="1:9">
      <c r="A159" s="15">
        <v>45207</v>
      </c>
      <c r="B159" s="11">
        <f t="shared" si="0"/>
        <v>2023</v>
      </c>
      <c r="C159" s="11">
        <f t="shared" si="2"/>
        <v>10</v>
      </c>
      <c r="D159" s="11" t="s">
        <v>88</v>
      </c>
      <c r="E159" s="13">
        <v>2962</v>
      </c>
      <c r="F159" s="13">
        <v>2026</v>
      </c>
      <c r="G159" s="13">
        <v>3673435251</v>
      </c>
      <c r="H159" s="98">
        <v>24.7</v>
      </c>
      <c r="I159" s="98">
        <v>44.65</v>
      </c>
    </row>
    <row r="160" spans="1:9">
      <c r="A160" s="15">
        <v>45208</v>
      </c>
      <c r="B160" s="11">
        <f t="shared" si="0"/>
        <v>2023</v>
      </c>
      <c r="C160" s="11">
        <f t="shared" si="2"/>
        <v>10</v>
      </c>
      <c r="D160" s="11" t="s">
        <v>84</v>
      </c>
      <c r="E160" s="13">
        <v>2587</v>
      </c>
      <c r="F160" s="13">
        <v>1678</v>
      </c>
      <c r="G160" s="13">
        <v>3433757566</v>
      </c>
      <c r="H160" s="98">
        <v>24.5</v>
      </c>
      <c r="I160" s="98">
        <v>40.72</v>
      </c>
    </row>
    <row r="161" spans="1:9">
      <c r="A161" s="15">
        <v>45209</v>
      </c>
      <c r="B161" s="11">
        <f t="shared" si="0"/>
        <v>2023</v>
      </c>
      <c r="C161" s="11">
        <f t="shared" si="2"/>
        <v>10</v>
      </c>
      <c r="D161" s="11" t="s">
        <v>7</v>
      </c>
      <c r="E161" s="13">
        <v>2586</v>
      </c>
      <c r="F161" s="13">
        <v>1702</v>
      </c>
      <c r="G161" s="13">
        <v>3085943297</v>
      </c>
      <c r="H161" s="98">
        <v>26.5</v>
      </c>
      <c r="I161" s="98">
        <v>74.010000000000005</v>
      </c>
    </row>
    <row r="162" spans="1:9">
      <c r="A162" s="15">
        <v>45210</v>
      </c>
      <c r="B162" s="11">
        <f t="shared" si="0"/>
        <v>2023</v>
      </c>
      <c r="C162" s="11">
        <f t="shared" si="2"/>
        <v>10</v>
      </c>
      <c r="D162" s="11" t="s">
        <v>91</v>
      </c>
      <c r="E162" s="13">
        <v>2560</v>
      </c>
      <c r="F162" s="13">
        <v>1748</v>
      </c>
      <c r="G162" s="13">
        <v>2969418431</v>
      </c>
      <c r="H162" s="98">
        <v>22.5</v>
      </c>
      <c r="I162" s="98">
        <v>53.95</v>
      </c>
    </row>
    <row r="163" spans="1:9">
      <c r="A163" s="15">
        <v>45211</v>
      </c>
      <c r="B163" s="11">
        <f t="shared" si="0"/>
        <v>2023</v>
      </c>
      <c r="C163" s="11">
        <f t="shared" si="2"/>
        <v>10</v>
      </c>
      <c r="D163" s="11" t="s">
        <v>11</v>
      </c>
      <c r="E163" s="13">
        <v>2406</v>
      </c>
      <c r="F163" s="13">
        <v>1608</v>
      </c>
      <c r="G163" s="13">
        <v>2922291225</v>
      </c>
      <c r="H163" s="98">
        <v>35.299999999999997</v>
      </c>
      <c r="I163" s="98">
        <v>74.790000000000006</v>
      </c>
    </row>
    <row r="164" spans="1:9">
      <c r="A164" s="15">
        <v>45212</v>
      </c>
      <c r="B164" s="11">
        <f t="shared" si="0"/>
        <v>2023</v>
      </c>
      <c r="C164" s="11">
        <f t="shared" si="2"/>
        <v>10</v>
      </c>
      <c r="D164" s="11" t="s">
        <v>19</v>
      </c>
      <c r="E164" s="13">
        <v>2375</v>
      </c>
      <c r="F164" s="13">
        <v>1648</v>
      </c>
      <c r="G164" s="13">
        <v>2800671478</v>
      </c>
      <c r="H164" s="98">
        <v>23</v>
      </c>
      <c r="I164" s="98">
        <v>47.8</v>
      </c>
    </row>
    <row r="165" spans="1:9">
      <c r="A165" s="15">
        <v>45213</v>
      </c>
      <c r="B165" s="11">
        <f t="shared" si="0"/>
        <v>2023</v>
      </c>
      <c r="C165" s="11">
        <f t="shared" si="2"/>
        <v>10</v>
      </c>
      <c r="D165" s="11" t="s">
        <v>20</v>
      </c>
      <c r="E165" s="13">
        <v>1434</v>
      </c>
      <c r="F165" s="13">
        <v>999</v>
      </c>
      <c r="G165" s="13">
        <v>1673124702</v>
      </c>
      <c r="H165" s="98">
        <v>32.799999999999997</v>
      </c>
      <c r="I165" s="98">
        <v>62.31</v>
      </c>
    </row>
    <row r="166" spans="1:9">
      <c r="A166" s="15">
        <v>45214</v>
      </c>
      <c r="B166" s="11">
        <f t="shared" si="0"/>
        <v>2023</v>
      </c>
      <c r="C166" s="11">
        <f t="shared" si="2"/>
        <v>10</v>
      </c>
      <c r="D166" s="11" t="s">
        <v>24</v>
      </c>
      <c r="E166" s="13">
        <v>593</v>
      </c>
      <c r="F166" s="13">
        <v>376</v>
      </c>
      <c r="G166" s="13">
        <v>768569999.29999995</v>
      </c>
      <c r="H166" s="98">
        <v>24.5</v>
      </c>
      <c r="I166" s="98">
        <v>13.79</v>
      </c>
    </row>
    <row r="167" spans="1:9">
      <c r="A167" s="15">
        <v>45215</v>
      </c>
      <c r="B167" s="11">
        <f t="shared" si="0"/>
        <v>2023</v>
      </c>
      <c r="C167" s="11">
        <f t="shared" si="2"/>
        <v>10</v>
      </c>
      <c r="D167" s="11" t="s">
        <v>28</v>
      </c>
      <c r="E167" s="13">
        <v>218</v>
      </c>
      <c r="F167" s="13">
        <v>115</v>
      </c>
      <c r="G167" s="13">
        <v>192593958.69999999</v>
      </c>
      <c r="H167" s="98">
        <v>25.8</v>
      </c>
      <c r="I167" s="98">
        <v>27.78</v>
      </c>
    </row>
    <row r="168" spans="1:9">
      <c r="A168" s="15">
        <v>45216</v>
      </c>
      <c r="B168" s="11">
        <f t="shared" si="0"/>
        <v>2023</v>
      </c>
      <c r="C168" s="11">
        <f t="shared" si="2"/>
        <v>10</v>
      </c>
      <c r="D168" s="11" t="s">
        <v>93</v>
      </c>
      <c r="E168" s="13">
        <v>144</v>
      </c>
      <c r="F168" s="13">
        <v>100</v>
      </c>
      <c r="G168" s="13">
        <v>171393380.40000001</v>
      </c>
      <c r="H168" s="98">
        <v>18.600000000000001</v>
      </c>
      <c r="I168" s="98">
        <v>10.220000000000001</v>
      </c>
    </row>
    <row r="169" spans="1:9">
      <c r="A169" s="15">
        <v>45231</v>
      </c>
      <c r="B169" s="11">
        <f t="shared" si="0"/>
        <v>2023</v>
      </c>
      <c r="C169" s="11">
        <f t="shared" si="2"/>
        <v>11</v>
      </c>
      <c r="D169" s="11" t="s">
        <v>8</v>
      </c>
      <c r="E169" s="13">
        <v>19242</v>
      </c>
      <c r="F169" s="13">
        <v>12584</v>
      </c>
      <c r="G169" s="13">
        <v>21180694927</v>
      </c>
      <c r="H169" s="98">
        <v>31.5</v>
      </c>
      <c r="I169" s="98">
        <v>65.5</v>
      </c>
    </row>
    <row r="170" spans="1:9">
      <c r="A170" s="15">
        <v>45232</v>
      </c>
      <c r="B170" s="11">
        <f t="shared" si="0"/>
        <v>2023</v>
      </c>
      <c r="C170" s="11">
        <f t="shared" si="2"/>
        <v>11</v>
      </c>
      <c r="D170" s="11" t="s">
        <v>22</v>
      </c>
      <c r="E170" s="13">
        <v>18648</v>
      </c>
      <c r="F170" s="13">
        <v>13383</v>
      </c>
      <c r="G170" s="13">
        <v>22451251366</v>
      </c>
      <c r="H170" s="98">
        <v>32.1</v>
      </c>
      <c r="I170" s="98">
        <v>86.21</v>
      </c>
    </row>
    <row r="171" spans="1:9">
      <c r="A171" s="15">
        <v>45233</v>
      </c>
      <c r="B171" s="11">
        <f t="shared" si="0"/>
        <v>2023</v>
      </c>
      <c r="C171" s="11">
        <f t="shared" si="2"/>
        <v>11</v>
      </c>
      <c r="D171" s="11" t="s">
        <v>75</v>
      </c>
      <c r="E171" s="13">
        <v>17724</v>
      </c>
      <c r="F171" s="13">
        <v>11493</v>
      </c>
      <c r="G171" s="13">
        <v>21068153864</v>
      </c>
      <c r="H171" s="98">
        <v>31.1</v>
      </c>
      <c r="I171" s="98">
        <v>72.790000000000006</v>
      </c>
    </row>
    <row r="172" spans="1:9">
      <c r="A172" s="15">
        <v>45234</v>
      </c>
      <c r="B172" s="11">
        <f t="shared" si="0"/>
        <v>2023</v>
      </c>
      <c r="C172" s="11">
        <f t="shared" si="2"/>
        <v>11</v>
      </c>
      <c r="D172" s="11" t="s">
        <v>9</v>
      </c>
      <c r="E172" s="13">
        <v>14328</v>
      </c>
      <c r="F172" s="13">
        <v>9061</v>
      </c>
      <c r="G172" s="13">
        <v>16596571888</v>
      </c>
      <c r="H172" s="98">
        <v>31.2</v>
      </c>
      <c r="I172" s="98">
        <v>99.5</v>
      </c>
    </row>
    <row r="173" spans="1:9">
      <c r="A173" s="15">
        <v>45235</v>
      </c>
      <c r="B173" s="11">
        <f t="shared" si="0"/>
        <v>2023</v>
      </c>
      <c r="C173" s="11">
        <f t="shared" si="2"/>
        <v>11</v>
      </c>
      <c r="D173" s="11" t="s">
        <v>10</v>
      </c>
      <c r="E173" s="13">
        <v>11331</v>
      </c>
      <c r="F173" s="13">
        <v>7372</v>
      </c>
      <c r="G173" s="13">
        <v>13401609836</v>
      </c>
      <c r="H173" s="98">
        <v>26.5</v>
      </c>
      <c r="I173" s="98">
        <v>61.64</v>
      </c>
    </row>
    <row r="174" spans="1:9">
      <c r="A174" s="15">
        <v>45236</v>
      </c>
      <c r="B174" s="11">
        <f t="shared" si="0"/>
        <v>2023</v>
      </c>
      <c r="C174" s="11">
        <f t="shared" si="2"/>
        <v>11</v>
      </c>
      <c r="D174" s="11" t="s">
        <v>79</v>
      </c>
      <c r="E174" s="13">
        <v>7021</v>
      </c>
      <c r="F174" s="13">
        <v>4951</v>
      </c>
      <c r="G174" s="13">
        <v>8636566255</v>
      </c>
      <c r="H174" s="98">
        <v>29.7</v>
      </c>
      <c r="I174" s="98">
        <v>82.76</v>
      </c>
    </row>
    <row r="175" spans="1:9">
      <c r="A175" s="15">
        <v>45237</v>
      </c>
      <c r="B175" s="11">
        <f t="shared" si="0"/>
        <v>2023</v>
      </c>
      <c r="C175" s="11">
        <f t="shared" si="2"/>
        <v>11</v>
      </c>
      <c r="D175" s="11" t="s">
        <v>12</v>
      </c>
      <c r="E175" s="13">
        <v>5642</v>
      </c>
      <c r="F175" s="13">
        <v>3720</v>
      </c>
      <c r="G175" s="13">
        <v>6877552444</v>
      </c>
      <c r="H175" s="98">
        <v>27.8</v>
      </c>
      <c r="I175" s="98">
        <v>59.13</v>
      </c>
    </row>
    <row r="176" spans="1:9">
      <c r="A176" s="15">
        <v>45238</v>
      </c>
      <c r="B176" s="11">
        <f t="shared" si="0"/>
        <v>2023</v>
      </c>
      <c r="C176" s="11">
        <f t="shared" si="2"/>
        <v>11</v>
      </c>
      <c r="D176" s="11" t="s">
        <v>84</v>
      </c>
      <c r="E176" s="13">
        <v>3322</v>
      </c>
      <c r="F176" s="13">
        <v>2092</v>
      </c>
      <c r="G176" s="13">
        <v>4071064337</v>
      </c>
      <c r="H176" s="98">
        <v>22.5</v>
      </c>
      <c r="I176" s="98">
        <v>38.549999999999997</v>
      </c>
    </row>
    <row r="177" spans="1:9">
      <c r="A177" s="15">
        <v>45239</v>
      </c>
      <c r="B177" s="11">
        <f t="shared" si="0"/>
        <v>2023</v>
      </c>
      <c r="C177" s="11">
        <f t="shared" si="2"/>
        <v>11</v>
      </c>
      <c r="D177" s="11" t="s">
        <v>20</v>
      </c>
      <c r="E177" s="13">
        <v>2768</v>
      </c>
      <c r="F177" s="13">
        <v>1920</v>
      </c>
      <c r="G177" s="13">
        <v>3161698211</v>
      </c>
      <c r="H177" s="98">
        <v>23.4</v>
      </c>
      <c r="I177" s="98">
        <v>52.58</v>
      </c>
    </row>
    <row r="178" spans="1:9">
      <c r="A178" s="15">
        <v>45240</v>
      </c>
      <c r="B178" s="11">
        <f t="shared" si="0"/>
        <v>2023</v>
      </c>
      <c r="C178" s="11">
        <f t="shared" si="2"/>
        <v>11</v>
      </c>
      <c r="D178" s="11" t="s">
        <v>88</v>
      </c>
      <c r="E178" s="13">
        <v>2670</v>
      </c>
      <c r="F178" s="13">
        <v>1823</v>
      </c>
      <c r="G178" s="13">
        <v>3273058687</v>
      </c>
      <c r="H178" s="98">
        <v>20.5</v>
      </c>
      <c r="I178" s="98">
        <v>36</v>
      </c>
    </row>
    <row r="179" spans="1:9">
      <c r="A179" s="15">
        <v>45241</v>
      </c>
      <c r="B179" s="11">
        <f t="shared" si="0"/>
        <v>2023</v>
      </c>
      <c r="C179" s="11">
        <f t="shared" si="2"/>
        <v>11</v>
      </c>
      <c r="D179" s="11" t="s">
        <v>11</v>
      </c>
      <c r="E179" s="13">
        <v>2324</v>
      </c>
      <c r="F179" s="13">
        <v>1507</v>
      </c>
      <c r="G179" s="13">
        <v>2707923491</v>
      </c>
      <c r="H179" s="98">
        <v>27.6</v>
      </c>
      <c r="I179" s="98">
        <v>58.74</v>
      </c>
    </row>
    <row r="180" spans="1:9">
      <c r="A180" s="15">
        <v>45242</v>
      </c>
      <c r="B180" s="11">
        <f t="shared" si="0"/>
        <v>2023</v>
      </c>
      <c r="C180" s="11">
        <f t="shared" si="2"/>
        <v>11</v>
      </c>
      <c r="D180" s="11" t="s">
        <v>7</v>
      </c>
      <c r="E180" s="13">
        <v>1305</v>
      </c>
      <c r="F180" s="13">
        <v>855</v>
      </c>
      <c r="G180" s="13">
        <v>1547112610</v>
      </c>
      <c r="H180" s="98">
        <v>26.1</v>
      </c>
      <c r="I180" s="98">
        <v>52.67</v>
      </c>
    </row>
    <row r="181" spans="1:9">
      <c r="A181" s="15">
        <v>45243</v>
      </c>
      <c r="B181" s="11">
        <f t="shared" si="0"/>
        <v>2023</v>
      </c>
      <c r="C181" s="11">
        <f t="shared" si="2"/>
        <v>11</v>
      </c>
      <c r="D181" s="11" t="s">
        <v>91</v>
      </c>
      <c r="E181" s="13">
        <v>1253</v>
      </c>
      <c r="F181" s="13">
        <v>828</v>
      </c>
      <c r="G181" s="13">
        <v>1388288780</v>
      </c>
      <c r="H181" s="98">
        <v>22.7</v>
      </c>
      <c r="I181" s="98">
        <v>55.71</v>
      </c>
    </row>
    <row r="182" spans="1:9">
      <c r="A182" s="15">
        <v>45244</v>
      </c>
      <c r="B182" s="11">
        <f t="shared" si="0"/>
        <v>2023</v>
      </c>
      <c r="C182" s="11">
        <f t="shared" si="2"/>
        <v>11</v>
      </c>
      <c r="D182" s="11" t="s">
        <v>19</v>
      </c>
      <c r="E182" s="13">
        <v>990</v>
      </c>
      <c r="F182" s="13">
        <v>701</v>
      </c>
      <c r="G182" s="13">
        <v>1169079148</v>
      </c>
      <c r="H182" s="98">
        <v>24.9</v>
      </c>
      <c r="I182" s="98">
        <v>53.99</v>
      </c>
    </row>
    <row r="183" spans="1:9">
      <c r="A183" s="15">
        <v>45245</v>
      </c>
      <c r="B183" s="11">
        <f t="shared" si="0"/>
        <v>2023</v>
      </c>
      <c r="C183" s="11">
        <f t="shared" si="2"/>
        <v>11</v>
      </c>
      <c r="D183" s="11" t="s">
        <v>24</v>
      </c>
      <c r="E183" s="13">
        <v>859</v>
      </c>
      <c r="F183" s="13">
        <v>537</v>
      </c>
      <c r="G183" s="13">
        <v>1032618131</v>
      </c>
      <c r="H183" s="98">
        <v>22.1</v>
      </c>
      <c r="I183" s="98">
        <v>16.95</v>
      </c>
    </row>
    <row r="184" spans="1:9">
      <c r="A184" s="15">
        <v>45246</v>
      </c>
      <c r="B184" s="11">
        <f t="shared" si="0"/>
        <v>2023</v>
      </c>
      <c r="C184" s="11">
        <f t="shared" si="2"/>
        <v>11</v>
      </c>
      <c r="D184" s="11" t="s">
        <v>28</v>
      </c>
      <c r="E184" s="13">
        <v>500</v>
      </c>
      <c r="F184" s="13">
        <v>342</v>
      </c>
      <c r="G184" s="13">
        <v>505065764.89999998</v>
      </c>
      <c r="H184" s="98">
        <v>22.6</v>
      </c>
      <c r="I184" s="98">
        <v>29.73</v>
      </c>
    </row>
    <row r="185" spans="1:9">
      <c r="A185" s="15">
        <v>45247</v>
      </c>
      <c r="B185" s="11">
        <f t="shared" si="0"/>
        <v>2023</v>
      </c>
      <c r="C185" s="11">
        <f t="shared" si="2"/>
        <v>11</v>
      </c>
      <c r="D185" s="11" t="s">
        <v>93</v>
      </c>
      <c r="E185" s="13">
        <v>172</v>
      </c>
      <c r="F185" s="13">
        <v>99</v>
      </c>
      <c r="G185" s="13">
        <v>170607630.80000001</v>
      </c>
      <c r="H185" s="98">
        <v>17.899999999999999</v>
      </c>
      <c r="I185" s="98">
        <v>21.95</v>
      </c>
    </row>
    <row r="186" spans="1:9">
      <c r="A186" s="15">
        <v>45261</v>
      </c>
      <c r="B186" s="11">
        <f t="shared" si="0"/>
        <v>2023</v>
      </c>
      <c r="C186" s="11">
        <f t="shared" si="2"/>
        <v>12</v>
      </c>
      <c r="D186" s="11" t="s">
        <v>24</v>
      </c>
      <c r="E186" s="13">
        <v>995</v>
      </c>
      <c r="F186" s="13">
        <v>609</v>
      </c>
      <c r="G186" s="13">
        <v>1143662495</v>
      </c>
      <c r="H186" s="98">
        <v>81.69</v>
      </c>
      <c r="I186" s="98">
        <v>73.62</v>
      </c>
    </row>
    <row r="187" spans="1:9">
      <c r="A187" s="15">
        <v>45262</v>
      </c>
      <c r="B187" s="11">
        <f t="shared" si="0"/>
        <v>2023</v>
      </c>
      <c r="C187" s="11">
        <f t="shared" si="2"/>
        <v>12</v>
      </c>
      <c r="D187" s="11" t="s">
        <v>28</v>
      </c>
      <c r="E187" s="13">
        <v>243</v>
      </c>
      <c r="F187" s="13">
        <v>144</v>
      </c>
      <c r="G187" s="13">
        <v>232960996.30000001</v>
      </c>
      <c r="H187" s="98">
        <v>46.14</v>
      </c>
      <c r="I187" s="98">
        <v>50.8</v>
      </c>
    </row>
    <row r="188" spans="1:9">
      <c r="A188" s="15">
        <v>45263</v>
      </c>
      <c r="B188" s="11">
        <f t="shared" si="0"/>
        <v>2023</v>
      </c>
      <c r="C188" s="11">
        <f t="shared" si="2"/>
        <v>12</v>
      </c>
      <c r="D188" s="11" t="s">
        <v>7</v>
      </c>
      <c r="E188" s="13">
        <v>2413</v>
      </c>
      <c r="F188" s="13">
        <v>1557</v>
      </c>
      <c r="G188" s="13">
        <v>2933420369</v>
      </c>
      <c r="H188" s="98">
        <v>104.55</v>
      </c>
      <c r="I188" s="98">
        <v>252.95</v>
      </c>
    </row>
    <row r="189" spans="1:9">
      <c r="A189" s="15">
        <v>45264</v>
      </c>
      <c r="B189" s="11">
        <f t="shared" si="0"/>
        <v>2023</v>
      </c>
      <c r="C189" s="11">
        <f t="shared" si="2"/>
        <v>12</v>
      </c>
      <c r="D189" s="11" t="s">
        <v>75</v>
      </c>
      <c r="E189" s="13">
        <v>25165</v>
      </c>
      <c r="F189" s="13">
        <v>15802</v>
      </c>
      <c r="G189" s="13">
        <v>29339513224</v>
      </c>
      <c r="H189" s="98">
        <v>239.3</v>
      </c>
      <c r="I189" s="98">
        <v>597.70000000000005</v>
      </c>
    </row>
    <row r="190" spans="1:9">
      <c r="A190" s="15">
        <v>45265</v>
      </c>
      <c r="B190" s="11">
        <f t="shared" si="0"/>
        <v>2023</v>
      </c>
      <c r="C190" s="11">
        <f t="shared" si="2"/>
        <v>12</v>
      </c>
      <c r="D190" s="11" t="s">
        <v>79</v>
      </c>
      <c r="E190" s="13">
        <v>6858</v>
      </c>
      <c r="F190" s="13">
        <v>4786</v>
      </c>
      <c r="G190" s="13">
        <v>8255122070</v>
      </c>
      <c r="H190" s="98">
        <v>150.05000000000001</v>
      </c>
      <c r="I190" s="98">
        <v>386.9</v>
      </c>
    </row>
    <row r="191" spans="1:9">
      <c r="A191" s="15">
        <v>45266</v>
      </c>
      <c r="B191" s="11">
        <f t="shared" si="0"/>
        <v>2023</v>
      </c>
      <c r="C191" s="11">
        <f t="shared" si="2"/>
        <v>12</v>
      </c>
      <c r="D191" s="11" t="s">
        <v>8</v>
      </c>
      <c r="E191" s="13">
        <v>16068</v>
      </c>
      <c r="F191" s="13">
        <v>10966</v>
      </c>
      <c r="G191" s="13">
        <v>18150452316</v>
      </c>
      <c r="H191" s="98">
        <v>78.39</v>
      </c>
      <c r="I191" s="98">
        <v>164.52</v>
      </c>
    </row>
    <row r="192" spans="1:9">
      <c r="A192" s="15">
        <v>45267</v>
      </c>
      <c r="B192" s="11">
        <f t="shared" si="0"/>
        <v>2023</v>
      </c>
      <c r="C192" s="11">
        <f t="shared" si="2"/>
        <v>12</v>
      </c>
      <c r="D192" s="11" t="s">
        <v>20</v>
      </c>
      <c r="E192" s="13">
        <v>1295</v>
      </c>
      <c r="F192" s="13">
        <v>932</v>
      </c>
      <c r="G192" s="13">
        <v>1525806586</v>
      </c>
      <c r="H192" s="98">
        <v>156.1</v>
      </c>
      <c r="I192" s="98">
        <v>264.25</v>
      </c>
    </row>
    <row r="193" spans="1:9">
      <c r="A193" s="15">
        <v>45268</v>
      </c>
      <c r="B193" s="11">
        <f t="shared" si="0"/>
        <v>2023</v>
      </c>
      <c r="C193" s="11">
        <f t="shared" si="2"/>
        <v>12</v>
      </c>
      <c r="D193" s="11" t="s">
        <v>88</v>
      </c>
      <c r="E193" s="13">
        <v>2930</v>
      </c>
      <c r="F193" s="13">
        <v>2012</v>
      </c>
      <c r="G193" s="13">
        <v>3531033587</v>
      </c>
      <c r="H193" s="98">
        <v>84.52</v>
      </c>
      <c r="I193" s="98">
        <v>174.32</v>
      </c>
    </row>
    <row r="194" spans="1:9">
      <c r="A194" s="15">
        <v>45269</v>
      </c>
      <c r="B194" s="11">
        <f t="shared" si="0"/>
        <v>2023</v>
      </c>
      <c r="C194" s="11">
        <f t="shared" si="2"/>
        <v>12</v>
      </c>
      <c r="D194" s="11" t="s">
        <v>93</v>
      </c>
      <c r="E194" s="13">
        <v>649</v>
      </c>
      <c r="F194" s="13">
        <v>447</v>
      </c>
      <c r="G194" s="13">
        <v>668631830.5</v>
      </c>
      <c r="H194" s="98">
        <v>39.479999999999997</v>
      </c>
      <c r="I194" s="98">
        <v>49.72</v>
      </c>
    </row>
    <row r="195" spans="1:9">
      <c r="A195" s="15">
        <v>45270</v>
      </c>
      <c r="B195" s="11">
        <f t="shared" si="0"/>
        <v>2023</v>
      </c>
      <c r="C195" s="11">
        <f t="shared" si="2"/>
        <v>12</v>
      </c>
      <c r="D195" s="11" t="s">
        <v>10</v>
      </c>
      <c r="E195" s="13">
        <v>9334</v>
      </c>
      <c r="F195" s="13">
        <v>6173</v>
      </c>
      <c r="G195" s="13">
        <v>10787019934</v>
      </c>
      <c r="H195" s="98">
        <v>26.67</v>
      </c>
      <c r="I195" s="98">
        <v>52.93</v>
      </c>
    </row>
    <row r="196" spans="1:9">
      <c r="A196" s="15">
        <v>45271</v>
      </c>
      <c r="B196" s="11">
        <f t="shared" si="0"/>
        <v>2023</v>
      </c>
      <c r="C196" s="11">
        <f t="shared" si="2"/>
        <v>12</v>
      </c>
      <c r="D196" s="11" t="s">
        <v>9</v>
      </c>
      <c r="E196" s="13">
        <v>16088</v>
      </c>
      <c r="F196" s="13">
        <v>10391</v>
      </c>
      <c r="G196" s="13">
        <v>18713816623</v>
      </c>
      <c r="H196" s="98">
        <v>30.67</v>
      </c>
      <c r="I196" s="98">
        <v>88.49</v>
      </c>
    </row>
    <row r="197" spans="1:9">
      <c r="A197" s="15">
        <v>45272</v>
      </c>
      <c r="B197" s="11">
        <f t="shared" si="0"/>
        <v>2023</v>
      </c>
      <c r="C197" s="11">
        <f t="shared" si="2"/>
        <v>12</v>
      </c>
      <c r="D197" s="11" t="s">
        <v>101</v>
      </c>
      <c r="E197" s="13">
        <v>1256</v>
      </c>
      <c r="F197" s="13">
        <v>785</v>
      </c>
      <c r="G197" s="13">
        <v>1412069232</v>
      </c>
      <c r="H197" s="98">
        <v>88.8</v>
      </c>
      <c r="I197" s="98">
        <v>189.08</v>
      </c>
    </row>
    <row r="198" spans="1:9">
      <c r="A198" s="15">
        <v>45273</v>
      </c>
      <c r="B198" s="11">
        <f t="shared" si="0"/>
        <v>2023</v>
      </c>
      <c r="C198" s="11">
        <f t="shared" si="2"/>
        <v>12</v>
      </c>
      <c r="D198" s="11" t="s">
        <v>11</v>
      </c>
      <c r="E198" s="13">
        <v>2281</v>
      </c>
      <c r="F198" s="13">
        <v>1493</v>
      </c>
      <c r="G198" s="13">
        <v>2664028559</v>
      </c>
      <c r="H198" s="98">
        <v>160.24</v>
      </c>
      <c r="I198" s="98">
        <v>335.12</v>
      </c>
    </row>
    <row r="199" spans="1:9">
      <c r="A199" s="15">
        <v>45274</v>
      </c>
      <c r="B199" s="11">
        <f t="shared" si="0"/>
        <v>2023</v>
      </c>
      <c r="C199" s="11">
        <f t="shared" si="2"/>
        <v>12</v>
      </c>
      <c r="D199" s="11" t="s">
        <v>91</v>
      </c>
      <c r="E199" s="13">
        <v>1216</v>
      </c>
      <c r="F199" s="13">
        <v>865</v>
      </c>
      <c r="G199" s="13">
        <v>1434476027</v>
      </c>
      <c r="H199" s="98">
        <v>115.45</v>
      </c>
      <c r="I199" s="98">
        <v>266.75</v>
      </c>
    </row>
    <row r="200" spans="1:9">
      <c r="A200" s="15">
        <v>45275</v>
      </c>
      <c r="B200" s="11">
        <f t="shared" si="0"/>
        <v>2023</v>
      </c>
      <c r="C200" s="11">
        <f t="shared" si="2"/>
        <v>12</v>
      </c>
      <c r="D200" s="11" t="s">
        <v>84</v>
      </c>
      <c r="E200" s="13">
        <v>4507</v>
      </c>
      <c r="F200" s="13">
        <v>3130</v>
      </c>
      <c r="G200" s="13">
        <v>5485845343</v>
      </c>
      <c r="H200" s="98">
        <v>110.6</v>
      </c>
      <c r="I200" s="98">
        <v>202.65</v>
      </c>
    </row>
    <row r="201" spans="1:9">
      <c r="A201" s="15">
        <v>45276</v>
      </c>
      <c r="B201" s="11">
        <f t="shared" si="0"/>
        <v>2023</v>
      </c>
      <c r="C201" s="11">
        <f t="shared" si="2"/>
        <v>12</v>
      </c>
      <c r="D201" s="11" t="s">
        <v>22</v>
      </c>
      <c r="E201" s="13">
        <v>22956</v>
      </c>
      <c r="F201" s="13">
        <v>15601</v>
      </c>
      <c r="G201" s="13">
        <v>26591864972</v>
      </c>
      <c r="H201" s="98">
        <v>182.58</v>
      </c>
      <c r="I201" s="98">
        <v>470.88</v>
      </c>
    </row>
    <row r="202" spans="1:9">
      <c r="A202" s="15">
        <v>45277</v>
      </c>
      <c r="B202" s="11">
        <f t="shared" si="0"/>
        <v>2023</v>
      </c>
      <c r="C202" s="11">
        <f t="shared" si="2"/>
        <v>12</v>
      </c>
      <c r="D202" s="11" t="s">
        <v>32</v>
      </c>
      <c r="E202" s="13">
        <v>1381</v>
      </c>
      <c r="F202" s="13">
        <v>919</v>
      </c>
      <c r="G202" s="13">
        <v>1632200838</v>
      </c>
      <c r="H202" s="98">
        <v>72.64</v>
      </c>
      <c r="I202" s="98">
        <v>144.91999999999999</v>
      </c>
    </row>
    <row r="203" spans="1:9">
      <c r="A203" s="15">
        <v>45278</v>
      </c>
      <c r="B203" s="11">
        <f t="shared" si="0"/>
        <v>2023</v>
      </c>
      <c r="C203" s="11">
        <f t="shared" si="2"/>
        <v>12</v>
      </c>
      <c r="D203" s="11" t="s">
        <v>12</v>
      </c>
      <c r="E203" s="13">
        <v>7358</v>
      </c>
      <c r="F203" s="13">
        <v>4752</v>
      </c>
      <c r="G203" s="13">
        <v>8896510338</v>
      </c>
      <c r="H203" s="98">
        <v>18.18</v>
      </c>
      <c r="I203" s="98">
        <v>43.69</v>
      </c>
    </row>
    <row r="204" spans="1:9">
      <c r="A204" s="15">
        <v>45279</v>
      </c>
      <c r="B204" s="11">
        <f t="shared" si="0"/>
        <v>2023</v>
      </c>
      <c r="C204" s="11">
        <f t="shared" si="2"/>
        <v>12</v>
      </c>
      <c r="D204" s="11" t="s">
        <v>19</v>
      </c>
      <c r="E204" s="13">
        <v>2428</v>
      </c>
      <c r="F204" s="13">
        <v>1697</v>
      </c>
      <c r="G204" s="13">
        <v>2819166857</v>
      </c>
      <c r="H204" s="98">
        <v>101.3</v>
      </c>
      <c r="I204" s="98">
        <v>250.05</v>
      </c>
    </row>
    <row r="205" spans="1:9">
      <c r="A205" s="12">
        <v>45292</v>
      </c>
      <c r="B205" s="11">
        <f t="shared" si="0"/>
        <v>2024</v>
      </c>
      <c r="C205" s="11">
        <f t="shared" si="2"/>
        <v>1</v>
      </c>
      <c r="D205" s="11" t="s">
        <v>24</v>
      </c>
      <c r="E205" s="13">
        <v>583</v>
      </c>
      <c r="F205" s="13">
        <v>382</v>
      </c>
      <c r="G205" s="13">
        <v>695219673.70000005</v>
      </c>
      <c r="H205" s="98">
        <v>24.63</v>
      </c>
      <c r="I205" s="98">
        <v>19.36</v>
      </c>
    </row>
    <row r="206" spans="1:9">
      <c r="A206" s="12">
        <v>45293</v>
      </c>
      <c r="B206" s="11">
        <f t="shared" si="0"/>
        <v>2024</v>
      </c>
      <c r="C206" s="11">
        <f t="shared" si="2"/>
        <v>1</v>
      </c>
      <c r="D206" s="11" t="s">
        <v>28</v>
      </c>
      <c r="E206" s="13">
        <v>259</v>
      </c>
      <c r="F206" s="13">
        <v>156</v>
      </c>
      <c r="G206" s="13">
        <v>266919640.19999999</v>
      </c>
      <c r="H206" s="98">
        <v>23.07</v>
      </c>
      <c r="I206" s="98">
        <v>13.86</v>
      </c>
    </row>
    <row r="207" spans="1:9">
      <c r="A207" s="12">
        <v>45294</v>
      </c>
      <c r="B207" s="11">
        <f t="shared" si="0"/>
        <v>2024</v>
      </c>
      <c r="C207" s="11">
        <f t="shared" si="2"/>
        <v>1</v>
      </c>
      <c r="D207" s="11" t="s">
        <v>7</v>
      </c>
      <c r="E207" s="13">
        <v>1028</v>
      </c>
      <c r="F207" s="13">
        <v>706</v>
      </c>
      <c r="G207" s="13">
        <v>1274719736</v>
      </c>
      <c r="H207" s="98">
        <v>30.18</v>
      </c>
      <c r="I207" s="98">
        <v>65.36</v>
      </c>
    </row>
    <row r="208" spans="1:9">
      <c r="A208" s="12">
        <v>45295</v>
      </c>
      <c r="B208" s="11">
        <f t="shared" si="0"/>
        <v>2024</v>
      </c>
      <c r="C208" s="11">
        <f t="shared" si="2"/>
        <v>1</v>
      </c>
      <c r="D208" s="11" t="s">
        <v>75</v>
      </c>
      <c r="E208" s="13">
        <v>15899</v>
      </c>
      <c r="F208" s="13">
        <v>10005</v>
      </c>
      <c r="G208" s="13">
        <v>18658135659</v>
      </c>
      <c r="H208" s="98">
        <v>26.47</v>
      </c>
      <c r="I208" s="98">
        <v>60.9</v>
      </c>
    </row>
    <row r="209" spans="1:9">
      <c r="A209" s="12">
        <v>45296</v>
      </c>
      <c r="B209" s="11">
        <f t="shared" si="0"/>
        <v>2024</v>
      </c>
      <c r="C209" s="11">
        <f t="shared" si="2"/>
        <v>1</v>
      </c>
      <c r="D209" s="11" t="s">
        <v>79</v>
      </c>
      <c r="E209" s="13">
        <v>11680</v>
      </c>
      <c r="F209" s="13">
        <v>7820</v>
      </c>
      <c r="G209" s="13">
        <v>13945638752</v>
      </c>
      <c r="H209" s="98">
        <v>25.44</v>
      </c>
      <c r="I209" s="98">
        <v>69.19</v>
      </c>
    </row>
    <row r="210" spans="1:9">
      <c r="A210" s="12">
        <v>45297</v>
      </c>
      <c r="B210" s="11">
        <f t="shared" si="0"/>
        <v>2024</v>
      </c>
      <c r="C210" s="11">
        <f t="shared" si="2"/>
        <v>1</v>
      </c>
      <c r="D210" s="11" t="s">
        <v>8</v>
      </c>
      <c r="E210" s="13">
        <v>16851</v>
      </c>
      <c r="F210" s="13">
        <v>11351</v>
      </c>
      <c r="G210" s="13">
        <v>19030489944</v>
      </c>
      <c r="H210" s="98">
        <v>27.04</v>
      </c>
      <c r="I210" s="98">
        <v>56.04</v>
      </c>
    </row>
    <row r="211" spans="1:9">
      <c r="A211" s="12">
        <v>45298</v>
      </c>
      <c r="B211" s="11">
        <f t="shared" si="0"/>
        <v>2024</v>
      </c>
      <c r="C211" s="11">
        <f t="shared" si="2"/>
        <v>1</v>
      </c>
      <c r="D211" s="11" t="s">
        <v>20</v>
      </c>
      <c r="E211" s="13">
        <v>1266</v>
      </c>
      <c r="F211" s="13">
        <v>914</v>
      </c>
      <c r="G211" s="13">
        <v>1464017641</v>
      </c>
      <c r="H211" s="98">
        <v>29.2</v>
      </c>
      <c r="I211" s="98">
        <v>57.63</v>
      </c>
    </row>
    <row r="212" spans="1:9">
      <c r="A212" s="12">
        <v>45299</v>
      </c>
      <c r="B212" s="11">
        <f t="shared" si="0"/>
        <v>2024</v>
      </c>
      <c r="C212" s="11">
        <f t="shared" si="2"/>
        <v>1</v>
      </c>
      <c r="D212" s="11" t="s">
        <v>102</v>
      </c>
      <c r="E212" s="13">
        <v>518</v>
      </c>
      <c r="F212" s="13">
        <v>453</v>
      </c>
      <c r="G212" s="13">
        <v>633194545.20000005</v>
      </c>
      <c r="H212" s="98">
        <v>58.22</v>
      </c>
      <c r="I212" s="98">
        <v>57.34</v>
      </c>
    </row>
    <row r="213" spans="1:9">
      <c r="A213" s="12">
        <v>45300</v>
      </c>
      <c r="B213" s="11">
        <f t="shared" si="0"/>
        <v>2024</v>
      </c>
      <c r="C213" s="11">
        <f t="shared" si="2"/>
        <v>1</v>
      </c>
      <c r="D213" s="11" t="s">
        <v>88</v>
      </c>
      <c r="E213" s="13">
        <v>3266</v>
      </c>
      <c r="F213" s="13">
        <v>2241</v>
      </c>
      <c r="G213" s="13">
        <v>3772683821</v>
      </c>
      <c r="H213" s="98">
        <v>23.08</v>
      </c>
      <c r="I213" s="98">
        <v>42.11</v>
      </c>
    </row>
    <row r="214" spans="1:9">
      <c r="A214" s="12">
        <v>45301</v>
      </c>
      <c r="B214" s="11">
        <f t="shared" si="0"/>
        <v>2024</v>
      </c>
      <c r="C214" s="11">
        <f t="shared" si="2"/>
        <v>1</v>
      </c>
      <c r="D214" s="11" t="s">
        <v>93</v>
      </c>
      <c r="E214" s="13">
        <v>181</v>
      </c>
      <c r="F214" s="13">
        <v>110</v>
      </c>
      <c r="G214" s="13">
        <v>186982322.30000001</v>
      </c>
      <c r="H214" s="98">
        <v>21.14</v>
      </c>
      <c r="I214" s="98">
        <v>14.88</v>
      </c>
    </row>
    <row r="215" spans="1:9">
      <c r="A215" s="12">
        <v>45302</v>
      </c>
      <c r="B215" s="11">
        <f t="shared" si="0"/>
        <v>2024</v>
      </c>
      <c r="C215" s="11">
        <f t="shared" si="2"/>
        <v>1</v>
      </c>
      <c r="D215" s="11" t="s">
        <v>10</v>
      </c>
      <c r="E215" s="13">
        <v>11256</v>
      </c>
      <c r="F215" s="13">
        <v>7437</v>
      </c>
      <c r="G215" s="13">
        <v>12901730582</v>
      </c>
      <c r="H215" s="98">
        <v>26.44</v>
      </c>
      <c r="I215" s="98">
        <v>55.42</v>
      </c>
    </row>
    <row r="216" spans="1:9">
      <c r="A216" s="12">
        <v>45303</v>
      </c>
      <c r="B216" s="11">
        <f t="shared" si="0"/>
        <v>2024</v>
      </c>
      <c r="C216" s="11">
        <f t="shared" si="2"/>
        <v>1</v>
      </c>
      <c r="D216" s="11" t="s">
        <v>9</v>
      </c>
      <c r="E216" s="13">
        <v>15264</v>
      </c>
      <c r="F216" s="13">
        <v>9709</v>
      </c>
      <c r="G216" s="13">
        <v>17765212354</v>
      </c>
      <c r="H216" s="98">
        <v>30.03</v>
      </c>
      <c r="I216" s="98">
        <v>83.51</v>
      </c>
    </row>
    <row r="217" spans="1:9">
      <c r="A217" s="12">
        <v>45304</v>
      </c>
      <c r="B217" s="11">
        <f t="shared" si="0"/>
        <v>2024</v>
      </c>
      <c r="C217" s="11">
        <f t="shared" si="2"/>
        <v>1</v>
      </c>
      <c r="D217" s="11" t="s">
        <v>101</v>
      </c>
      <c r="E217" s="13">
        <v>1225</v>
      </c>
      <c r="F217" s="13">
        <v>804</v>
      </c>
      <c r="G217" s="13">
        <v>1438033096</v>
      </c>
      <c r="H217" s="98">
        <v>19.420000000000002</v>
      </c>
      <c r="I217" s="98">
        <v>41.04</v>
      </c>
    </row>
    <row r="218" spans="1:9">
      <c r="A218" s="12">
        <v>45305</v>
      </c>
      <c r="B218" s="11">
        <f t="shared" si="0"/>
        <v>2024</v>
      </c>
      <c r="C218" s="11">
        <f t="shared" si="2"/>
        <v>1</v>
      </c>
      <c r="D218" s="11" t="s">
        <v>11</v>
      </c>
      <c r="E218" s="13">
        <v>3528</v>
      </c>
      <c r="F218" s="13">
        <v>2263</v>
      </c>
      <c r="G218" s="13">
        <v>4142403288</v>
      </c>
      <c r="H218" s="98">
        <v>21.58</v>
      </c>
      <c r="I218" s="98">
        <v>47.79</v>
      </c>
    </row>
    <row r="219" spans="1:9">
      <c r="A219" s="12">
        <v>45306</v>
      </c>
      <c r="B219" s="11">
        <f t="shared" si="0"/>
        <v>2024</v>
      </c>
      <c r="C219" s="11">
        <f t="shared" si="2"/>
        <v>1</v>
      </c>
      <c r="D219" s="11" t="s">
        <v>91</v>
      </c>
      <c r="E219" s="13">
        <v>3977</v>
      </c>
      <c r="F219" s="13">
        <v>2755</v>
      </c>
      <c r="G219" s="13">
        <v>4578242869</v>
      </c>
      <c r="H219" s="98">
        <v>23.54</v>
      </c>
      <c r="I219" s="98">
        <v>55.02</v>
      </c>
    </row>
    <row r="220" spans="1:9">
      <c r="A220" s="12">
        <v>45307</v>
      </c>
      <c r="B220" s="11">
        <f t="shared" si="0"/>
        <v>2024</v>
      </c>
      <c r="C220" s="11">
        <f t="shared" si="2"/>
        <v>1</v>
      </c>
      <c r="D220" s="11" t="s">
        <v>15</v>
      </c>
      <c r="E220" s="13">
        <v>1626</v>
      </c>
      <c r="F220" s="13">
        <v>1160</v>
      </c>
      <c r="G220" s="13">
        <v>2170117558</v>
      </c>
      <c r="H220" s="98">
        <v>26.78</v>
      </c>
      <c r="I220" s="98">
        <v>40.64</v>
      </c>
    </row>
    <row r="221" spans="1:9">
      <c r="A221" s="12">
        <v>45308</v>
      </c>
      <c r="B221" s="11">
        <f t="shared" si="0"/>
        <v>2024</v>
      </c>
      <c r="C221" s="11">
        <f t="shared" si="2"/>
        <v>1</v>
      </c>
      <c r="D221" s="11" t="s">
        <v>84</v>
      </c>
      <c r="E221" s="11">
        <v>3910</v>
      </c>
      <c r="F221" s="13">
        <v>2675</v>
      </c>
      <c r="G221" s="13">
        <v>4806424683</v>
      </c>
      <c r="H221" s="98">
        <v>19.84</v>
      </c>
      <c r="I221" s="98">
        <v>37.44</v>
      </c>
    </row>
    <row r="222" spans="1:9">
      <c r="A222" s="12">
        <v>45309</v>
      </c>
      <c r="B222" s="11">
        <f t="shared" si="0"/>
        <v>2024</v>
      </c>
      <c r="C222" s="11">
        <f t="shared" si="2"/>
        <v>1</v>
      </c>
      <c r="D222" s="11" t="s">
        <v>22</v>
      </c>
      <c r="E222" s="11">
        <v>19520</v>
      </c>
      <c r="F222" s="13">
        <v>13041</v>
      </c>
      <c r="G222" s="13">
        <v>22588661545</v>
      </c>
      <c r="H222" s="98">
        <v>31.3</v>
      </c>
      <c r="I222" s="98">
        <v>71.13</v>
      </c>
    </row>
    <row r="223" spans="1:9">
      <c r="A223" s="12">
        <v>45310</v>
      </c>
      <c r="B223" s="11">
        <f t="shared" si="0"/>
        <v>2024</v>
      </c>
      <c r="C223" s="11">
        <f t="shared" si="2"/>
        <v>1</v>
      </c>
      <c r="D223" s="11" t="s">
        <v>32</v>
      </c>
      <c r="E223" s="11">
        <v>1224</v>
      </c>
      <c r="F223" s="13">
        <v>846</v>
      </c>
      <c r="G223" s="13">
        <v>1388061065</v>
      </c>
      <c r="H223" s="98">
        <v>17.600000000000001</v>
      </c>
      <c r="I223" s="98">
        <v>36.75</v>
      </c>
    </row>
    <row r="224" spans="1:9">
      <c r="A224" s="12">
        <v>45311</v>
      </c>
      <c r="B224" s="11">
        <f t="shared" si="0"/>
        <v>2024</v>
      </c>
      <c r="C224" s="11">
        <f t="shared" si="2"/>
        <v>1</v>
      </c>
      <c r="D224" s="11" t="s">
        <v>12</v>
      </c>
      <c r="E224" s="11">
        <v>5590</v>
      </c>
      <c r="F224" s="13">
        <v>3638</v>
      </c>
      <c r="G224" s="13">
        <v>6701249874</v>
      </c>
      <c r="H224" s="98">
        <v>25.43</v>
      </c>
      <c r="I224" s="98">
        <v>51.9</v>
      </c>
    </row>
    <row r="225" spans="1:9">
      <c r="A225" s="12">
        <v>45312</v>
      </c>
      <c r="B225" s="11">
        <f t="shared" si="0"/>
        <v>2024</v>
      </c>
      <c r="C225" s="11">
        <f t="shared" si="2"/>
        <v>1</v>
      </c>
      <c r="D225" s="11" t="s">
        <v>19</v>
      </c>
      <c r="E225" s="11">
        <v>1159</v>
      </c>
      <c r="F225" s="13">
        <v>823</v>
      </c>
      <c r="G225" s="13">
        <v>1335115412</v>
      </c>
      <c r="H225" s="98">
        <v>18.86</v>
      </c>
      <c r="I225" s="98">
        <v>47.99</v>
      </c>
    </row>
    <row r="226" spans="1:9">
      <c r="A226" s="12">
        <v>45323</v>
      </c>
      <c r="B226" s="11">
        <f t="shared" si="0"/>
        <v>2024</v>
      </c>
      <c r="C226" s="11">
        <f t="shared" si="2"/>
        <v>2</v>
      </c>
      <c r="D226" s="11" t="s">
        <v>24</v>
      </c>
      <c r="E226" s="13">
        <v>472</v>
      </c>
      <c r="F226" s="13">
        <v>272</v>
      </c>
      <c r="G226" s="13">
        <v>523826412.39999998</v>
      </c>
      <c r="H226" s="98">
        <v>26.62</v>
      </c>
      <c r="I226" s="98">
        <v>21.31</v>
      </c>
    </row>
    <row r="227" spans="1:9">
      <c r="A227" s="12">
        <v>45324</v>
      </c>
      <c r="B227" s="11">
        <f t="shared" si="0"/>
        <v>2024</v>
      </c>
      <c r="C227" s="11">
        <f t="shared" si="2"/>
        <v>2</v>
      </c>
      <c r="D227" s="11" t="s">
        <v>28</v>
      </c>
      <c r="E227" s="13">
        <v>94</v>
      </c>
      <c r="F227" s="13">
        <v>52</v>
      </c>
      <c r="G227" s="13">
        <v>97573335.480000004</v>
      </c>
      <c r="H227" s="98">
        <v>18.55</v>
      </c>
      <c r="I227" s="98">
        <v>7.05</v>
      </c>
    </row>
    <row r="228" spans="1:9">
      <c r="A228" s="12">
        <v>45325</v>
      </c>
      <c r="B228" s="11">
        <f t="shared" si="0"/>
        <v>2024</v>
      </c>
      <c r="C228" s="11">
        <f t="shared" si="2"/>
        <v>2</v>
      </c>
      <c r="D228" s="11" t="s">
        <v>7</v>
      </c>
      <c r="E228" s="13">
        <v>1869</v>
      </c>
      <c r="F228" s="13">
        <v>1276</v>
      </c>
      <c r="G228" s="13">
        <v>2242797718</v>
      </c>
      <c r="H228" s="98">
        <v>20.58</v>
      </c>
      <c r="I228" s="98">
        <v>39.72</v>
      </c>
    </row>
    <row r="229" spans="1:9">
      <c r="A229" s="12">
        <v>45326</v>
      </c>
      <c r="B229" s="11">
        <f t="shared" si="0"/>
        <v>2024</v>
      </c>
      <c r="C229" s="11">
        <f t="shared" si="2"/>
        <v>2</v>
      </c>
      <c r="D229" s="11" t="s">
        <v>75</v>
      </c>
      <c r="E229" s="13">
        <v>19991</v>
      </c>
      <c r="F229" s="13">
        <v>12619</v>
      </c>
      <c r="G229" s="13">
        <v>23451527049</v>
      </c>
      <c r="H229" s="98">
        <v>30.07</v>
      </c>
      <c r="I229" s="98">
        <v>69.33</v>
      </c>
    </row>
    <row r="230" spans="1:9">
      <c r="A230" s="12">
        <v>45327</v>
      </c>
      <c r="B230" s="11">
        <f t="shared" si="0"/>
        <v>2024</v>
      </c>
      <c r="C230" s="11">
        <f t="shared" si="2"/>
        <v>2</v>
      </c>
      <c r="D230" s="11" t="s">
        <v>79</v>
      </c>
      <c r="E230" s="13">
        <v>6712</v>
      </c>
      <c r="F230" s="13">
        <v>4413</v>
      </c>
      <c r="G230" s="13">
        <v>7763861822</v>
      </c>
      <c r="H230" s="98">
        <v>24.57</v>
      </c>
      <c r="I230" s="98">
        <v>71.48</v>
      </c>
    </row>
    <row r="231" spans="1:9">
      <c r="A231" s="12">
        <v>45328</v>
      </c>
      <c r="B231" s="11">
        <f t="shared" si="0"/>
        <v>2024</v>
      </c>
      <c r="C231" s="11">
        <f t="shared" si="2"/>
        <v>2</v>
      </c>
      <c r="D231" s="11" t="s">
        <v>8</v>
      </c>
      <c r="E231" s="13">
        <v>16959</v>
      </c>
      <c r="F231" s="13">
        <v>11515</v>
      </c>
      <c r="G231" s="13">
        <v>19093485659</v>
      </c>
      <c r="H231" s="98">
        <v>22.3</v>
      </c>
      <c r="I231" s="98">
        <v>45.15</v>
      </c>
    </row>
    <row r="232" spans="1:9">
      <c r="A232" s="12">
        <v>45329</v>
      </c>
      <c r="B232" s="11">
        <f t="shared" si="0"/>
        <v>2024</v>
      </c>
      <c r="C232" s="11">
        <f t="shared" si="2"/>
        <v>2</v>
      </c>
      <c r="D232" s="11" t="s">
        <v>20</v>
      </c>
      <c r="E232" s="13">
        <v>2770</v>
      </c>
      <c r="F232" s="13">
        <v>2051</v>
      </c>
      <c r="G232" s="13">
        <v>3320924445</v>
      </c>
      <c r="H232" s="98">
        <v>25.24</v>
      </c>
      <c r="I232" s="98">
        <v>45.38</v>
      </c>
    </row>
    <row r="233" spans="1:9">
      <c r="A233" s="12">
        <v>45330</v>
      </c>
      <c r="B233" s="11">
        <f t="shared" si="0"/>
        <v>2024</v>
      </c>
      <c r="C233" s="11">
        <f t="shared" si="2"/>
        <v>2</v>
      </c>
      <c r="D233" s="11" t="s">
        <v>88</v>
      </c>
      <c r="E233" s="13">
        <v>3261</v>
      </c>
      <c r="F233" s="13">
        <v>2241</v>
      </c>
      <c r="G233" s="13">
        <v>4001052542</v>
      </c>
      <c r="H233" s="98">
        <v>22.45</v>
      </c>
      <c r="I233" s="98">
        <v>37.979999999999997</v>
      </c>
    </row>
    <row r="234" spans="1:9">
      <c r="A234" s="12">
        <v>45331</v>
      </c>
      <c r="B234" s="11">
        <f t="shared" si="0"/>
        <v>2024</v>
      </c>
      <c r="C234" s="11">
        <f t="shared" si="2"/>
        <v>2</v>
      </c>
      <c r="D234" s="11" t="s">
        <v>93</v>
      </c>
      <c r="E234" s="13">
        <v>247</v>
      </c>
      <c r="F234" s="13">
        <v>143</v>
      </c>
      <c r="G234" s="13">
        <v>255171107.69999999</v>
      </c>
      <c r="H234" s="98">
        <v>16.45</v>
      </c>
      <c r="I234" s="98">
        <v>12.93</v>
      </c>
    </row>
    <row r="235" spans="1:9">
      <c r="A235" s="12">
        <v>45332</v>
      </c>
      <c r="B235" s="11">
        <f t="shared" si="0"/>
        <v>2024</v>
      </c>
      <c r="C235" s="11">
        <f t="shared" si="2"/>
        <v>2</v>
      </c>
      <c r="D235" s="11" t="s">
        <v>10</v>
      </c>
      <c r="E235" s="13">
        <v>9845</v>
      </c>
      <c r="F235" s="13">
        <v>6657</v>
      </c>
      <c r="G235" s="13">
        <v>11822149669</v>
      </c>
      <c r="H235" s="98">
        <v>22.41</v>
      </c>
      <c r="I235" s="98">
        <v>49.47</v>
      </c>
    </row>
    <row r="236" spans="1:9">
      <c r="A236" s="12">
        <v>45333</v>
      </c>
      <c r="B236" s="11">
        <f t="shared" si="0"/>
        <v>2024</v>
      </c>
      <c r="C236" s="11">
        <f t="shared" si="2"/>
        <v>2</v>
      </c>
      <c r="D236" s="11" t="s">
        <v>9</v>
      </c>
      <c r="E236" s="13">
        <v>15080</v>
      </c>
      <c r="F236" s="13">
        <v>9293</v>
      </c>
      <c r="G236" s="13">
        <v>17828639578</v>
      </c>
      <c r="H236" s="98">
        <v>27.52</v>
      </c>
      <c r="I236" s="98">
        <v>70.22</v>
      </c>
    </row>
    <row r="237" spans="1:9">
      <c r="A237" s="12">
        <v>45334</v>
      </c>
      <c r="B237" s="11">
        <f t="shared" si="0"/>
        <v>2024</v>
      </c>
      <c r="C237" s="11">
        <f t="shared" si="2"/>
        <v>2</v>
      </c>
      <c r="D237" s="11" t="s">
        <v>101</v>
      </c>
      <c r="E237" s="13">
        <v>994</v>
      </c>
      <c r="F237" s="13">
        <v>673</v>
      </c>
      <c r="G237" s="13">
        <v>1224139797</v>
      </c>
      <c r="H237" s="98">
        <v>16.91</v>
      </c>
      <c r="I237" s="98">
        <v>36.75</v>
      </c>
    </row>
    <row r="238" spans="1:9">
      <c r="A238" s="12">
        <v>45335</v>
      </c>
      <c r="B238" s="11">
        <f t="shared" si="0"/>
        <v>2024</v>
      </c>
      <c r="C238" s="11">
        <f t="shared" si="2"/>
        <v>2</v>
      </c>
      <c r="D238" s="11" t="s">
        <v>11</v>
      </c>
      <c r="E238" s="13">
        <v>2043</v>
      </c>
      <c r="F238" s="13">
        <v>1351</v>
      </c>
      <c r="G238" s="13">
        <v>2455527543</v>
      </c>
      <c r="H238" s="98">
        <v>21.23</v>
      </c>
      <c r="I238" s="98">
        <v>38.46</v>
      </c>
    </row>
    <row r="239" spans="1:9">
      <c r="A239" s="12">
        <v>45336</v>
      </c>
      <c r="B239" s="11">
        <f t="shared" si="0"/>
        <v>2024</v>
      </c>
      <c r="C239" s="11">
        <f t="shared" si="2"/>
        <v>2</v>
      </c>
      <c r="D239" s="11" t="s">
        <v>91</v>
      </c>
      <c r="E239" s="13">
        <v>3364</v>
      </c>
      <c r="F239" s="13">
        <v>2318</v>
      </c>
      <c r="G239" s="13">
        <v>3943728050</v>
      </c>
      <c r="H239" s="98">
        <v>30.71</v>
      </c>
      <c r="I239" s="98">
        <v>74.94</v>
      </c>
    </row>
    <row r="240" spans="1:9">
      <c r="A240" s="12">
        <v>45337</v>
      </c>
      <c r="B240" s="11">
        <f t="shared" si="0"/>
        <v>2024</v>
      </c>
      <c r="C240" s="11">
        <f t="shared" si="2"/>
        <v>2</v>
      </c>
      <c r="D240" s="11" t="s">
        <v>15</v>
      </c>
      <c r="E240" s="13">
        <v>1345</v>
      </c>
      <c r="F240" s="13">
        <v>1009</v>
      </c>
      <c r="G240" s="13">
        <v>1743808137</v>
      </c>
      <c r="H240" s="98">
        <v>17.170000000000002</v>
      </c>
      <c r="I240" s="98">
        <v>26.18</v>
      </c>
    </row>
    <row r="241" spans="1:9">
      <c r="A241" s="12">
        <v>45338</v>
      </c>
      <c r="B241" s="11">
        <f t="shared" si="0"/>
        <v>2024</v>
      </c>
      <c r="C241" s="11">
        <f t="shared" si="2"/>
        <v>2</v>
      </c>
      <c r="D241" s="11" t="s">
        <v>84</v>
      </c>
      <c r="E241" s="13">
        <v>3419</v>
      </c>
      <c r="F241" s="13">
        <v>2336</v>
      </c>
      <c r="G241" s="13">
        <v>4460782970</v>
      </c>
      <c r="H241" s="98">
        <v>22.66</v>
      </c>
      <c r="I241" s="98">
        <v>33.630000000000003</v>
      </c>
    </row>
    <row r="242" spans="1:9">
      <c r="A242" s="12">
        <v>45339</v>
      </c>
      <c r="B242" s="11">
        <f t="shared" si="0"/>
        <v>2024</v>
      </c>
      <c r="C242" s="11">
        <f t="shared" si="2"/>
        <v>2</v>
      </c>
      <c r="D242" s="11" t="s">
        <v>22</v>
      </c>
      <c r="E242" s="13">
        <v>20015</v>
      </c>
      <c r="F242" s="13">
        <v>13515</v>
      </c>
      <c r="G242" s="13">
        <v>23632615842</v>
      </c>
      <c r="H242" s="98">
        <v>28.46</v>
      </c>
      <c r="I242" s="98">
        <v>64.87</v>
      </c>
    </row>
    <row r="243" spans="1:9">
      <c r="A243" s="12">
        <v>45340</v>
      </c>
      <c r="B243" s="11">
        <f t="shared" si="0"/>
        <v>2024</v>
      </c>
      <c r="C243" s="11">
        <f t="shared" si="2"/>
        <v>2</v>
      </c>
      <c r="D243" s="11" t="s">
        <v>32</v>
      </c>
      <c r="E243" s="11">
        <v>1034</v>
      </c>
      <c r="F243" s="13">
        <v>710</v>
      </c>
      <c r="G243" s="13">
        <v>1217233750</v>
      </c>
      <c r="H243" s="98">
        <v>17.5</v>
      </c>
      <c r="I243" s="98">
        <v>38.83</v>
      </c>
    </row>
    <row r="244" spans="1:9">
      <c r="A244" s="12">
        <v>45341</v>
      </c>
      <c r="B244" s="11">
        <f t="shared" si="0"/>
        <v>2024</v>
      </c>
      <c r="C244" s="11">
        <f t="shared" si="2"/>
        <v>2</v>
      </c>
      <c r="D244" s="11" t="s">
        <v>12</v>
      </c>
      <c r="E244" s="11">
        <v>5532</v>
      </c>
      <c r="F244" s="13">
        <v>3644</v>
      </c>
      <c r="G244" s="13">
        <v>6576594733</v>
      </c>
      <c r="H244" s="98">
        <v>21.46</v>
      </c>
      <c r="I244" s="98">
        <v>50.13</v>
      </c>
    </row>
    <row r="245" spans="1:9">
      <c r="A245" s="12">
        <v>45342</v>
      </c>
      <c r="B245" s="11">
        <f t="shared" si="0"/>
        <v>2024</v>
      </c>
      <c r="C245" s="11">
        <f t="shared" si="2"/>
        <v>2</v>
      </c>
      <c r="D245" s="11" t="s">
        <v>19</v>
      </c>
      <c r="E245" s="11">
        <v>587</v>
      </c>
      <c r="F245" s="13">
        <v>429</v>
      </c>
      <c r="G245" s="13">
        <v>683846290.39999998</v>
      </c>
      <c r="H245" s="98">
        <v>24.43</v>
      </c>
      <c r="I245" s="98">
        <v>55.41</v>
      </c>
    </row>
    <row r="246" spans="1:9">
      <c r="A246" s="12">
        <v>45343</v>
      </c>
      <c r="B246" s="11">
        <f t="shared" si="0"/>
        <v>2024</v>
      </c>
      <c r="C246" s="11">
        <f t="shared" si="2"/>
        <v>2</v>
      </c>
      <c r="D246" s="11" t="s">
        <v>23</v>
      </c>
      <c r="E246" s="11">
        <v>0</v>
      </c>
      <c r="F246" s="13">
        <v>0</v>
      </c>
      <c r="G246" s="13">
        <v>0</v>
      </c>
      <c r="H246" s="98">
        <v>0</v>
      </c>
      <c r="I246" s="98">
        <v>0</v>
      </c>
    </row>
    <row r="247" spans="1:9">
      <c r="A247" s="12">
        <v>45352</v>
      </c>
      <c r="B247" s="11">
        <f t="shared" si="0"/>
        <v>2024</v>
      </c>
      <c r="C247" s="11">
        <f t="shared" si="2"/>
        <v>3</v>
      </c>
      <c r="D247" s="11" t="s">
        <v>24</v>
      </c>
      <c r="E247" s="13">
        <v>608</v>
      </c>
      <c r="F247" s="13">
        <v>372</v>
      </c>
      <c r="G247" s="13">
        <v>757807929.39999998</v>
      </c>
      <c r="H247" s="98">
        <v>22.26</v>
      </c>
      <c r="I247" s="98">
        <v>16.21</v>
      </c>
    </row>
    <row r="248" spans="1:9">
      <c r="A248" s="12">
        <v>45352</v>
      </c>
      <c r="B248" s="11">
        <f t="shared" si="0"/>
        <v>2024</v>
      </c>
      <c r="C248" s="11">
        <f t="shared" si="2"/>
        <v>3</v>
      </c>
      <c r="D248" s="11" t="s">
        <v>28</v>
      </c>
      <c r="E248" s="13">
        <v>247</v>
      </c>
      <c r="F248" s="13">
        <v>146</v>
      </c>
      <c r="G248" s="13">
        <v>239545203.40000001</v>
      </c>
      <c r="H248" s="98">
        <v>17.649999999999999</v>
      </c>
      <c r="I248" s="98">
        <v>11.93</v>
      </c>
    </row>
    <row r="249" spans="1:9">
      <c r="A249" s="12">
        <v>45352</v>
      </c>
      <c r="B249" s="11">
        <f t="shared" si="0"/>
        <v>2024</v>
      </c>
      <c r="C249" s="11">
        <f t="shared" si="2"/>
        <v>3</v>
      </c>
      <c r="D249" s="11" t="s">
        <v>7</v>
      </c>
      <c r="E249" s="13">
        <v>1061</v>
      </c>
      <c r="F249" s="13">
        <v>702</v>
      </c>
      <c r="G249" s="13">
        <v>1320094595</v>
      </c>
      <c r="H249" s="98">
        <v>31.14</v>
      </c>
      <c r="I249" s="98">
        <v>49.69</v>
      </c>
    </row>
    <row r="250" spans="1:9">
      <c r="A250" s="12">
        <v>45352</v>
      </c>
      <c r="B250" s="11">
        <f t="shared" si="0"/>
        <v>2024</v>
      </c>
      <c r="C250" s="11">
        <f t="shared" si="2"/>
        <v>3</v>
      </c>
      <c r="D250" s="11" t="s">
        <v>75</v>
      </c>
      <c r="E250" s="13">
        <v>19851</v>
      </c>
      <c r="F250" s="13">
        <v>12423</v>
      </c>
      <c r="G250" s="13">
        <v>23120633569</v>
      </c>
      <c r="H250" s="98">
        <v>30.87</v>
      </c>
      <c r="I250" s="98">
        <v>68.25</v>
      </c>
    </row>
    <row r="251" spans="1:9">
      <c r="A251" s="12">
        <v>45352</v>
      </c>
      <c r="B251" s="11">
        <f t="shared" si="0"/>
        <v>2024</v>
      </c>
      <c r="C251" s="11">
        <f t="shared" si="2"/>
        <v>3</v>
      </c>
      <c r="D251" s="11" t="s">
        <v>79</v>
      </c>
      <c r="E251" s="13">
        <v>9619</v>
      </c>
      <c r="F251" s="13">
        <v>6625</v>
      </c>
      <c r="G251" s="13">
        <v>11437017129</v>
      </c>
      <c r="H251" s="98">
        <v>35.549999999999997</v>
      </c>
      <c r="I251" s="98">
        <v>79.86</v>
      </c>
    </row>
    <row r="252" spans="1:9">
      <c r="A252" s="12">
        <v>45352</v>
      </c>
      <c r="B252" s="11">
        <f t="shared" si="0"/>
        <v>2024</v>
      </c>
      <c r="C252" s="11">
        <f t="shared" si="2"/>
        <v>3</v>
      </c>
      <c r="D252" s="11" t="s">
        <v>8</v>
      </c>
      <c r="E252" s="13">
        <v>17723</v>
      </c>
      <c r="F252" s="13">
        <v>11561</v>
      </c>
      <c r="G252" s="13">
        <v>19420042228</v>
      </c>
      <c r="H252" s="98">
        <v>26.63</v>
      </c>
      <c r="I252" s="98">
        <v>53.9</v>
      </c>
    </row>
    <row r="253" spans="1:9">
      <c r="A253" s="12">
        <v>45352</v>
      </c>
      <c r="B253" s="11">
        <f t="shared" si="0"/>
        <v>2024</v>
      </c>
      <c r="C253" s="11">
        <f t="shared" si="2"/>
        <v>3</v>
      </c>
      <c r="D253" s="11" t="s">
        <v>20</v>
      </c>
      <c r="E253" s="13">
        <v>1227</v>
      </c>
      <c r="F253" s="13">
        <v>894</v>
      </c>
      <c r="G253" s="13">
        <v>1490371935</v>
      </c>
      <c r="H253" s="98">
        <v>22.02</v>
      </c>
      <c r="I253" s="98">
        <v>39.880000000000003</v>
      </c>
    </row>
    <row r="254" spans="1:9">
      <c r="A254" s="12">
        <v>45352</v>
      </c>
      <c r="B254" s="11">
        <f t="shared" si="0"/>
        <v>2024</v>
      </c>
      <c r="C254" s="11">
        <f t="shared" si="2"/>
        <v>3</v>
      </c>
      <c r="D254" s="11" t="s">
        <v>88</v>
      </c>
      <c r="E254" s="13">
        <v>2291</v>
      </c>
      <c r="F254" s="13">
        <v>1603</v>
      </c>
      <c r="G254" s="13">
        <v>2812810916</v>
      </c>
      <c r="H254" s="98">
        <v>27.16</v>
      </c>
      <c r="I254" s="98">
        <v>37.299999999999997</v>
      </c>
    </row>
    <row r="255" spans="1:9">
      <c r="A255" s="12">
        <v>45352</v>
      </c>
      <c r="B255" s="11">
        <f t="shared" si="0"/>
        <v>2024</v>
      </c>
      <c r="C255" s="11">
        <f t="shared" si="2"/>
        <v>3</v>
      </c>
      <c r="D255" s="11" t="s">
        <v>93</v>
      </c>
      <c r="E255" s="13">
        <v>134</v>
      </c>
      <c r="F255" s="13">
        <v>73</v>
      </c>
      <c r="G255" s="13">
        <v>138014187.30000001</v>
      </c>
      <c r="H255" s="98">
        <v>26.46</v>
      </c>
      <c r="I255" s="98">
        <v>16.93</v>
      </c>
    </row>
    <row r="256" spans="1:9">
      <c r="A256" s="12">
        <v>45352</v>
      </c>
      <c r="B256" s="11">
        <f t="shared" si="0"/>
        <v>2024</v>
      </c>
      <c r="C256" s="11">
        <f t="shared" si="2"/>
        <v>3</v>
      </c>
      <c r="D256" s="11" t="s">
        <v>10</v>
      </c>
      <c r="E256" s="13">
        <v>14571</v>
      </c>
      <c r="F256" s="13">
        <v>9816</v>
      </c>
      <c r="G256" s="13">
        <v>17624459211</v>
      </c>
      <c r="H256" s="98">
        <v>24.12</v>
      </c>
      <c r="I256" s="98">
        <v>45.16</v>
      </c>
    </row>
    <row r="257" spans="1:9">
      <c r="A257" s="12">
        <v>45352</v>
      </c>
      <c r="B257" s="11">
        <f t="shared" ref="B257:B421" si="3">YEAR(A257)</f>
        <v>2024</v>
      </c>
      <c r="C257" s="11">
        <f t="shared" si="2"/>
        <v>3</v>
      </c>
      <c r="D257" s="11" t="s">
        <v>9</v>
      </c>
      <c r="E257" s="13">
        <v>13872</v>
      </c>
      <c r="F257" s="13">
        <v>8496</v>
      </c>
      <c r="G257" s="13">
        <v>16214386789</v>
      </c>
      <c r="H257" s="98">
        <v>27.81</v>
      </c>
      <c r="I257" s="98">
        <v>59.12</v>
      </c>
    </row>
    <row r="258" spans="1:9">
      <c r="A258" s="12">
        <v>45352</v>
      </c>
      <c r="B258" s="11">
        <f t="shared" si="3"/>
        <v>2024</v>
      </c>
      <c r="C258" s="11">
        <f t="shared" si="2"/>
        <v>3</v>
      </c>
      <c r="D258" s="11" t="s">
        <v>101</v>
      </c>
      <c r="E258" s="13">
        <v>1210</v>
      </c>
      <c r="F258" s="13">
        <v>777</v>
      </c>
      <c r="G258" s="13">
        <v>1419433882</v>
      </c>
      <c r="H258" s="98">
        <v>22.9</v>
      </c>
      <c r="I258" s="98">
        <v>44.24</v>
      </c>
    </row>
    <row r="259" spans="1:9">
      <c r="A259" s="12">
        <v>45352</v>
      </c>
      <c r="B259" s="11">
        <f t="shared" si="3"/>
        <v>2024</v>
      </c>
      <c r="C259" s="11">
        <f t="shared" si="2"/>
        <v>3</v>
      </c>
      <c r="D259" s="11" t="s">
        <v>11</v>
      </c>
      <c r="E259" s="13">
        <v>3843</v>
      </c>
      <c r="F259" s="13">
        <v>2582</v>
      </c>
      <c r="G259" s="13">
        <v>4573745911</v>
      </c>
      <c r="H259" s="98">
        <v>24.82</v>
      </c>
      <c r="I259" s="98">
        <v>46.26</v>
      </c>
    </row>
    <row r="260" spans="1:9">
      <c r="A260" s="12">
        <v>45352</v>
      </c>
      <c r="B260" s="11">
        <f t="shared" si="3"/>
        <v>2024</v>
      </c>
      <c r="C260" s="11">
        <f t="shared" si="2"/>
        <v>3</v>
      </c>
      <c r="D260" s="11" t="s">
        <v>91</v>
      </c>
      <c r="E260" s="13">
        <v>4281</v>
      </c>
      <c r="F260" s="13">
        <v>3056</v>
      </c>
      <c r="G260" s="13">
        <v>5116555093</v>
      </c>
      <c r="H260" s="98">
        <v>24.1</v>
      </c>
      <c r="I260" s="98">
        <v>54.69</v>
      </c>
    </row>
    <row r="261" spans="1:9">
      <c r="A261" s="12">
        <v>45352</v>
      </c>
      <c r="B261" s="11">
        <f t="shared" si="3"/>
        <v>2024</v>
      </c>
      <c r="C261" s="11">
        <f t="shared" si="2"/>
        <v>3</v>
      </c>
      <c r="D261" s="11" t="s">
        <v>15</v>
      </c>
      <c r="E261" s="13">
        <v>1198</v>
      </c>
      <c r="F261" s="13">
        <v>818</v>
      </c>
      <c r="G261" s="13">
        <v>1463478128</v>
      </c>
      <c r="H261" s="98">
        <v>21.53</v>
      </c>
      <c r="I261" s="98">
        <v>30.88</v>
      </c>
    </row>
    <row r="262" spans="1:9">
      <c r="A262" s="12">
        <v>45352</v>
      </c>
      <c r="B262" s="11">
        <f t="shared" si="3"/>
        <v>2024</v>
      </c>
      <c r="C262" s="11">
        <f t="shared" si="2"/>
        <v>3</v>
      </c>
      <c r="D262" s="11" t="s">
        <v>84</v>
      </c>
      <c r="E262" s="13">
        <v>3727</v>
      </c>
      <c r="F262" s="13">
        <v>2471</v>
      </c>
      <c r="G262" s="13">
        <v>4645249408</v>
      </c>
      <c r="H262" s="98">
        <v>25.57</v>
      </c>
      <c r="I262" s="98">
        <v>33.56</v>
      </c>
    </row>
    <row r="263" spans="1:9">
      <c r="A263" s="12">
        <v>45352</v>
      </c>
      <c r="B263" s="11">
        <f t="shared" si="3"/>
        <v>2024</v>
      </c>
      <c r="C263" s="11">
        <f t="shared" si="2"/>
        <v>3</v>
      </c>
      <c r="D263" s="11" t="s">
        <v>22</v>
      </c>
      <c r="E263" s="13">
        <v>20490</v>
      </c>
      <c r="F263" s="13">
        <v>13695</v>
      </c>
      <c r="G263" s="13">
        <v>24145157348</v>
      </c>
      <c r="H263" s="98">
        <v>32.4</v>
      </c>
      <c r="I263" s="98">
        <v>73.599999999999994</v>
      </c>
    </row>
    <row r="264" spans="1:9">
      <c r="A264" s="12">
        <v>45352</v>
      </c>
      <c r="B264" s="11">
        <f t="shared" si="3"/>
        <v>2024</v>
      </c>
      <c r="C264" s="11">
        <f t="shared" si="2"/>
        <v>3</v>
      </c>
      <c r="D264" s="11" t="s">
        <v>32</v>
      </c>
      <c r="E264" s="11">
        <v>1335</v>
      </c>
      <c r="F264" s="11">
        <v>878</v>
      </c>
      <c r="G264" s="13">
        <v>1567544143</v>
      </c>
      <c r="H264" s="98">
        <v>19.07</v>
      </c>
      <c r="I264" s="98">
        <v>38.799999999999997</v>
      </c>
    </row>
    <row r="265" spans="1:9">
      <c r="A265" s="12">
        <v>45352</v>
      </c>
      <c r="B265" s="11">
        <f t="shared" si="3"/>
        <v>2024</v>
      </c>
      <c r="C265" s="11">
        <f t="shared" si="2"/>
        <v>3</v>
      </c>
      <c r="D265" s="11" t="s">
        <v>12</v>
      </c>
      <c r="E265" s="11">
        <v>8205</v>
      </c>
      <c r="F265" s="11">
        <v>5248</v>
      </c>
      <c r="G265" s="13">
        <v>9529785171</v>
      </c>
      <c r="H265" s="98">
        <v>19.440000000000001</v>
      </c>
      <c r="I265" s="98">
        <v>39.67</v>
      </c>
    </row>
    <row r="266" spans="1:9">
      <c r="A266" s="24" t="s">
        <v>60</v>
      </c>
      <c r="B266" s="11">
        <f t="shared" si="3"/>
        <v>2024</v>
      </c>
      <c r="C266" s="11">
        <f t="shared" si="2"/>
        <v>4</v>
      </c>
      <c r="D266" s="11" t="s">
        <v>24</v>
      </c>
      <c r="E266" s="13">
        <v>225</v>
      </c>
      <c r="F266" s="13">
        <v>164</v>
      </c>
      <c r="G266" s="13">
        <v>355904194.10000002</v>
      </c>
      <c r="H266" s="98">
        <v>16.829999999999998</v>
      </c>
      <c r="I266" s="98">
        <v>5.66</v>
      </c>
    </row>
    <row r="267" spans="1:9">
      <c r="A267" s="11" t="s">
        <v>60</v>
      </c>
      <c r="B267" s="11">
        <f t="shared" si="3"/>
        <v>2024</v>
      </c>
      <c r="C267" s="11">
        <f t="shared" si="2"/>
        <v>4</v>
      </c>
      <c r="D267" s="11" t="s">
        <v>7</v>
      </c>
      <c r="E267" s="13">
        <v>1367</v>
      </c>
      <c r="F267" s="13">
        <v>946</v>
      </c>
      <c r="G267" s="13">
        <v>1890733836</v>
      </c>
      <c r="H267" s="98">
        <v>14.94</v>
      </c>
      <c r="I267" s="98">
        <v>28.27</v>
      </c>
    </row>
    <row r="268" spans="1:9">
      <c r="A268" s="11" t="s">
        <v>60</v>
      </c>
      <c r="B268" s="11">
        <f t="shared" si="3"/>
        <v>2024</v>
      </c>
      <c r="C268" s="11">
        <f t="shared" si="2"/>
        <v>4</v>
      </c>
      <c r="D268" s="11" t="s">
        <v>75</v>
      </c>
      <c r="E268" s="13">
        <v>21259</v>
      </c>
      <c r="F268" s="13">
        <v>13245</v>
      </c>
      <c r="G268" s="13">
        <v>24885254849</v>
      </c>
      <c r="H268" s="98">
        <v>26.35</v>
      </c>
      <c r="I268" s="98">
        <v>64.36</v>
      </c>
    </row>
    <row r="269" spans="1:9">
      <c r="A269" s="11" t="s">
        <v>60</v>
      </c>
      <c r="B269" s="11">
        <f t="shared" si="3"/>
        <v>2024</v>
      </c>
      <c r="C269" s="11">
        <f t="shared" si="2"/>
        <v>4</v>
      </c>
      <c r="D269" s="11" t="s">
        <v>79</v>
      </c>
      <c r="E269" s="13">
        <v>9228</v>
      </c>
      <c r="F269" s="13">
        <v>6050</v>
      </c>
      <c r="G269" s="13">
        <v>10800948958</v>
      </c>
      <c r="H269" s="98">
        <v>28.46</v>
      </c>
      <c r="I269" s="98">
        <v>80.44</v>
      </c>
    </row>
    <row r="270" spans="1:9">
      <c r="A270" s="11" t="s">
        <v>60</v>
      </c>
      <c r="B270" s="11">
        <f t="shared" si="3"/>
        <v>2024</v>
      </c>
      <c r="C270" s="11">
        <f t="shared" si="2"/>
        <v>4</v>
      </c>
      <c r="D270" s="11" t="s">
        <v>8</v>
      </c>
      <c r="E270" s="13">
        <v>11721</v>
      </c>
      <c r="F270" s="13">
        <v>7902</v>
      </c>
      <c r="G270" s="13">
        <v>13716442705</v>
      </c>
      <c r="H270" s="98">
        <v>23.31</v>
      </c>
      <c r="I270" s="98">
        <v>43.17</v>
      </c>
    </row>
    <row r="271" spans="1:9">
      <c r="A271" s="11" t="s">
        <v>60</v>
      </c>
      <c r="B271" s="11">
        <f t="shared" si="3"/>
        <v>2024</v>
      </c>
      <c r="C271" s="11">
        <f t="shared" si="2"/>
        <v>4</v>
      </c>
      <c r="D271" s="11" t="s">
        <v>20</v>
      </c>
      <c r="E271" s="13">
        <v>1034</v>
      </c>
      <c r="F271" s="13">
        <v>761</v>
      </c>
      <c r="G271" s="13">
        <v>1268331088</v>
      </c>
      <c r="H271" s="98">
        <v>21.54</v>
      </c>
      <c r="I271" s="98">
        <v>47.32</v>
      </c>
    </row>
    <row r="272" spans="1:9">
      <c r="A272" s="11" t="s">
        <v>60</v>
      </c>
      <c r="B272" s="11">
        <f t="shared" si="3"/>
        <v>2024</v>
      </c>
      <c r="C272" s="11">
        <f t="shared" si="2"/>
        <v>4</v>
      </c>
      <c r="D272" s="11" t="s">
        <v>88</v>
      </c>
      <c r="E272" s="13">
        <v>1992</v>
      </c>
      <c r="F272" s="13">
        <v>1448</v>
      </c>
      <c r="G272" s="13">
        <v>2527601857</v>
      </c>
      <c r="H272" s="98">
        <v>24.11</v>
      </c>
      <c r="I272" s="98">
        <v>42.77</v>
      </c>
    </row>
    <row r="273" spans="1:9">
      <c r="A273" s="11" t="s">
        <v>60</v>
      </c>
      <c r="B273" s="11">
        <f t="shared" si="3"/>
        <v>2024</v>
      </c>
      <c r="C273" s="11">
        <f t="shared" ref="C273:C362" si="4">MONTH(A273)</f>
        <v>4</v>
      </c>
      <c r="D273" s="11" t="s">
        <v>93</v>
      </c>
      <c r="E273" s="13">
        <v>345</v>
      </c>
      <c r="F273" s="13">
        <v>207</v>
      </c>
      <c r="G273" s="13">
        <v>380705529.10000002</v>
      </c>
      <c r="H273" s="98">
        <v>17.899999999999999</v>
      </c>
      <c r="I273" s="98">
        <v>15.34</v>
      </c>
    </row>
    <row r="274" spans="1:9">
      <c r="A274" s="11" t="s">
        <v>60</v>
      </c>
      <c r="B274" s="11">
        <f t="shared" si="3"/>
        <v>2024</v>
      </c>
      <c r="C274" s="11">
        <f t="shared" si="4"/>
        <v>4</v>
      </c>
      <c r="D274" s="11" t="s">
        <v>10</v>
      </c>
      <c r="E274" s="13">
        <v>4032</v>
      </c>
      <c r="F274" s="13">
        <v>2754</v>
      </c>
      <c r="G274" s="13">
        <v>4871552782</v>
      </c>
      <c r="H274" s="98">
        <v>20.91</v>
      </c>
      <c r="I274" s="98">
        <v>50.24</v>
      </c>
    </row>
    <row r="275" spans="1:9">
      <c r="A275" s="11" t="s">
        <v>60</v>
      </c>
      <c r="B275" s="11">
        <f t="shared" si="3"/>
        <v>2024</v>
      </c>
      <c r="C275" s="11">
        <f t="shared" si="4"/>
        <v>4</v>
      </c>
      <c r="D275" s="11" t="s">
        <v>9</v>
      </c>
      <c r="E275" s="13">
        <v>16631</v>
      </c>
      <c r="F275" s="13">
        <v>10281</v>
      </c>
      <c r="G275" s="13">
        <v>19830327302</v>
      </c>
      <c r="H275" s="98">
        <v>29.53</v>
      </c>
      <c r="I275" s="98">
        <v>80.39</v>
      </c>
    </row>
    <row r="276" spans="1:9">
      <c r="A276" s="11" t="s">
        <v>60</v>
      </c>
      <c r="B276" s="11">
        <f t="shared" si="3"/>
        <v>2024</v>
      </c>
      <c r="C276" s="11">
        <f t="shared" si="4"/>
        <v>4</v>
      </c>
      <c r="D276" s="11" t="s">
        <v>101</v>
      </c>
      <c r="E276" s="13">
        <v>775</v>
      </c>
      <c r="F276" s="13">
        <v>516</v>
      </c>
      <c r="G276" s="13">
        <v>913831384.20000005</v>
      </c>
      <c r="H276" s="98">
        <v>24.59</v>
      </c>
      <c r="I276" s="98">
        <v>51.38</v>
      </c>
    </row>
    <row r="277" spans="1:9">
      <c r="A277" s="11" t="s">
        <v>60</v>
      </c>
      <c r="B277" s="11">
        <f t="shared" si="3"/>
        <v>2024</v>
      </c>
      <c r="C277" s="11">
        <f t="shared" si="4"/>
        <v>4</v>
      </c>
      <c r="D277" s="11" t="s">
        <v>11</v>
      </c>
      <c r="E277" s="13">
        <v>1900</v>
      </c>
      <c r="F277" s="13">
        <v>1400</v>
      </c>
      <c r="G277" s="13">
        <v>2311794746</v>
      </c>
      <c r="H277" s="98">
        <v>30.43</v>
      </c>
      <c r="I277" s="98">
        <v>63.41</v>
      </c>
    </row>
    <row r="278" spans="1:9">
      <c r="A278" s="11" t="s">
        <v>60</v>
      </c>
      <c r="B278" s="11">
        <f t="shared" si="3"/>
        <v>2024</v>
      </c>
      <c r="C278" s="11">
        <f t="shared" si="4"/>
        <v>4</v>
      </c>
      <c r="D278" s="11" t="s">
        <v>91</v>
      </c>
      <c r="E278" s="13">
        <v>1889</v>
      </c>
      <c r="F278" s="13">
        <v>1210</v>
      </c>
      <c r="G278" s="13">
        <v>2167802578</v>
      </c>
      <c r="H278" s="98">
        <v>26.01</v>
      </c>
      <c r="I278" s="98">
        <v>59.25</v>
      </c>
    </row>
    <row r="279" spans="1:9">
      <c r="A279" s="11" t="s">
        <v>60</v>
      </c>
      <c r="B279" s="11">
        <f t="shared" si="3"/>
        <v>2024</v>
      </c>
      <c r="C279" s="11">
        <f t="shared" si="4"/>
        <v>4</v>
      </c>
      <c r="D279" s="11" t="s">
        <v>15</v>
      </c>
      <c r="E279" s="13">
        <v>2146</v>
      </c>
      <c r="F279" s="13">
        <v>1467</v>
      </c>
      <c r="G279" s="13">
        <v>2799830053</v>
      </c>
      <c r="H279" s="98">
        <v>19.09</v>
      </c>
      <c r="I279" s="98">
        <v>31.04</v>
      </c>
    </row>
    <row r="280" spans="1:9">
      <c r="A280" s="11" t="s">
        <v>60</v>
      </c>
      <c r="B280" s="11">
        <f t="shared" si="3"/>
        <v>2024</v>
      </c>
      <c r="C280" s="11">
        <f t="shared" si="4"/>
        <v>4</v>
      </c>
      <c r="D280" s="11" t="s">
        <v>84</v>
      </c>
      <c r="E280" s="13">
        <v>3197</v>
      </c>
      <c r="F280" s="13">
        <v>2043</v>
      </c>
      <c r="G280" s="13">
        <v>3969310722</v>
      </c>
      <c r="H280" s="98">
        <v>17.52</v>
      </c>
      <c r="I280" s="98">
        <v>29.64</v>
      </c>
    </row>
    <row r="281" spans="1:9">
      <c r="A281" s="11" t="s">
        <v>60</v>
      </c>
      <c r="B281" s="11">
        <f t="shared" si="3"/>
        <v>2024</v>
      </c>
      <c r="C281" s="11">
        <f t="shared" si="4"/>
        <v>4</v>
      </c>
      <c r="D281" s="11" t="s">
        <v>22</v>
      </c>
      <c r="E281" s="13">
        <v>18346</v>
      </c>
      <c r="F281" s="13">
        <v>12444</v>
      </c>
      <c r="G281" s="13">
        <v>22258828990</v>
      </c>
      <c r="H281" s="98">
        <v>26.12</v>
      </c>
      <c r="I281" s="98">
        <v>67.63</v>
      </c>
    </row>
    <row r="282" spans="1:9">
      <c r="A282" s="11" t="s">
        <v>60</v>
      </c>
      <c r="B282" s="11">
        <f t="shared" si="3"/>
        <v>2024</v>
      </c>
      <c r="C282" s="11">
        <f t="shared" si="4"/>
        <v>4</v>
      </c>
      <c r="D282" s="11" t="s">
        <v>32</v>
      </c>
      <c r="E282" s="13">
        <v>1530</v>
      </c>
      <c r="F282" s="13">
        <v>995</v>
      </c>
      <c r="G282" s="13">
        <v>1860732173</v>
      </c>
      <c r="H282" s="98">
        <v>15.08</v>
      </c>
      <c r="I282" s="98">
        <v>32.15</v>
      </c>
    </row>
    <row r="283" spans="1:9">
      <c r="A283" s="11" t="s">
        <v>60</v>
      </c>
      <c r="B283" s="11">
        <f t="shared" si="3"/>
        <v>2024</v>
      </c>
      <c r="C283" s="11">
        <f t="shared" si="4"/>
        <v>4</v>
      </c>
      <c r="D283" s="11" t="s">
        <v>12</v>
      </c>
      <c r="E283" s="13">
        <v>4331</v>
      </c>
      <c r="F283" s="13">
        <v>2857</v>
      </c>
      <c r="G283" s="13">
        <v>5331497040</v>
      </c>
      <c r="H283" s="98">
        <v>21.64</v>
      </c>
      <c r="I283" s="98">
        <v>48.86</v>
      </c>
    </row>
    <row r="284" spans="1:9">
      <c r="A284" s="12">
        <v>45413</v>
      </c>
      <c r="B284" s="11">
        <f t="shared" si="3"/>
        <v>2024</v>
      </c>
      <c r="C284" s="11">
        <f t="shared" si="4"/>
        <v>5</v>
      </c>
      <c r="D284" s="11" t="s">
        <v>24</v>
      </c>
      <c r="E284" s="13">
        <v>445</v>
      </c>
      <c r="F284" s="13">
        <v>281</v>
      </c>
      <c r="G284" s="13">
        <v>574421900.10000002</v>
      </c>
      <c r="H284" s="98">
        <v>19.93</v>
      </c>
      <c r="I284" s="98">
        <v>8.86</v>
      </c>
    </row>
    <row r="285" spans="1:9">
      <c r="A285" s="12">
        <v>45413</v>
      </c>
      <c r="B285" s="11">
        <f t="shared" si="3"/>
        <v>2024</v>
      </c>
      <c r="C285" s="11">
        <f t="shared" si="4"/>
        <v>5</v>
      </c>
      <c r="D285" s="11" t="s">
        <v>7</v>
      </c>
      <c r="E285" s="13">
        <v>1163</v>
      </c>
      <c r="F285" s="13">
        <v>804</v>
      </c>
      <c r="G285" s="13">
        <v>1575586975</v>
      </c>
      <c r="H285" s="98">
        <v>17.14</v>
      </c>
      <c r="I285" s="98">
        <v>40.78</v>
      </c>
    </row>
    <row r="286" spans="1:9">
      <c r="A286" s="12">
        <v>45413</v>
      </c>
      <c r="B286" s="11">
        <f t="shared" si="3"/>
        <v>2024</v>
      </c>
      <c r="C286" s="11">
        <f t="shared" si="4"/>
        <v>5</v>
      </c>
      <c r="D286" s="11" t="s">
        <v>75</v>
      </c>
      <c r="E286" s="13">
        <v>24807</v>
      </c>
      <c r="F286" s="13">
        <v>15631</v>
      </c>
      <c r="G286" s="13">
        <v>29125886033</v>
      </c>
      <c r="H286" s="98">
        <v>26.81</v>
      </c>
      <c r="I286" s="98">
        <v>67.8</v>
      </c>
    </row>
    <row r="287" spans="1:9">
      <c r="A287" s="12">
        <v>45413</v>
      </c>
      <c r="B287" s="11">
        <f t="shared" si="3"/>
        <v>2024</v>
      </c>
      <c r="C287" s="11">
        <f t="shared" si="4"/>
        <v>5</v>
      </c>
      <c r="D287" s="11" t="s">
        <v>79</v>
      </c>
      <c r="E287" s="13">
        <v>10182</v>
      </c>
      <c r="F287" s="13">
        <v>6586</v>
      </c>
      <c r="G287" s="13">
        <v>11788976642</v>
      </c>
      <c r="H287" s="98">
        <v>31.43</v>
      </c>
      <c r="I287" s="98">
        <v>93.39</v>
      </c>
    </row>
    <row r="288" spans="1:9">
      <c r="A288" s="12">
        <v>45413</v>
      </c>
      <c r="B288" s="11">
        <f t="shared" si="3"/>
        <v>2024</v>
      </c>
      <c r="C288" s="11">
        <f t="shared" si="4"/>
        <v>5</v>
      </c>
      <c r="D288" s="11" t="s">
        <v>8</v>
      </c>
      <c r="E288" s="13">
        <v>18527</v>
      </c>
      <c r="F288" s="13">
        <v>12488</v>
      </c>
      <c r="G288" s="13">
        <v>21300505112</v>
      </c>
      <c r="H288" s="98">
        <v>25.01</v>
      </c>
      <c r="I288" s="98">
        <v>49.97</v>
      </c>
    </row>
    <row r="289" spans="1:9">
      <c r="A289" s="12">
        <v>45413</v>
      </c>
      <c r="B289" s="11">
        <f t="shared" si="3"/>
        <v>2024</v>
      </c>
      <c r="C289" s="11">
        <f t="shared" si="4"/>
        <v>5</v>
      </c>
      <c r="D289" s="11" t="s">
        <v>20</v>
      </c>
      <c r="E289" s="13">
        <v>2641</v>
      </c>
      <c r="F289" s="13">
        <v>1843</v>
      </c>
      <c r="G289" s="20">
        <v>3062752930</v>
      </c>
      <c r="H289" s="98">
        <v>20.93</v>
      </c>
      <c r="I289" s="98">
        <v>42.11</v>
      </c>
    </row>
    <row r="290" spans="1:9">
      <c r="A290" s="12">
        <v>45413</v>
      </c>
      <c r="B290" s="11">
        <f t="shared" si="3"/>
        <v>2024</v>
      </c>
      <c r="C290" s="11">
        <f t="shared" si="4"/>
        <v>5</v>
      </c>
      <c r="D290" s="11" t="s">
        <v>88</v>
      </c>
      <c r="E290" s="13">
        <v>2934</v>
      </c>
      <c r="F290" s="13">
        <v>2055</v>
      </c>
      <c r="G290" s="20">
        <v>3714544990</v>
      </c>
      <c r="H290" s="98">
        <v>21.05</v>
      </c>
      <c r="I290" s="98">
        <v>34.49</v>
      </c>
    </row>
    <row r="291" spans="1:9">
      <c r="A291" s="12">
        <v>45413</v>
      </c>
      <c r="B291" s="11">
        <f t="shared" si="3"/>
        <v>2024</v>
      </c>
      <c r="C291" s="11">
        <f t="shared" si="4"/>
        <v>5</v>
      </c>
      <c r="D291" s="11" t="s">
        <v>93</v>
      </c>
      <c r="E291" s="13">
        <v>98</v>
      </c>
      <c r="F291" s="13">
        <v>58</v>
      </c>
      <c r="G291" s="20">
        <v>102537145.09999999</v>
      </c>
      <c r="H291" s="98">
        <v>24.48</v>
      </c>
      <c r="I291" s="98">
        <v>14.2</v>
      </c>
    </row>
    <row r="292" spans="1:9">
      <c r="A292" s="12">
        <v>45413</v>
      </c>
      <c r="B292" s="11">
        <f t="shared" si="3"/>
        <v>2024</v>
      </c>
      <c r="C292" s="11">
        <f t="shared" si="4"/>
        <v>5</v>
      </c>
      <c r="D292" s="11" t="s">
        <v>10</v>
      </c>
      <c r="E292" s="13">
        <v>17664</v>
      </c>
      <c r="F292" s="13">
        <v>11931</v>
      </c>
      <c r="G292" s="20">
        <v>21522149399</v>
      </c>
      <c r="H292" s="98">
        <v>23.4</v>
      </c>
      <c r="I292" s="98">
        <v>57.73</v>
      </c>
    </row>
    <row r="293" spans="1:9">
      <c r="A293" s="12">
        <v>45413</v>
      </c>
      <c r="B293" s="11">
        <f t="shared" si="3"/>
        <v>2024</v>
      </c>
      <c r="C293" s="11">
        <f t="shared" si="4"/>
        <v>5</v>
      </c>
      <c r="D293" s="11" t="s">
        <v>9</v>
      </c>
      <c r="E293" s="13">
        <v>11035</v>
      </c>
      <c r="F293" s="13">
        <v>6923</v>
      </c>
      <c r="G293" s="20">
        <v>13315891938</v>
      </c>
      <c r="H293" s="98">
        <v>29.68</v>
      </c>
      <c r="I293" s="98">
        <v>78.599999999999994</v>
      </c>
    </row>
    <row r="294" spans="1:9">
      <c r="A294" s="12">
        <v>45413</v>
      </c>
      <c r="B294" s="11">
        <f t="shared" si="3"/>
        <v>2024</v>
      </c>
      <c r="C294" s="11">
        <f t="shared" si="4"/>
        <v>5</v>
      </c>
      <c r="D294" s="11" t="s">
        <v>101</v>
      </c>
      <c r="E294" s="13">
        <v>1164</v>
      </c>
      <c r="F294" s="13">
        <v>830</v>
      </c>
      <c r="G294" s="13">
        <v>1441342599</v>
      </c>
      <c r="H294" s="98">
        <v>17.52</v>
      </c>
      <c r="I294" s="98">
        <v>33.590000000000003</v>
      </c>
    </row>
    <row r="295" spans="1:9">
      <c r="A295" s="12">
        <v>45413</v>
      </c>
      <c r="B295" s="11">
        <f t="shared" si="3"/>
        <v>2024</v>
      </c>
      <c r="C295" s="11">
        <f t="shared" si="4"/>
        <v>5</v>
      </c>
      <c r="D295" s="11" t="s">
        <v>11</v>
      </c>
      <c r="E295" s="13">
        <v>7304</v>
      </c>
      <c r="F295" s="13">
        <v>4671</v>
      </c>
      <c r="G295" s="13">
        <v>8180121452</v>
      </c>
      <c r="H295" s="98">
        <v>26.74</v>
      </c>
      <c r="I295" s="98">
        <v>57.66</v>
      </c>
    </row>
    <row r="296" spans="1:9">
      <c r="A296" s="12">
        <v>45413</v>
      </c>
      <c r="B296" s="11">
        <f t="shared" si="3"/>
        <v>2024</v>
      </c>
      <c r="C296" s="11">
        <f t="shared" si="4"/>
        <v>5</v>
      </c>
      <c r="D296" s="11" t="s">
        <v>91</v>
      </c>
      <c r="E296" s="13">
        <v>3577</v>
      </c>
      <c r="F296" s="13">
        <v>2294</v>
      </c>
      <c r="G296" s="13">
        <v>3958102769</v>
      </c>
      <c r="H296" s="98">
        <v>24.1</v>
      </c>
      <c r="I296" s="98">
        <v>64.81</v>
      </c>
    </row>
    <row r="297" spans="1:9">
      <c r="A297" s="12">
        <v>45413</v>
      </c>
      <c r="B297" s="11">
        <f t="shared" si="3"/>
        <v>2024</v>
      </c>
      <c r="C297" s="11">
        <f t="shared" si="4"/>
        <v>5</v>
      </c>
      <c r="D297" s="11" t="s">
        <v>15</v>
      </c>
      <c r="E297" s="13">
        <v>1027</v>
      </c>
      <c r="F297" s="13">
        <v>709</v>
      </c>
      <c r="G297" s="13">
        <v>1329081750</v>
      </c>
      <c r="H297" s="98">
        <v>22.38</v>
      </c>
      <c r="I297" s="98">
        <v>49.27</v>
      </c>
    </row>
    <row r="298" spans="1:9">
      <c r="A298" s="12">
        <v>45413</v>
      </c>
      <c r="B298" s="11">
        <f t="shared" si="3"/>
        <v>2024</v>
      </c>
      <c r="C298" s="11">
        <f t="shared" si="4"/>
        <v>5</v>
      </c>
      <c r="D298" s="11" t="s">
        <v>84</v>
      </c>
      <c r="E298" s="13">
        <v>3175</v>
      </c>
      <c r="F298" s="13">
        <v>2134</v>
      </c>
      <c r="G298" s="13">
        <v>4133137617</v>
      </c>
      <c r="H298" s="98">
        <v>19.39</v>
      </c>
      <c r="I298" s="98">
        <v>35.43</v>
      </c>
    </row>
    <row r="299" spans="1:9">
      <c r="A299" s="12">
        <v>45413</v>
      </c>
      <c r="B299" s="11">
        <f t="shared" si="3"/>
        <v>2024</v>
      </c>
      <c r="C299" s="11">
        <f t="shared" si="4"/>
        <v>5</v>
      </c>
      <c r="D299" s="11" t="s">
        <v>22</v>
      </c>
      <c r="E299" s="13">
        <v>18985</v>
      </c>
      <c r="F299" s="13">
        <v>12532</v>
      </c>
      <c r="G299" s="13">
        <v>23079105867</v>
      </c>
      <c r="H299" s="98">
        <v>23.56</v>
      </c>
      <c r="I299" s="98">
        <v>63.76</v>
      </c>
    </row>
    <row r="300" spans="1:9">
      <c r="A300" s="12">
        <v>45413</v>
      </c>
      <c r="B300" s="11">
        <f t="shared" si="3"/>
        <v>2024</v>
      </c>
      <c r="C300" s="11">
        <f t="shared" si="4"/>
        <v>5</v>
      </c>
      <c r="D300" s="11" t="s">
        <v>32</v>
      </c>
      <c r="E300" s="13">
        <v>1767</v>
      </c>
      <c r="F300" s="13">
        <v>1160</v>
      </c>
      <c r="G300" s="13">
        <v>2013005040</v>
      </c>
      <c r="H300" s="98">
        <v>17.13</v>
      </c>
      <c r="I300" s="98">
        <v>47.67</v>
      </c>
    </row>
    <row r="301" spans="1:9">
      <c r="A301" s="12">
        <v>45413</v>
      </c>
      <c r="B301" s="11">
        <f t="shared" si="3"/>
        <v>2024</v>
      </c>
      <c r="C301" s="11">
        <f t="shared" si="4"/>
        <v>5</v>
      </c>
      <c r="D301" s="11" t="s">
        <v>12</v>
      </c>
      <c r="E301" s="13">
        <v>4466</v>
      </c>
      <c r="F301" s="11">
        <v>2973</v>
      </c>
      <c r="G301" s="13">
        <v>5730080224</v>
      </c>
      <c r="H301" s="98">
        <v>19.28</v>
      </c>
      <c r="I301" s="98">
        <v>39.33</v>
      </c>
    </row>
    <row r="302" spans="1:9">
      <c r="A302" s="12">
        <v>45413</v>
      </c>
      <c r="B302" s="11">
        <f t="shared" si="3"/>
        <v>2024</v>
      </c>
      <c r="C302" s="11">
        <f t="shared" si="4"/>
        <v>5</v>
      </c>
      <c r="D302" s="11" t="s">
        <v>19</v>
      </c>
      <c r="E302" s="11">
        <v>981</v>
      </c>
      <c r="F302" s="11">
        <v>695</v>
      </c>
      <c r="G302" s="13">
        <v>1212507551</v>
      </c>
      <c r="H302" s="98">
        <v>18.04</v>
      </c>
      <c r="I302" s="98">
        <v>39.22</v>
      </c>
    </row>
    <row r="303" spans="1:9">
      <c r="A303" s="12">
        <v>45413</v>
      </c>
      <c r="B303" s="11">
        <f t="shared" si="3"/>
        <v>2024</v>
      </c>
      <c r="C303" s="11">
        <f t="shared" si="4"/>
        <v>5</v>
      </c>
      <c r="D303" s="11" t="s">
        <v>28</v>
      </c>
      <c r="E303" s="11">
        <v>319</v>
      </c>
      <c r="F303" s="11">
        <v>248</v>
      </c>
      <c r="G303" s="13">
        <v>374293916.19999999</v>
      </c>
      <c r="H303" s="98">
        <v>19.059999999999999</v>
      </c>
      <c r="I303" s="98">
        <v>18.649999999999999</v>
      </c>
    </row>
    <row r="304" spans="1:9">
      <c r="A304" s="12">
        <v>45444</v>
      </c>
      <c r="B304" s="11">
        <f t="shared" si="3"/>
        <v>2024</v>
      </c>
      <c r="C304" s="11">
        <f t="shared" si="4"/>
        <v>6</v>
      </c>
      <c r="D304" s="11" t="s">
        <v>24</v>
      </c>
      <c r="E304" s="13">
        <v>325</v>
      </c>
      <c r="F304" s="13">
        <v>236</v>
      </c>
      <c r="G304" s="13">
        <v>437956775.39999998</v>
      </c>
      <c r="H304" s="98">
        <v>23.47</v>
      </c>
      <c r="I304" s="98">
        <v>16.53</v>
      </c>
    </row>
    <row r="305" spans="1:9">
      <c r="A305" s="12">
        <v>45444</v>
      </c>
      <c r="B305" s="11">
        <f t="shared" si="3"/>
        <v>2024</v>
      </c>
      <c r="C305" s="11">
        <f t="shared" si="4"/>
        <v>6</v>
      </c>
      <c r="D305" s="11" t="s">
        <v>7</v>
      </c>
      <c r="E305" s="13">
        <v>1233</v>
      </c>
      <c r="F305" s="13">
        <v>792</v>
      </c>
      <c r="G305" s="13">
        <v>1480738040</v>
      </c>
      <c r="H305" s="98">
        <v>27.46</v>
      </c>
      <c r="I305" s="98">
        <v>60.85</v>
      </c>
    </row>
    <row r="306" spans="1:9">
      <c r="A306" s="12">
        <v>45444</v>
      </c>
      <c r="B306" s="11">
        <f t="shared" si="3"/>
        <v>2024</v>
      </c>
      <c r="C306" s="11">
        <f t="shared" si="4"/>
        <v>6</v>
      </c>
      <c r="D306" s="11" t="s">
        <v>75</v>
      </c>
      <c r="E306" s="13">
        <v>19006</v>
      </c>
      <c r="F306" s="13">
        <v>11791</v>
      </c>
      <c r="G306" s="13">
        <v>22901583678</v>
      </c>
      <c r="H306" s="98">
        <v>28.2</v>
      </c>
      <c r="I306" s="98">
        <v>78.47</v>
      </c>
    </row>
    <row r="307" spans="1:9">
      <c r="A307" s="12">
        <v>45444</v>
      </c>
      <c r="B307" s="11">
        <f t="shared" si="3"/>
        <v>2024</v>
      </c>
      <c r="C307" s="11">
        <f t="shared" si="4"/>
        <v>6</v>
      </c>
      <c r="D307" s="11" t="s">
        <v>79</v>
      </c>
      <c r="E307" s="13">
        <v>9296</v>
      </c>
      <c r="F307" s="13">
        <v>5920</v>
      </c>
      <c r="G307" s="13">
        <v>11043073720</v>
      </c>
      <c r="H307" s="98">
        <v>26.19</v>
      </c>
      <c r="I307" s="98">
        <v>61.63</v>
      </c>
    </row>
    <row r="308" spans="1:9">
      <c r="A308" s="12">
        <v>45444</v>
      </c>
      <c r="B308" s="11">
        <f t="shared" si="3"/>
        <v>2024</v>
      </c>
      <c r="C308" s="11">
        <f t="shared" si="4"/>
        <v>6</v>
      </c>
      <c r="D308" s="11" t="s">
        <v>8</v>
      </c>
      <c r="E308" s="13">
        <v>14594</v>
      </c>
      <c r="F308" s="13">
        <v>9809</v>
      </c>
      <c r="G308" s="13">
        <v>17182142532</v>
      </c>
      <c r="H308" s="98">
        <v>28.02</v>
      </c>
      <c r="I308" s="98">
        <v>55.58</v>
      </c>
    </row>
    <row r="309" spans="1:9">
      <c r="A309" s="12">
        <v>45444</v>
      </c>
      <c r="B309" s="11">
        <f t="shared" si="3"/>
        <v>2024</v>
      </c>
      <c r="C309" s="11">
        <f t="shared" si="4"/>
        <v>6</v>
      </c>
      <c r="D309" s="11" t="s">
        <v>20</v>
      </c>
      <c r="E309" s="13">
        <v>1473</v>
      </c>
      <c r="F309" s="13">
        <v>983</v>
      </c>
      <c r="G309" s="13">
        <v>1747863094</v>
      </c>
      <c r="H309" s="98">
        <v>26.13</v>
      </c>
      <c r="I309" s="98">
        <v>59.14</v>
      </c>
    </row>
    <row r="310" spans="1:9">
      <c r="A310" s="12">
        <v>45444</v>
      </c>
      <c r="B310" s="11">
        <f t="shared" si="3"/>
        <v>2024</v>
      </c>
      <c r="C310" s="11">
        <f t="shared" si="4"/>
        <v>6</v>
      </c>
      <c r="D310" s="11" t="s">
        <v>88</v>
      </c>
      <c r="E310" s="13">
        <v>3017</v>
      </c>
      <c r="F310" s="13">
        <v>2060</v>
      </c>
      <c r="G310" s="13">
        <v>4013336098</v>
      </c>
      <c r="H310" s="98">
        <v>18.16</v>
      </c>
      <c r="I310" s="98">
        <v>32.9</v>
      </c>
    </row>
    <row r="311" spans="1:9">
      <c r="A311" s="12">
        <v>45444</v>
      </c>
      <c r="B311" s="11">
        <f t="shared" si="3"/>
        <v>2024</v>
      </c>
      <c r="C311" s="11">
        <f t="shared" si="4"/>
        <v>6</v>
      </c>
      <c r="D311" s="11" t="s">
        <v>93</v>
      </c>
      <c r="E311" s="13">
        <v>381</v>
      </c>
      <c r="F311" s="13">
        <v>239</v>
      </c>
      <c r="G311" s="13">
        <v>467234754.60000002</v>
      </c>
      <c r="H311" s="98">
        <v>20.84</v>
      </c>
      <c r="I311" s="98">
        <v>14.1</v>
      </c>
    </row>
    <row r="312" spans="1:9">
      <c r="A312" s="12">
        <v>45444</v>
      </c>
      <c r="B312" s="11">
        <f t="shared" si="3"/>
        <v>2024</v>
      </c>
      <c r="C312" s="11">
        <f t="shared" si="4"/>
        <v>6</v>
      </c>
      <c r="D312" s="11" t="s">
        <v>10</v>
      </c>
      <c r="E312" s="13">
        <v>11716</v>
      </c>
      <c r="F312" s="13">
        <v>7980</v>
      </c>
      <c r="G312" s="13">
        <v>14169615406</v>
      </c>
      <c r="H312" s="98">
        <v>28.7</v>
      </c>
      <c r="I312" s="98">
        <v>58.58</v>
      </c>
    </row>
    <row r="313" spans="1:9">
      <c r="A313" s="12">
        <v>45444</v>
      </c>
      <c r="B313" s="11">
        <f t="shared" si="3"/>
        <v>2024</v>
      </c>
      <c r="C313" s="11">
        <f t="shared" si="4"/>
        <v>6</v>
      </c>
      <c r="D313" s="11" t="s">
        <v>9</v>
      </c>
      <c r="E313" s="13">
        <v>15659</v>
      </c>
      <c r="F313" s="13">
        <v>9797</v>
      </c>
      <c r="G313" s="13">
        <v>18897424003</v>
      </c>
      <c r="H313" s="98">
        <v>27.23</v>
      </c>
      <c r="I313" s="98">
        <v>86.86</v>
      </c>
    </row>
    <row r="314" spans="1:9">
      <c r="A314" s="12">
        <v>45444</v>
      </c>
      <c r="B314" s="11">
        <f t="shared" si="3"/>
        <v>2024</v>
      </c>
      <c r="C314" s="11">
        <f t="shared" si="4"/>
        <v>6</v>
      </c>
      <c r="D314" s="11" t="s">
        <v>101</v>
      </c>
      <c r="E314" s="13">
        <v>1388</v>
      </c>
      <c r="F314" s="13">
        <v>942</v>
      </c>
      <c r="G314" s="13">
        <v>1654330617</v>
      </c>
      <c r="H314" s="98">
        <v>19.93</v>
      </c>
      <c r="I314" s="98">
        <v>45.2</v>
      </c>
    </row>
    <row r="315" spans="1:9">
      <c r="A315" s="12">
        <v>45444</v>
      </c>
      <c r="B315" s="11">
        <f t="shared" si="3"/>
        <v>2024</v>
      </c>
      <c r="C315" s="11">
        <f t="shared" si="4"/>
        <v>6</v>
      </c>
      <c r="D315" s="11" t="s">
        <v>11</v>
      </c>
      <c r="E315" s="13">
        <v>2345</v>
      </c>
      <c r="F315" s="13">
        <v>1493</v>
      </c>
      <c r="G315" s="13">
        <v>2789972647</v>
      </c>
      <c r="H315" s="98">
        <v>26.45</v>
      </c>
      <c r="I315" s="98">
        <v>54.73</v>
      </c>
    </row>
    <row r="316" spans="1:9">
      <c r="A316" s="12">
        <v>45444</v>
      </c>
      <c r="B316" s="11">
        <f t="shared" si="3"/>
        <v>2024</v>
      </c>
      <c r="C316" s="11">
        <f t="shared" si="4"/>
        <v>6</v>
      </c>
      <c r="D316" s="11" t="s">
        <v>91</v>
      </c>
      <c r="E316" s="13">
        <v>4340</v>
      </c>
      <c r="F316" s="13">
        <v>2950</v>
      </c>
      <c r="G316" s="13">
        <v>5317579910</v>
      </c>
      <c r="H316" s="98">
        <v>21.32</v>
      </c>
      <c r="I316" s="98">
        <v>48.71</v>
      </c>
    </row>
    <row r="317" spans="1:9">
      <c r="A317" s="12">
        <v>45444</v>
      </c>
      <c r="B317" s="11">
        <f t="shared" si="3"/>
        <v>2024</v>
      </c>
      <c r="C317" s="11">
        <f t="shared" si="4"/>
        <v>6</v>
      </c>
      <c r="D317" s="11" t="s">
        <v>15</v>
      </c>
      <c r="E317" s="13">
        <v>2596</v>
      </c>
      <c r="F317" s="13">
        <v>1742</v>
      </c>
      <c r="G317" s="13">
        <v>3227901756</v>
      </c>
      <c r="H317" s="98">
        <v>21.51</v>
      </c>
      <c r="I317" s="98">
        <v>37.33</v>
      </c>
    </row>
    <row r="318" spans="1:9">
      <c r="A318" s="12">
        <v>45444</v>
      </c>
      <c r="B318" s="11">
        <f t="shared" si="3"/>
        <v>2024</v>
      </c>
      <c r="C318" s="11">
        <f t="shared" si="4"/>
        <v>6</v>
      </c>
      <c r="D318" s="11" t="s">
        <v>84</v>
      </c>
      <c r="E318" s="13">
        <v>4208</v>
      </c>
      <c r="F318" s="13">
        <v>2843</v>
      </c>
      <c r="G318" s="13">
        <v>5617006624</v>
      </c>
      <c r="H318" s="98">
        <v>19.75</v>
      </c>
      <c r="I318" s="98">
        <v>36.619999999999997</v>
      </c>
    </row>
    <row r="319" spans="1:9">
      <c r="A319" s="12">
        <v>45444</v>
      </c>
      <c r="B319" s="11">
        <f t="shared" si="3"/>
        <v>2024</v>
      </c>
      <c r="C319" s="11">
        <f t="shared" si="4"/>
        <v>6</v>
      </c>
      <c r="D319" s="11" t="s">
        <v>22</v>
      </c>
      <c r="E319" s="13">
        <v>16571</v>
      </c>
      <c r="F319" s="13">
        <v>10891</v>
      </c>
      <c r="G319" s="13">
        <v>20067424904</v>
      </c>
      <c r="H319" s="98">
        <v>26.44</v>
      </c>
      <c r="I319" s="98">
        <v>67.739999999999995</v>
      </c>
    </row>
    <row r="320" spans="1:9">
      <c r="A320" s="12">
        <v>45444</v>
      </c>
      <c r="B320" s="11">
        <f t="shared" si="3"/>
        <v>2024</v>
      </c>
      <c r="C320" s="11">
        <f t="shared" si="4"/>
        <v>6</v>
      </c>
      <c r="D320" s="11" t="s">
        <v>32</v>
      </c>
      <c r="E320" s="13">
        <v>1619</v>
      </c>
      <c r="F320" s="13">
        <v>1092</v>
      </c>
      <c r="G320" s="13">
        <v>2012710744</v>
      </c>
      <c r="H320" s="98">
        <v>16.11</v>
      </c>
      <c r="I320" s="98">
        <v>32.450000000000003</v>
      </c>
    </row>
    <row r="321" spans="1:9">
      <c r="A321" s="12">
        <v>45444</v>
      </c>
      <c r="B321" s="11">
        <f t="shared" si="3"/>
        <v>2024</v>
      </c>
      <c r="C321" s="11">
        <f t="shared" si="4"/>
        <v>6</v>
      </c>
      <c r="D321" s="11" t="s">
        <v>12</v>
      </c>
      <c r="E321" s="13">
        <v>6371</v>
      </c>
      <c r="F321" s="13">
        <v>4083</v>
      </c>
      <c r="G321" s="13">
        <v>8024013168</v>
      </c>
      <c r="H321" s="98">
        <v>18.350000000000001</v>
      </c>
      <c r="I321" s="98">
        <v>40.69</v>
      </c>
    </row>
    <row r="322" spans="1:9">
      <c r="A322" s="12">
        <v>45444</v>
      </c>
      <c r="B322" s="11">
        <f t="shared" si="3"/>
        <v>2024</v>
      </c>
      <c r="C322" s="11">
        <f t="shared" si="4"/>
        <v>6</v>
      </c>
      <c r="D322" s="11" t="s">
        <v>19</v>
      </c>
      <c r="E322" s="13">
        <v>2453</v>
      </c>
      <c r="F322" s="11">
        <v>1693</v>
      </c>
      <c r="G322" s="13">
        <v>2923328625</v>
      </c>
      <c r="H322" s="98">
        <v>18.8</v>
      </c>
      <c r="I322" s="98">
        <v>42.36</v>
      </c>
    </row>
    <row r="323" spans="1:9">
      <c r="A323" s="12">
        <v>45444</v>
      </c>
      <c r="B323" s="11">
        <f t="shared" si="3"/>
        <v>2024</v>
      </c>
      <c r="C323" s="11">
        <f t="shared" si="4"/>
        <v>6</v>
      </c>
      <c r="D323" s="11" t="s">
        <v>28</v>
      </c>
      <c r="E323" s="11">
        <v>109</v>
      </c>
      <c r="F323" s="11">
        <v>92</v>
      </c>
      <c r="G323" s="13">
        <v>141506354.30000001</v>
      </c>
      <c r="H323" s="98">
        <v>23.67</v>
      </c>
      <c r="I323" s="98">
        <v>22.43</v>
      </c>
    </row>
    <row r="324" spans="1:9">
      <c r="A324" s="12">
        <v>45444</v>
      </c>
      <c r="B324" s="11">
        <f t="shared" si="3"/>
        <v>2024</v>
      </c>
      <c r="C324" s="11">
        <f t="shared" si="4"/>
        <v>6</v>
      </c>
      <c r="D324" s="11" t="s">
        <v>103</v>
      </c>
      <c r="E324" s="11">
        <v>1638</v>
      </c>
      <c r="F324" s="11">
        <v>851</v>
      </c>
      <c r="G324" s="13">
        <v>1657678972</v>
      </c>
      <c r="H324" s="98">
        <v>20.98</v>
      </c>
      <c r="I324" s="98">
        <v>39.1</v>
      </c>
    </row>
    <row r="325" spans="1:9">
      <c r="A325" s="12">
        <v>45474</v>
      </c>
      <c r="B325" s="11">
        <f t="shared" si="3"/>
        <v>2024</v>
      </c>
      <c r="C325" s="11">
        <f t="shared" si="4"/>
        <v>7</v>
      </c>
      <c r="D325" s="11" t="s">
        <v>24</v>
      </c>
      <c r="E325" s="186">
        <v>367</v>
      </c>
      <c r="F325" s="186">
        <v>284</v>
      </c>
      <c r="G325" s="13">
        <v>504297859</v>
      </c>
      <c r="H325" s="98">
        <v>20.23</v>
      </c>
      <c r="I325" s="98">
        <v>10.9</v>
      </c>
    </row>
    <row r="326" spans="1:9">
      <c r="A326" s="12">
        <v>45475</v>
      </c>
      <c r="B326" s="11">
        <f t="shared" si="3"/>
        <v>2024</v>
      </c>
      <c r="C326" s="11">
        <f t="shared" si="4"/>
        <v>7</v>
      </c>
      <c r="D326" s="11" t="s">
        <v>28</v>
      </c>
      <c r="E326" s="186">
        <v>357</v>
      </c>
      <c r="F326" s="186">
        <v>212</v>
      </c>
      <c r="G326" s="13">
        <v>398464005</v>
      </c>
      <c r="H326" s="98">
        <v>16.27</v>
      </c>
      <c r="I326" s="98">
        <v>17.100000000000001</v>
      </c>
    </row>
    <row r="327" spans="1:9">
      <c r="A327" s="12">
        <v>45476</v>
      </c>
      <c r="B327" s="11">
        <f t="shared" si="3"/>
        <v>2024</v>
      </c>
      <c r="C327" s="11">
        <f t="shared" si="4"/>
        <v>7</v>
      </c>
      <c r="D327" s="11" t="s">
        <v>7</v>
      </c>
      <c r="E327" s="186">
        <v>1936</v>
      </c>
      <c r="F327" s="186">
        <v>1192</v>
      </c>
      <c r="G327" s="13">
        <v>2429320974</v>
      </c>
      <c r="H327" s="98">
        <v>25.43</v>
      </c>
      <c r="I327" s="98">
        <v>42.73</v>
      </c>
    </row>
    <row r="328" spans="1:9">
      <c r="A328" s="12">
        <v>45477</v>
      </c>
      <c r="B328" s="11">
        <f t="shared" si="3"/>
        <v>2024</v>
      </c>
      <c r="C328" s="11">
        <f t="shared" si="4"/>
        <v>7</v>
      </c>
      <c r="D328" s="11" t="s">
        <v>75</v>
      </c>
      <c r="E328" s="186">
        <v>22120</v>
      </c>
      <c r="F328" s="186">
        <v>13512</v>
      </c>
      <c r="G328" s="13">
        <v>26014082132</v>
      </c>
      <c r="H328" s="98">
        <v>26.91</v>
      </c>
      <c r="I328" s="98">
        <v>70.290000000000006</v>
      </c>
    </row>
    <row r="329" spans="1:9">
      <c r="A329" s="12">
        <v>45478</v>
      </c>
      <c r="B329" s="11">
        <f t="shared" si="3"/>
        <v>2024</v>
      </c>
      <c r="C329" s="11">
        <f t="shared" si="4"/>
        <v>7</v>
      </c>
      <c r="D329" s="11" t="s">
        <v>79</v>
      </c>
      <c r="E329" s="186">
        <v>13705</v>
      </c>
      <c r="F329" s="186">
        <v>8588</v>
      </c>
      <c r="G329" s="13">
        <v>16417124288</v>
      </c>
      <c r="H329" s="98">
        <v>28.04</v>
      </c>
      <c r="I329" s="98">
        <v>71.430000000000007</v>
      </c>
    </row>
    <row r="330" spans="1:9">
      <c r="A330" s="12">
        <v>45479</v>
      </c>
      <c r="B330" s="11">
        <f t="shared" si="3"/>
        <v>2024</v>
      </c>
      <c r="C330" s="11">
        <f t="shared" si="4"/>
        <v>7</v>
      </c>
      <c r="D330" s="11" t="s">
        <v>8</v>
      </c>
      <c r="E330" s="186">
        <v>14405</v>
      </c>
      <c r="F330" s="186">
        <v>9143</v>
      </c>
      <c r="G330" s="13">
        <v>16635058640</v>
      </c>
      <c r="H330" s="98">
        <v>21.42</v>
      </c>
      <c r="I330" s="98">
        <v>42.88</v>
      </c>
    </row>
    <row r="331" spans="1:9">
      <c r="A331" s="12">
        <v>45480</v>
      </c>
      <c r="B331" s="11">
        <f t="shared" si="3"/>
        <v>2024</v>
      </c>
      <c r="C331" s="11">
        <f t="shared" si="4"/>
        <v>7</v>
      </c>
      <c r="D331" s="11" t="s">
        <v>20</v>
      </c>
      <c r="E331" s="186">
        <v>2712</v>
      </c>
      <c r="F331" s="186">
        <v>2011</v>
      </c>
      <c r="G331" s="13">
        <v>3369054653</v>
      </c>
      <c r="H331" s="98">
        <v>24.77</v>
      </c>
      <c r="I331" s="98">
        <v>47.46</v>
      </c>
    </row>
    <row r="332" spans="1:9">
      <c r="A332" s="12">
        <v>45481</v>
      </c>
      <c r="B332" s="11">
        <f t="shared" si="3"/>
        <v>2024</v>
      </c>
      <c r="C332" s="11">
        <f t="shared" si="4"/>
        <v>7</v>
      </c>
      <c r="D332" s="11" t="s">
        <v>88</v>
      </c>
      <c r="E332" s="186">
        <v>2343</v>
      </c>
      <c r="F332" s="186">
        <v>1643</v>
      </c>
      <c r="G332" s="13">
        <v>2995026903</v>
      </c>
      <c r="H332" s="98">
        <v>17</v>
      </c>
      <c r="I332" s="98">
        <v>34.020000000000003</v>
      </c>
    </row>
    <row r="333" spans="1:9">
      <c r="A333" s="12">
        <v>45482</v>
      </c>
      <c r="B333" s="11">
        <f t="shared" si="3"/>
        <v>2024</v>
      </c>
      <c r="C333" s="11">
        <f t="shared" si="4"/>
        <v>7</v>
      </c>
      <c r="D333" s="11" t="s">
        <v>93</v>
      </c>
      <c r="E333" s="186">
        <v>243</v>
      </c>
      <c r="F333" s="186">
        <v>145</v>
      </c>
      <c r="G333" s="13">
        <v>256269776</v>
      </c>
      <c r="H333" s="98">
        <v>14.49</v>
      </c>
      <c r="I333" s="98">
        <v>15.23</v>
      </c>
    </row>
    <row r="334" spans="1:9">
      <c r="A334" s="12">
        <v>45483</v>
      </c>
      <c r="B334" s="11">
        <f t="shared" si="3"/>
        <v>2024</v>
      </c>
      <c r="C334" s="11">
        <f t="shared" si="4"/>
        <v>7</v>
      </c>
      <c r="D334" s="11" t="s">
        <v>10</v>
      </c>
      <c r="E334" s="186">
        <v>15614</v>
      </c>
      <c r="F334" s="186">
        <v>10565</v>
      </c>
      <c r="G334" s="13">
        <v>18852435321</v>
      </c>
      <c r="H334" s="98">
        <v>23.29</v>
      </c>
      <c r="I334" s="98">
        <v>52.83</v>
      </c>
    </row>
    <row r="335" spans="1:9">
      <c r="A335" s="12">
        <v>45484</v>
      </c>
      <c r="B335" s="11">
        <f t="shared" si="3"/>
        <v>2024</v>
      </c>
      <c r="C335" s="11">
        <f t="shared" si="4"/>
        <v>7</v>
      </c>
      <c r="D335" s="11" t="s">
        <v>9</v>
      </c>
      <c r="E335" s="186">
        <v>20659</v>
      </c>
      <c r="F335" s="186">
        <v>12746</v>
      </c>
      <c r="G335" s="13">
        <v>24266673085</v>
      </c>
      <c r="H335" s="98">
        <v>28.52</v>
      </c>
      <c r="I335" s="98">
        <v>80.86</v>
      </c>
    </row>
    <row r="336" spans="1:9">
      <c r="A336" s="12">
        <v>45485</v>
      </c>
      <c r="B336" s="11">
        <f t="shared" si="3"/>
        <v>2024</v>
      </c>
      <c r="C336" s="11">
        <f t="shared" si="4"/>
        <v>7</v>
      </c>
      <c r="D336" s="11" t="s">
        <v>101</v>
      </c>
      <c r="E336" s="186">
        <v>1695</v>
      </c>
      <c r="F336" s="186">
        <v>1220</v>
      </c>
      <c r="G336" s="13">
        <v>2083398676</v>
      </c>
      <c r="H336" s="98">
        <v>26.7</v>
      </c>
      <c r="I336" s="98">
        <v>54.61</v>
      </c>
    </row>
    <row r="337" spans="1:9">
      <c r="A337" s="12">
        <v>45486</v>
      </c>
      <c r="B337" s="11">
        <f t="shared" si="3"/>
        <v>2024</v>
      </c>
      <c r="C337" s="11">
        <f t="shared" si="4"/>
        <v>7</v>
      </c>
      <c r="D337" s="11" t="s">
        <v>11</v>
      </c>
      <c r="E337" s="186">
        <v>2463</v>
      </c>
      <c r="F337" s="186">
        <v>1550</v>
      </c>
      <c r="G337" s="13">
        <v>2996244853</v>
      </c>
      <c r="H337" s="98">
        <v>18.12</v>
      </c>
      <c r="I337" s="98">
        <v>35.08</v>
      </c>
    </row>
    <row r="338" spans="1:9">
      <c r="A338" s="12">
        <v>45487</v>
      </c>
      <c r="B338" s="11">
        <f t="shared" si="3"/>
        <v>2024</v>
      </c>
      <c r="C338" s="11">
        <f t="shared" si="4"/>
        <v>7</v>
      </c>
      <c r="D338" s="11" t="s">
        <v>91</v>
      </c>
      <c r="E338" s="186">
        <v>3124</v>
      </c>
      <c r="F338" s="186">
        <v>2023</v>
      </c>
      <c r="G338" s="13">
        <v>3725697787</v>
      </c>
      <c r="H338" s="98">
        <v>24.87</v>
      </c>
      <c r="I338" s="98">
        <v>62.01</v>
      </c>
    </row>
    <row r="339" spans="1:9">
      <c r="A339" s="12">
        <v>45488</v>
      </c>
      <c r="B339" s="11">
        <f t="shared" si="3"/>
        <v>2024</v>
      </c>
      <c r="C339" s="11">
        <f t="shared" si="4"/>
        <v>7</v>
      </c>
      <c r="D339" s="11" t="s">
        <v>84</v>
      </c>
      <c r="E339" s="186">
        <v>4018</v>
      </c>
      <c r="F339" s="186">
        <v>2655</v>
      </c>
      <c r="G339" s="13">
        <v>5163091785</v>
      </c>
      <c r="H339" s="98">
        <v>23.49</v>
      </c>
      <c r="I339" s="98">
        <v>43.16</v>
      </c>
    </row>
    <row r="340" spans="1:9">
      <c r="A340" s="12">
        <v>45489</v>
      </c>
      <c r="B340" s="11">
        <f t="shared" si="3"/>
        <v>2024</v>
      </c>
      <c r="C340" s="11">
        <f t="shared" si="4"/>
        <v>7</v>
      </c>
      <c r="D340" s="11" t="s">
        <v>22</v>
      </c>
      <c r="E340" s="186">
        <v>19709</v>
      </c>
      <c r="F340" s="186">
        <v>13237</v>
      </c>
      <c r="G340" s="13">
        <v>21058925689</v>
      </c>
      <c r="H340" s="98">
        <v>25.09</v>
      </c>
      <c r="I340" s="98">
        <v>60.9</v>
      </c>
    </row>
    <row r="341" spans="1:9">
      <c r="A341" s="12">
        <v>45490</v>
      </c>
      <c r="B341" s="11">
        <f t="shared" si="3"/>
        <v>2024</v>
      </c>
      <c r="C341" s="11">
        <f t="shared" si="4"/>
        <v>7</v>
      </c>
      <c r="D341" s="11" t="s">
        <v>32</v>
      </c>
      <c r="E341" s="186">
        <v>1976</v>
      </c>
      <c r="F341" s="186">
        <v>1319</v>
      </c>
      <c r="G341" s="13">
        <v>2326672803</v>
      </c>
      <c r="H341" s="98">
        <v>20.65</v>
      </c>
      <c r="I341" s="98">
        <v>52.19</v>
      </c>
    </row>
    <row r="342" spans="1:9">
      <c r="A342" s="12">
        <v>45491</v>
      </c>
      <c r="B342" s="11">
        <f t="shared" si="3"/>
        <v>2024</v>
      </c>
      <c r="C342" s="11">
        <f t="shared" si="4"/>
        <v>7</v>
      </c>
      <c r="D342" s="11" t="s">
        <v>12</v>
      </c>
      <c r="E342" s="186">
        <v>4578</v>
      </c>
      <c r="F342" s="186">
        <v>2953</v>
      </c>
      <c r="G342" s="13">
        <v>5758162409</v>
      </c>
      <c r="H342" s="98">
        <v>20.78</v>
      </c>
      <c r="I342" s="98">
        <v>49.48</v>
      </c>
    </row>
    <row r="343" spans="1:9">
      <c r="A343" s="12">
        <v>45505</v>
      </c>
      <c r="B343" s="11">
        <f t="shared" si="3"/>
        <v>2024</v>
      </c>
      <c r="C343" s="11">
        <f t="shared" si="4"/>
        <v>8</v>
      </c>
      <c r="D343" s="11" t="s">
        <v>24</v>
      </c>
      <c r="E343" s="11">
        <v>259</v>
      </c>
      <c r="F343" s="11">
        <v>191</v>
      </c>
      <c r="G343" s="13">
        <v>336643614</v>
      </c>
      <c r="H343" s="98">
        <v>20.16</v>
      </c>
      <c r="I343" s="98">
        <v>9.2200000000000006</v>
      </c>
    </row>
    <row r="344" spans="1:9">
      <c r="A344" s="12">
        <v>45505</v>
      </c>
      <c r="B344" s="11">
        <f t="shared" si="3"/>
        <v>2024</v>
      </c>
      <c r="C344" s="11">
        <f t="shared" si="4"/>
        <v>8</v>
      </c>
      <c r="D344" s="11" t="s">
        <v>28</v>
      </c>
      <c r="E344" s="11">
        <v>208</v>
      </c>
      <c r="F344" s="11">
        <v>124</v>
      </c>
      <c r="G344" s="13">
        <v>214103594</v>
      </c>
      <c r="H344" s="98">
        <v>24.95</v>
      </c>
      <c r="I344" s="98">
        <v>20.22</v>
      </c>
    </row>
    <row r="345" spans="1:9">
      <c r="A345" s="12">
        <v>45505</v>
      </c>
      <c r="B345" s="11">
        <f t="shared" si="3"/>
        <v>2024</v>
      </c>
      <c r="C345" s="11">
        <f t="shared" si="4"/>
        <v>8</v>
      </c>
      <c r="D345" s="11" t="s">
        <v>7</v>
      </c>
      <c r="E345" s="11">
        <v>912</v>
      </c>
      <c r="F345" s="11">
        <v>612</v>
      </c>
      <c r="G345" s="13">
        <v>1114611547</v>
      </c>
      <c r="H345" s="98">
        <v>23.18</v>
      </c>
      <c r="I345" s="98">
        <v>33.25</v>
      </c>
    </row>
    <row r="346" spans="1:9">
      <c r="A346" s="12">
        <v>45505</v>
      </c>
      <c r="B346" s="11">
        <f t="shared" si="3"/>
        <v>2024</v>
      </c>
      <c r="C346" s="11">
        <f t="shared" si="4"/>
        <v>8</v>
      </c>
      <c r="D346" s="11" t="s">
        <v>75</v>
      </c>
      <c r="E346" s="11">
        <v>30992</v>
      </c>
      <c r="F346" s="11">
        <v>18234</v>
      </c>
      <c r="G346" s="13">
        <v>34465747933</v>
      </c>
      <c r="H346" s="98">
        <v>27.2</v>
      </c>
      <c r="I346" s="98">
        <v>65.33</v>
      </c>
    </row>
    <row r="347" spans="1:9">
      <c r="A347" s="12">
        <v>45505</v>
      </c>
      <c r="B347" s="11">
        <f t="shared" si="3"/>
        <v>2024</v>
      </c>
      <c r="C347" s="11">
        <f t="shared" si="4"/>
        <v>8</v>
      </c>
      <c r="D347" s="11" t="s">
        <v>79</v>
      </c>
      <c r="E347" s="11">
        <v>8427</v>
      </c>
      <c r="F347" s="11">
        <v>5638</v>
      </c>
      <c r="G347" s="13">
        <v>10054017681</v>
      </c>
      <c r="H347" s="98">
        <v>28.05</v>
      </c>
      <c r="I347" s="98">
        <v>73.92</v>
      </c>
    </row>
    <row r="348" spans="1:9">
      <c r="A348" s="12">
        <v>45505</v>
      </c>
      <c r="B348" s="11">
        <f t="shared" si="3"/>
        <v>2024</v>
      </c>
      <c r="C348" s="11">
        <f t="shared" si="4"/>
        <v>8</v>
      </c>
      <c r="D348" s="11" t="s">
        <v>8</v>
      </c>
      <c r="E348" s="11">
        <v>15490</v>
      </c>
      <c r="F348" s="11">
        <v>10069</v>
      </c>
      <c r="G348" s="13">
        <v>18180654126</v>
      </c>
      <c r="H348" s="98">
        <v>23.4</v>
      </c>
      <c r="I348" s="98">
        <v>46.45</v>
      </c>
    </row>
    <row r="349" spans="1:9">
      <c r="A349" s="12">
        <v>45505</v>
      </c>
      <c r="B349" s="11">
        <f t="shared" si="3"/>
        <v>2024</v>
      </c>
      <c r="C349" s="11">
        <f t="shared" si="4"/>
        <v>8</v>
      </c>
      <c r="D349" s="11" t="s">
        <v>20</v>
      </c>
      <c r="E349" s="11">
        <v>1180</v>
      </c>
      <c r="F349" s="11">
        <v>881</v>
      </c>
      <c r="G349" s="13">
        <v>1458243558</v>
      </c>
      <c r="H349" s="98">
        <v>21.2</v>
      </c>
      <c r="I349" s="98">
        <v>39.1</v>
      </c>
    </row>
    <row r="350" spans="1:9">
      <c r="A350" s="12">
        <v>45505</v>
      </c>
      <c r="B350" s="11">
        <f t="shared" si="3"/>
        <v>2024</v>
      </c>
      <c r="C350" s="11">
        <f t="shared" si="4"/>
        <v>8</v>
      </c>
      <c r="D350" s="11" t="s">
        <v>88</v>
      </c>
      <c r="E350" s="11">
        <v>2342</v>
      </c>
      <c r="F350" s="11">
        <v>1668</v>
      </c>
      <c r="G350" s="13">
        <v>2903418544</v>
      </c>
      <c r="H350" s="98">
        <v>23.12</v>
      </c>
      <c r="I350" s="98">
        <v>39.450000000000003</v>
      </c>
    </row>
    <row r="351" spans="1:9">
      <c r="A351" s="12">
        <v>45505</v>
      </c>
      <c r="B351" s="11">
        <f t="shared" si="3"/>
        <v>2024</v>
      </c>
      <c r="C351" s="11">
        <f t="shared" si="4"/>
        <v>8</v>
      </c>
      <c r="D351" s="11" t="s">
        <v>93</v>
      </c>
      <c r="E351" s="11">
        <v>481</v>
      </c>
      <c r="F351" s="11">
        <v>334</v>
      </c>
      <c r="G351" s="13">
        <v>510601671</v>
      </c>
      <c r="H351" s="98">
        <v>22.83</v>
      </c>
      <c r="I351" s="98">
        <v>23.28</v>
      </c>
    </row>
    <row r="352" spans="1:9">
      <c r="A352" s="12">
        <v>45505</v>
      </c>
      <c r="B352" s="11">
        <f t="shared" si="3"/>
        <v>2024</v>
      </c>
      <c r="C352" s="11">
        <f t="shared" si="4"/>
        <v>8</v>
      </c>
      <c r="D352" s="11" t="s">
        <v>10</v>
      </c>
      <c r="E352" s="11">
        <v>11596</v>
      </c>
      <c r="F352" s="11">
        <v>7898</v>
      </c>
      <c r="G352" s="13">
        <v>13419394404</v>
      </c>
      <c r="H352" s="98">
        <v>24.18</v>
      </c>
      <c r="I352" s="98">
        <v>50.11</v>
      </c>
    </row>
    <row r="353" spans="1:9">
      <c r="A353" s="12">
        <v>45505</v>
      </c>
      <c r="B353" s="11">
        <f t="shared" si="3"/>
        <v>2024</v>
      </c>
      <c r="C353" s="11">
        <f t="shared" si="4"/>
        <v>8</v>
      </c>
      <c r="D353" s="11" t="s">
        <v>9</v>
      </c>
      <c r="E353" s="11">
        <v>19134</v>
      </c>
      <c r="F353" s="11">
        <v>12575</v>
      </c>
      <c r="G353" s="13">
        <v>22341035403</v>
      </c>
      <c r="H353" s="98">
        <v>31.09</v>
      </c>
      <c r="I353" s="98">
        <v>78.42</v>
      </c>
    </row>
    <row r="354" spans="1:9">
      <c r="A354" s="12">
        <v>45505</v>
      </c>
      <c r="B354" s="11">
        <f t="shared" si="3"/>
        <v>2024</v>
      </c>
      <c r="C354" s="11">
        <f t="shared" si="4"/>
        <v>8</v>
      </c>
      <c r="D354" s="11" t="s">
        <v>101</v>
      </c>
      <c r="E354" s="11">
        <v>1265</v>
      </c>
      <c r="F354" s="11">
        <v>842</v>
      </c>
      <c r="G354" s="13">
        <v>1456374640</v>
      </c>
      <c r="H354" s="98">
        <v>21.78</v>
      </c>
      <c r="I354" s="98">
        <v>42.72</v>
      </c>
    </row>
    <row r="355" spans="1:9">
      <c r="A355" s="12">
        <v>45505</v>
      </c>
      <c r="B355" s="11">
        <f t="shared" si="3"/>
        <v>2024</v>
      </c>
      <c r="C355" s="11">
        <f t="shared" si="4"/>
        <v>8</v>
      </c>
      <c r="D355" s="11" t="s">
        <v>11</v>
      </c>
      <c r="E355" s="11">
        <v>4974</v>
      </c>
      <c r="F355" s="11">
        <v>3069</v>
      </c>
      <c r="G355" s="13">
        <v>5855193756</v>
      </c>
      <c r="H355" s="98">
        <v>20.95</v>
      </c>
      <c r="I355" s="98">
        <v>48.93</v>
      </c>
    </row>
    <row r="356" spans="1:9">
      <c r="A356" s="12">
        <v>45505</v>
      </c>
      <c r="B356" s="11">
        <f t="shared" si="3"/>
        <v>2024</v>
      </c>
      <c r="C356" s="11">
        <f t="shared" si="4"/>
        <v>8</v>
      </c>
      <c r="D356" s="11" t="s">
        <v>91</v>
      </c>
      <c r="E356" s="11">
        <v>3888</v>
      </c>
      <c r="F356" s="11">
        <v>2500</v>
      </c>
      <c r="G356" s="13">
        <v>4543708805</v>
      </c>
      <c r="H356" s="98">
        <v>25.57</v>
      </c>
      <c r="I356" s="98">
        <v>73.44</v>
      </c>
    </row>
    <row r="357" spans="1:9">
      <c r="A357" s="12">
        <v>45505</v>
      </c>
      <c r="B357" s="11">
        <f t="shared" si="3"/>
        <v>2024</v>
      </c>
      <c r="C357" s="11">
        <f t="shared" si="4"/>
        <v>8</v>
      </c>
      <c r="D357" s="11" t="s">
        <v>15</v>
      </c>
      <c r="E357" s="11">
        <v>894</v>
      </c>
      <c r="F357" s="11">
        <v>646</v>
      </c>
      <c r="G357" s="13">
        <v>1072188885</v>
      </c>
      <c r="H357" s="98">
        <v>19.32</v>
      </c>
      <c r="I357" s="98">
        <v>39.68</v>
      </c>
    </row>
    <row r="358" spans="1:9">
      <c r="A358" s="12">
        <v>45505</v>
      </c>
      <c r="B358" s="11">
        <f t="shared" si="3"/>
        <v>2024</v>
      </c>
      <c r="C358" s="11">
        <f t="shared" si="4"/>
        <v>8</v>
      </c>
      <c r="D358" s="11" t="s">
        <v>84</v>
      </c>
      <c r="E358" s="11">
        <v>5452</v>
      </c>
      <c r="F358" s="11">
        <v>3592</v>
      </c>
      <c r="G358" s="13">
        <v>6667188437</v>
      </c>
      <c r="H358" s="98">
        <v>17</v>
      </c>
      <c r="I358" s="98">
        <v>34.68</v>
      </c>
    </row>
    <row r="359" spans="1:9">
      <c r="A359" s="12">
        <v>45505</v>
      </c>
      <c r="B359" s="11">
        <f t="shared" si="3"/>
        <v>2024</v>
      </c>
      <c r="C359" s="11">
        <f t="shared" si="4"/>
        <v>8</v>
      </c>
      <c r="D359" s="11" t="s">
        <v>22</v>
      </c>
      <c r="E359" s="11">
        <v>19973</v>
      </c>
      <c r="F359" s="11">
        <v>13389</v>
      </c>
      <c r="G359" s="13">
        <v>24009868330</v>
      </c>
      <c r="H359" s="98">
        <v>23.62</v>
      </c>
      <c r="I359" s="98">
        <v>58.06</v>
      </c>
    </row>
    <row r="360" spans="1:9">
      <c r="A360" s="12">
        <v>45505</v>
      </c>
      <c r="B360" s="11">
        <f t="shared" si="3"/>
        <v>2024</v>
      </c>
      <c r="C360" s="11">
        <f t="shared" si="4"/>
        <v>8</v>
      </c>
      <c r="D360" s="11" t="s">
        <v>32</v>
      </c>
      <c r="E360" s="11">
        <v>1426</v>
      </c>
      <c r="F360" s="11">
        <v>924</v>
      </c>
      <c r="G360" s="13">
        <v>1589458012</v>
      </c>
      <c r="H360" s="98">
        <v>17.77</v>
      </c>
      <c r="I360" s="98">
        <v>42.91</v>
      </c>
    </row>
    <row r="361" spans="1:9">
      <c r="A361" s="12">
        <v>45505</v>
      </c>
      <c r="B361" s="11">
        <f t="shared" si="3"/>
        <v>2024</v>
      </c>
      <c r="C361" s="11">
        <f t="shared" si="4"/>
        <v>8</v>
      </c>
      <c r="D361" s="11" t="s">
        <v>12</v>
      </c>
      <c r="E361" s="11">
        <v>6173</v>
      </c>
      <c r="F361" s="11">
        <v>4193</v>
      </c>
      <c r="G361" s="13">
        <v>7755517774</v>
      </c>
      <c r="H361" s="98">
        <v>21.56</v>
      </c>
      <c r="I361" s="98">
        <v>43.18</v>
      </c>
    </row>
    <row r="362" spans="1:9">
      <c r="A362" s="12">
        <v>45505</v>
      </c>
      <c r="B362" s="11">
        <f t="shared" si="3"/>
        <v>2024</v>
      </c>
      <c r="C362" s="11">
        <f t="shared" si="4"/>
        <v>8</v>
      </c>
      <c r="D362" s="11" t="s">
        <v>19</v>
      </c>
      <c r="E362" s="11">
        <v>958</v>
      </c>
      <c r="F362" s="11">
        <v>658</v>
      </c>
      <c r="G362" s="13">
        <v>1140330892</v>
      </c>
      <c r="H362" s="98">
        <v>19.260000000000002</v>
      </c>
      <c r="I362" s="98">
        <v>40.869999999999997</v>
      </c>
    </row>
    <row r="363" spans="1:9">
      <c r="A363" s="12">
        <v>45536</v>
      </c>
      <c r="B363" s="11">
        <f t="shared" si="3"/>
        <v>2024</v>
      </c>
      <c r="C363" s="11">
        <v>9</v>
      </c>
      <c r="D363" s="11" t="s">
        <v>24</v>
      </c>
      <c r="E363" s="11">
        <v>625</v>
      </c>
      <c r="F363" s="11">
        <v>462</v>
      </c>
      <c r="G363" s="13">
        <v>665972828</v>
      </c>
      <c r="H363" s="98">
        <v>20.54</v>
      </c>
      <c r="I363" s="98">
        <v>12.59</v>
      </c>
    </row>
    <row r="364" spans="1:9">
      <c r="A364" s="12">
        <v>45536</v>
      </c>
      <c r="B364" s="11">
        <f t="shared" si="3"/>
        <v>2024</v>
      </c>
      <c r="C364" s="11">
        <v>9</v>
      </c>
      <c r="D364" s="11" t="s">
        <v>7</v>
      </c>
      <c r="E364" s="11">
        <v>2403</v>
      </c>
      <c r="F364" s="11">
        <v>1519</v>
      </c>
      <c r="G364" s="13">
        <v>2861638942</v>
      </c>
      <c r="H364" s="98">
        <v>20.67</v>
      </c>
      <c r="I364" s="98">
        <v>36.97</v>
      </c>
    </row>
    <row r="365" spans="1:9">
      <c r="A365" s="12">
        <v>45536</v>
      </c>
      <c r="B365" s="11">
        <f t="shared" si="3"/>
        <v>2024</v>
      </c>
      <c r="C365" s="11">
        <v>9</v>
      </c>
      <c r="D365" s="11" t="s">
        <v>75</v>
      </c>
      <c r="E365" s="11">
        <v>18852</v>
      </c>
      <c r="F365" s="11">
        <v>11411</v>
      </c>
      <c r="G365" s="13">
        <v>21162513321</v>
      </c>
      <c r="H365" s="98">
        <v>28.47</v>
      </c>
      <c r="I365" s="98">
        <v>73.53</v>
      </c>
    </row>
    <row r="366" spans="1:9">
      <c r="A366" s="12">
        <v>45536</v>
      </c>
      <c r="B366" s="11">
        <f t="shared" si="3"/>
        <v>2024</v>
      </c>
      <c r="C366" s="11">
        <v>9</v>
      </c>
      <c r="D366" s="11" t="s">
        <v>8</v>
      </c>
      <c r="E366" s="11">
        <v>16474</v>
      </c>
      <c r="F366" s="11">
        <v>10280</v>
      </c>
      <c r="G366" s="13">
        <v>18561466186</v>
      </c>
      <c r="H366" s="98">
        <v>24.69</v>
      </c>
      <c r="I366" s="98">
        <v>49.03</v>
      </c>
    </row>
    <row r="367" spans="1:9">
      <c r="A367" s="12">
        <v>45536</v>
      </c>
      <c r="B367" s="11">
        <f t="shared" si="3"/>
        <v>2024</v>
      </c>
      <c r="C367" s="11">
        <v>9</v>
      </c>
      <c r="D367" s="11" t="s">
        <v>20</v>
      </c>
      <c r="E367" s="11">
        <v>1368</v>
      </c>
      <c r="F367" s="11">
        <v>994</v>
      </c>
      <c r="G367" s="13">
        <v>1609744224</v>
      </c>
      <c r="H367" s="98">
        <v>23.37</v>
      </c>
      <c r="I367" s="98">
        <v>52.9</v>
      </c>
    </row>
    <row r="368" spans="1:9">
      <c r="A368" s="12">
        <v>45536</v>
      </c>
      <c r="B368" s="11">
        <f t="shared" si="3"/>
        <v>2024</v>
      </c>
      <c r="C368" s="11">
        <v>9</v>
      </c>
      <c r="D368" s="11" t="s">
        <v>88</v>
      </c>
      <c r="E368" s="11">
        <v>2657</v>
      </c>
      <c r="F368" s="11">
        <v>1797</v>
      </c>
      <c r="G368" s="13">
        <v>3283409699</v>
      </c>
      <c r="H368" s="98">
        <v>21.74</v>
      </c>
      <c r="I368" s="98">
        <v>37.450000000000003</v>
      </c>
    </row>
    <row r="369" spans="1:9">
      <c r="A369" s="12">
        <v>45536</v>
      </c>
      <c r="B369" s="11">
        <f t="shared" si="3"/>
        <v>2024</v>
      </c>
      <c r="C369" s="11">
        <v>9</v>
      </c>
      <c r="D369" s="11" t="s">
        <v>101</v>
      </c>
      <c r="E369" s="11">
        <v>1372</v>
      </c>
      <c r="F369" s="11">
        <v>867</v>
      </c>
      <c r="G369" s="13">
        <v>1544877019</v>
      </c>
      <c r="H369" s="98">
        <v>22.05</v>
      </c>
      <c r="I369" s="98">
        <v>54.57</v>
      </c>
    </row>
    <row r="370" spans="1:9">
      <c r="A370" s="12">
        <v>45536</v>
      </c>
      <c r="B370" s="11">
        <f t="shared" si="3"/>
        <v>2024</v>
      </c>
      <c r="C370" s="11">
        <v>9</v>
      </c>
      <c r="D370" s="11" t="s">
        <v>11</v>
      </c>
      <c r="E370" s="11">
        <v>3026</v>
      </c>
      <c r="F370" s="11">
        <v>1908</v>
      </c>
      <c r="G370" s="13">
        <v>3508579410</v>
      </c>
      <c r="H370" s="98">
        <v>24.02</v>
      </c>
      <c r="I370" s="98">
        <v>45.76</v>
      </c>
    </row>
    <row r="371" spans="1:9">
      <c r="A371" s="12">
        <v>45536</v>
      </c>
      <c r="B371" s="11">
        <f t="shared" si="3"/>
        <v>2024</v>
      </c>
      <c r="C371" s="11">
        <v>9</v>
      </c>
      <c r="D371" s="11" t="s">
        <v>15</v>
      </c>
      <c r="E371" s="11">
        <v>1042</v>
      </c>
      <c r="F371" s="11">
        <v>697</v>
      </c>
      <c r="G371" s="13">
        <v>1300284275</v>
      </c>
      <c r="H371" s="98">
        <v>20.059999999999999</v>
      </c>
      <c r="I371" s="98">
        <v>30.19</v>
      </c>
    </row>
    <row r="372" spans="1:9">
      <c r="A372" s="12">
        <v>45536</v>
      </c>
      <c r="B372" s="11">
        <f t="shared" si="3"/>
        <v>2024</v>
      </c>
      <c r="C372" s="11">
        <v>9</v>
      </c>
      <c r="D372" s="11" t="s">
        <v>84</v>
      </c>
      <c r="E372" s="11">
        <v>4125</v>
      </c>
      <c r="F372" s="11">
        <v>2668</v>
      </c>
      <c r="G372" s="13">
        <v>4995180741</v>
      </c>
      <c r="H372" s="98">
        <v>17.8</v>
      </c>
      <c r="I372" s="98">
        <v>32.53</v>
      </c>
    </row>
    <row r="373" spans="1:9">
      <c r="A373" s="12">
        <v>45536</v>
      </c>
      <c r="B373" s="11">
        <f t="shared" si="3"/>
        <v>2024</v>
      </c>
      <c r="C373" s="11">
        <v>9</v>
      </c>
      <c r="D373" s="11" t="s">
        <v>32</v>
      </c>
      <c r="E373" s="11">
        <v>1129</v>
      </c>
      <c r="F373" s="11">
        <v>723</v>
      </c>
      <c r="G373" s="13">
        <v>1300211113</v>
      </c>
      <c r="H373" s="98">
        <v>18.29</v>
      </c>
      <c r="I373" s="98">
        <v>40.89</v>
      </c>
    </row>
    <row r="374" spans="1:9">
      <c r="A374" s="12">
        <v>45536</v>
      </c>
      <c r="B374" s="11">
        <f t="shared" si="3"/>
        <v>2024</v>
      </c>
      <c r="C374" s="11">
        <v>9</v>
      </c>
      <c r="D374" s="11" t="s">
        <v>19</v>
      </c>
      <c r="E374" s="11">
        <v>2335</v>
      </c>
      <c r="F374" s="11">
        <v>1603</v>
      </c>
      <c r="G374" s="13">
        <v>2739440619</v>
      </c>
      <c r="H374" s="98">
        <v>20.76</v>
      </c>
      <c r="I374" s="98">
        <v>45.22</v>
      </c>
    </row>
    <row r="375" spans="1:9">
      <c r="A375" s="12">
        <v>45536</v>
      </c>
      <c r="B375" s="11">
        <f t="shared" si="3"/>
        <v>2024</v>
      </c>
      <c r="C375" s="11">
        <v>9</v>
      </c>
      <c r="D375" s="11" t="s">
        <v>9</v>
      </c>
      <c r="E375" s="11">
        <v>25379</v>
      </c>
      <c r="F375" s="11">
        <v>16005</v>
      </c>
      <c r="G375" s="13">
        <v>29588269731</v>
      </c>
      <c r="H375" s="98">
        <v>28.05</v>
      </c>
      <c r="I375" s="98">
        <v>67.53</v>
      </c>
    </row>
    <row r="376" spans="1:9">
      <c r="A376" s="12">
        <v>45536</v>
      </c>
      <c r="B376" s="11">
        <f t="shared" si="3"/>
        <v>2024</v>
      </c>
      <c r="C376" s="11">
        <v>9</v>
      </c>
      <c r="D376" s="11" t="s">
        <v>10</v>
      </c>
      <c r="E376" s="11">
        <v>10519</v>
      </c>
      <c r="F376" s="11">
        <v>6767</v>
      </c>
      <c r="G376" s="13">
        <v>12123887311</v>
      </c>
      <c r="H376" s="98">
        <v>22.32</v>
      </c>
      <c r="I376" s="98">
        <v>46.97</v>
      </c>
    </row>
    <row r="377" spans="1:9">
      <c r="A377" s="12">
        <v>45536</v>
      </c>
      <c r="B377" s="11">
        <f t="shared" si="3"/>
        <v>2024</v>
      </c>
      <c r="C377" s="11">
        <v>9</v>
      </c>
      <c r="D377" s="11" t="s">
        <v>22</v>
      </c>
      <c r="E377" s="11">
        <v>19886</v>
      </c>
      <c r="F377" s="11">
        <v>13083</v>
      </c>
      <c r="G377" s="13">
        <v>23388138753</v>
      </c>
      <c r="H377" s="98">
        <v>22.62</v>
      </c>
      <c r="I377" s="98">
        <v>56.96</v>
      </c>
    </row>
    <row r="378" spans="1:9">
      <c r="A378" s="12">
        <v>45536</v>
      </c>
      <c r="B378" s="11">
        <f t="shared" si="3"/>
        <v>2024</v>
      </c>
      <c r="C378" s="11">
        <v>9</v>
      </c>
      <c r="D378" s="11" t="s">
        <v>12</v>
      </c>
      <c r="E378" s="11">
        <v>4438</v>
      </c>
      <c r="F378" s="11">
        <v>2826</v>
      </c>
      <c r="G378" s="13">
        <v>5446516003</v>
      </c>
      <c r="H378" s="98">
        <v>19.98</v>
      </c>
      <c r="I378" s="98">
        <v>38.83</v>
      </c>
    </row>
    <row r="379" spans="1:9">
      <c r="A379" s="12">
        <v>45536</v>
      </c>
      <c r="B379" s="11">
        <f t="shared" si="3"/>
        <v>2024</v>
      </c>
      <c r="C379" s="11">
        <v>9</v>
      </c>
      <c r="D379" s="11" t="s">
        <v>79</v>
      </c>
      <c r="E379" s="11">
        <v>9895</v>
      </c>
      <c r="F379" s="11">
        <v>6315</v>
      </c>
      <c r="G379" s="13">
        <v>11184733110</v>
      </c>
      <c r="H379" s="98">
        <v>30.25</v>
      </c>
      <c r="I379" s="98">
        <v>82.11</v>
      </c>
    </row>
    <row r="380" spans="1:9">
      <c r="A380" s="12">
        <v>45536</v>
      </c>
      <c r="B380" s="11">
        <f t="shared" si="3"/>
        <v>2024</v>
      </c>
      <c r="C380" s="11">
        <v>9</v>
      </c>
      <c r="D380" s="11" t="s">
        <v>91</v>
      </c>
      <c r="E380" s="11">
        <v>4736</v>
      </c>
      <c r="F380" s="11">
        <v>3042</v>
      </c>
      <c r="G380" s="13">
        <v>5321159656</v>
      </c>
      <c r="H380" s="98">
        <v>26.14</v>
      </c>
      <c r="I380" s="98">
        <v>74.459999999999994</v>
      </c>
    </row>
    <row r="381" spans="1:9">
      <c r="A381" s="12">
        <v>45536</v>
      </c>
      <c r="B381" s="11">
        <f t="shared" si="3"/>
        <v>2024</v>
      </c>
      <c r="C381" s="11">
        <v>9</v>
      </c>
      <c r="D381" s="11" t="s">
        <v>93</v>
      </c>
      <c r="E381" s="11">
        <v>349</v>
      </c>
      <c r="F381" s="11">
        <v>237</v>
      </c>
      <c r="G381" s="13">
        <v>344521585</v>
      </c>
      <c r="H381" s="98">
        <v>30.61</v>
      </c>
      <c r="I381" s="98">
        <v>33.29</v>
      </c>
    </row>
    <row r="382" spans="1:9">
      <c r="A382" s="12">
        <v>45536</v>
      </c>
      <c r="B382" s="11">
        <f t="shared" si="3"/>
        <v>2024</v>
      </c>
      <c r="C382" s="11">
        <v>9</v>
      </c>
      <c r="D382" s="11" t="s">
        <v>28</v>
      </c>
      <c r="E382" s="11">
        <v>170</v>
      </c>
      <c r="F382" s="11">
        <v>115</v>
      </c>
      <c r="G382" s="13">
        <v>564073228</v>
      </c>
      <c r="H382" s="98">
        <v>22.22</v>
      </c>
      <c r="I382" s="98">
        <v>20.39</v>
      </c>
    </row>
    <row r="383" spans="1:9">
      <c r="A383" s="12">
        <v>45566</v>
      </c>
      <c r="B383" s="11">
        <f t="shared" si="3"/>
        <v>2024</v>
      </c>
      <c r="C383" s="11">
        <v>10</v>
      </c>
      <c r="D383" s="11" t="s">
        <v>24</v>
      </c>
      <c r="E383" s="11">
        <v>437</v>
      </c>
      <c r="F383" s="11">
        <v>301</v>
      </c>
      <c r="G383" s="13">
        <v>164702920</v>
      </c>
      <c r="H383" s="135">
        <v>23.5</v>
      </c>
      <c r="I383" s="135">
        <v>14.9</v>
      </c>
    </row>
    <row r="384" spans="1:9">
      <c r="A384" s="12">
        <v>45566</v>
      </c>
      <c r="B384" s="11">
        <f t="shared" si="3"/>
        <v>2024</v>
      </c>
      <c r="C384" s="11">
        <v>10</v>
      </c>
      <c r="D384" s="11" t="s">
        <v>28</v>
      </c>
      <c r="E384" s="11">
        <v>152</v>
      </c>
      <c r="F384" s="11">
        <v>94</v>
      </c>
      <c r="G384" s="13">
        <v>1109740832</v>
      </c>
      <c r="H384" s="135">
        <v>27.89</v>
      </c>
      <c r="I384" s="135">
        <v>19</v>
      </c>
    </row>
    <row r="385" spans="1:9">
      <c r="A385" s="12">
        <v>45566</v>
      </c>
      <c r="B385" s="11">
        <f t="shared" si="3"/>
        <v>2024</v>
      </c>
      <c r="C385" s="11">
        <v>10</v>
      </c>
      <c r="D385" s="11" t="s">
        <v>7</v>
      </c>
      <c r="E385" s="11">
        <v>876</v>
      </c>
      <c r="F385" s="11">
        <v>589</v>
      </c>
      <c r="G385" s="13">
        <v>36141749926</v>
      </c>
      <c r="H385" s="135">
        <v>17.16</v>
      </c>
      <c r="I385" s="135">
        <v>31.89</v>
      </c>
    </row>
    <row r="386" spans="1:9">
      <c r="A386" s="12">
        <v>45566</v>
      </c>
      <c r="B386" s="11">
        <f t="shared" si="3"/>
        <v>2024</v>
      </c>
      <c r="C386" s="11">
        <v>10</v>
      </c>
      <c r="D386" s="11" t="s">
        <v>75</v>
      </c>
      <c r="E386" s="11">
        <v>30486</v>
      </c>
      <c r="F386" s="11">
        <v>18868</v>
      </c>
      <c r="G386" s="13">
        <v>11479067304</v>
      </c>
      <c r="H386" s="135">
        <v>29.19</v>
      </c>
      <c r="I386" s="135">
        <v>64.22</v>
      </c>
    </row>
    <row r="387" spans="1:9">
      <c r="A387" s="12">
        <v>45566</v>
      </c>
      <c r="B387" s="11">
        <f t="shared" si="3"/>
        <v>2024</v>
      </c>
      <c r="C387" s="11">
        <v>10</v>
      </c>
      <c r="D387" s="11" t="s">
        <v>79</v>
      </c>
      <c r="E387" s="11">
        <v>9734</v>
      </c>
      <c r="F387" s="11">
        <v>6343</v>
      </c>
      <c r="G387" s="13">
        <v>18890495468</v>
      </c>
      <c r="H387" s="135">
        <v>27.37</v>
      </c>
      <c r="I387" s="135">
        <v>69.36</v>
      </c>
    </row>
    <row r="388" spans="1:9">
      <c r="A388" s="12">
        <v>45566</v>
      </c>
      <c r="B388" s="11">
        <f t="shared" si="3"/>
        <v>2024</v>
      </c>
      <c r="C388" s="11">
        <v>10</v>
      </c>
      <c r="D388" s="11" t="s">
        <v>8</v>
      </c>
      <c r="E388" s="11">
        <v>15908</v>
      </c>
      <c r="F388" s="11">
        <v>10080</v>
      </c>
      <c r="G388" s="13">
        <v>3551179084</v>
      </c>
      <c r="H388" s="135">
        <v>25.09</v>
      </c>
      <c r="I388" s="135">
        <v>47.73</v>
      </c>
    </row>
    <row r="389" spans="1:9">
      <c r="A389" s="12">
        <v>45566</v>
      </c>
      <c r="B389" s="11">
        <f t="shared" si="3"/>
        <v>2024</v>
      </c>
      <c r="C389" s="11">
        <v>10</v>
      </c>
      <c r="D389" s="11" t="s">
        <v>20</v>
      </c>
      <c r="E389" s="11">
        <v>2990</v>
      </c>
      <c r="F389" s="11">
        <v>2100</v>
      </c>
      <c r="G389" s="13">
        <v>48093290</v>
      </c>
      <c r="H389" s="135">
        <v>26.79</v>
      </c>
      <c r="I389" s="135">
        <v>54.54</v>
      </c>
    </row>
    <row r="390" spans="1:9">
      <c r="A390" s="12">
        <v>45566</v>
      </c>
      <c r="B390" s="11">
        <f t="shared" si="3"/>
        <v>2024</v>
      </c>
      <c r="C390" s="11">
        <v>10</v>
      </c>
      <c r="D390" s="11" t="s">
        <v>88</v>
      </c>
      <c r="E390" s="11">
        <v>2152</v>
      </c>
      <c r="F390" s="11">
        <v>1593</v>
      </c>
      <c r="G390" s="13">
        <v>839640380</v>
      </c>
      <c r="H390" s="135">
        <v>19.420000000000002</v>
      </c>
      <c r="I390" s="135">
        <v>33.700000000000003</v>
      </c>
    </row>
    <row r="391" spans="1:9">
      <c r="A391" s="12">
        <v>45566</v>
      </c>
      <c r="B391" s="11">
        <f t="shared" si="3"/>
        <v>2024</v>
      </c>
      <c r="C391" s="11">
        <v>10</v>
      </c>
      <c r="D391" s="11" t="s">
        <v>93</v>
      </c>
      <c r="E391" s="11">
        <v>729</v>
      </c>
      <c r="F391" s="11">
        <v>537</v>
      </c>
      <c r="G391" s="13">
        <v>259250047</v>
      </c>
      <c r="H391" s="135">
        <v>20.25</v>
      </c>
      <c r="I391" s="135">
        <v>18.350000000000001</v>
      </c>
    </row>
    <row r="392" spans="1:9">
      <c r="A392" s="12">
        <v>45566</v>
      </c>
      <c r="B392" s="11">
        <f t="shared" si="3"/>
        <v>2024</v>
      </c>
      <c r="C392" s="11">
        <v>10</v>
      </c>
      <c r="D392" s="11" t="s">
        <v>10</v>
      </c>
      <c r="E392" s="11">
        <v>13196</v>
      </c>
      <c r="F392" s="11">
        <v>8453</v>
      </c>
      <c r="G392" s="13">
        <v>22468618258</v>
      </c>
      <c r="H392" s="135">
        <v>25.38</v>
      </c>
      <c r="I392" s="135">
        <v>55.57</v>
      </c>
    </row>
    <row r="393" spans="1:9">
      <c r="A393" s="12">
        <v>45566</v>
      </c>
      <c r="B393" s="11">
        <f t="shared" si="3"/>
        <v>2024</v>
      </c>
      <c r="C393" s="11">
        <v>10</v>
      </c>
      <c r="D393" s="11" t="s">
        <v>9</v>
      </c>
      <c r="E393" s="11">
        <v>19171</v>
      </c>
      <c r="F393" s="11">
        <v>11801</v>
      </c>
      <c r="G393" s="13">
        <v>1681258088</v>
      </c>
      <c r="H393" s="135">
        <v>24.89</v>
      </c>
      <c r="I393" s="135">
        <v>71.47</v>
      </c>
    </row>
    <row r="394" spans="1:9">
      <c r="A394" s="12">
        <v>45566</v>
      </c>
      <c r="B394" s="11">
        <f t="shared" si="3"/>
        <v>2024</v>
      </c>
      <c r="C394" s="11">
        <v>10</v>
      </c>
      <c r="D394" s="11" t="s">
        <v>101</v>
      </c>
      <c r="E394" s="11">
        <v>1414</v>
      </c>
      <c r="F394" s="11">
        <v>904</v>
      </c>
      <c r="G394" s="13">
        <v>3459577686</v>
      </c>
      <c r="H394" s="135">
        <v>19.93</v>
      </c>
      <c r="I394" s="135">
        <v>48.81</v>
      </c>
    </row>
    <row r="395" spans="1:9">
      <c r="A395" s="12">
        <v>45566</v>
      </c>
      <c r="B395" s="11">
        <f t="shared" si="3"/>
        <v>2024</v>
      </c>
      <c r="C395" s="11">
        <v>10</v>
      </c>
      <c r="D395" s="11" t="s">
        <v>11</v>
      </c>
      <c r="E395" s="11">
        <v>2874</v>
      </c>
      <c r="F395" s="11">
        <v>1914</v>
      </c>
      <c r="G395" s="13">
        <v>3855313141</v>
      </c>
      <c r="H395" s="135">
        <v>25.83</v>
      </c>
      <c r="I395" s="135">
        <v>58.81</v>
      </c>
    </row>
    <row r="396" spans="1:9">
      <c r="A396" s="12">
        <v>45566</v>
      </c>
      <c r="B396" s="11">
        <f t="shared" si="3"/>
        <v>2024</v>
      </c>
      <c r="C396" s="11">
        <v>10</v>
      </c>
      <c r="D396" s="11" t="s">
        <v>91</v>
      </c>
      <c r="E396" s="11">
        <v>3333</v>
      </c>
      <c r="F396" s="11">
        <v>2128</v>
      </c>
      <c r="G396" s="13">
        <v>1863253436</v>
      </c>
      <c r="H396" s="135">
        <v>23.22</v>
      </c>
      <c r="I396" s="135">
        <v>68.31</v>
      </c>
    </row>
    <row r="397" spans="1:9">
      <c r="A397" s="12">
        <v>45566</v>
      </c>
      <c r="B397" s="11">
        <f t="shared" si="3"/>
        <v>2024</v>
      </c>
      <c r="C397" s="11">
        <v>10</v>
      </c>
      <c r="D397" s="11" t="s">
        <v>15</v>
      </c>
      <c r="E397" s="11">
        <v>1431</v>
      </c>
      <c r="F397" s="11">
        <v>1070</v>
      </c>
      <c r="G397" s="13">
        <v>5313282029</v>
      </c>
      <c r="H397" s="135">
        <v>29.6</v>
      </c>
      <c r="I397" s="135">
        <v>62.26</v>
      </c>
    </row>
    <row r="398" spans="1:9">
      <c r="A398" s="12">
        <v>45566</v>
      </c>
      <c r="B398" s="11">
        <f t="shared" si="3"/>
        <v>2024</v>
      </c>
      <c r="C398" s="11">
        <v>10</v>
      </c>
      <c r="D398" s="11" t="s">
        <v>84</v>
      </c>
      <c r="E398" s="11">
        <v>4175</v>
      </c>
      <c r="F398" s="11">
        <v>2831</v>
      </c>
      <c r="G398" s="13">
        <v>385967359</v>
      </c>
      <c r="H398" s="135">
        <v>19.649999999999999</v>
      </c>
      <c r="I398" s="135">
        <v>35.01</v>
      </c>
    </row>
    <row r="399" spans="1:9">
      <c r="A399" s="12">
        <v>45566</v>
      </c>
      <c r="B399" s="11">
        <f t="shared" si="3"/>
        <v>2024</v>
      </c>
      <c r="C399" s="11">
        <v>10</v>
      </c>
      <c r="D399" s="11" t="s">
        <v>22</v>
      </c>
      <c r="E399" s="11">
        <v>20069</v>
      </c>
      <c r="F399" s="11">
        <v>13504</v>
      </c>
      <c r="G399" s="13">
        <v>1979038105</v>
      </c>
      <c r="H399" s="135">
        <v>27.42</v>
      </c>
      <c r="I399" s="135">
        <v>68.900000000000006</v>
      </c>
    </row>
    <row r="400" spans="1:9">
      <c r="A400" s="12">
        <v>45566</v>
      </c>
      <c r="B400" s="11">
        <f t="shared" si="3"/>
        <v>2024</v>
      </c>
      <c r="C400" s="11">
        <v>10</v>
      </c>
      <c r="D400" s="11" t="s">
        <v>32</v>
      </c>
      <c r="E400" s="11">
        <v>1153</v>
      </c>
      <c r="F400" s="11">
        <v>753</v>
      </c>
      <c r="G400" s="13">
        <v>5702927283</v>
      </c>
      <c r="H400" s="135">
        <v>21.17</v>
      </c>
      <c r="I400" s="135">
        <v>32.130000000000003</v>
      </c>
    </row>
    <row r="401" spans="1:9">
      <c r="A401" s="12">
        <v>45566</v>
      </c>
      <c r="B401" s="11">
        <f t="shared" si="3"/>
        <v>2024</v>
      </c>
      <c r="C401" s="11">
        <v>10</v>
      </c>
      <c r="D401" s="11" t="s">
        <v>12</v>
      </c>
      <c r="E401" s="11">
        <v>4462</v>
      </c>
      <c r="F401" s="11">
        <v>3049</v>
      </c>
      <c r="G401" s="13">
        <v>3168196385</v>
      </c>
      <c r="H401" s="135">
        <v>20.76</v>
      </c>
      <c r="I401" s="135">
        <v>42.44</v>
      </c>
    </row>
    <row r="402" spans="1:9">
      <c r="A402" s="12">
        <v>45566</v>
      </c>
      <c r="B402" s="11">
        <f t="shared" si="3"/>
        <v>2024</v>
      </c>
      <c r="C402" s="11">
        <v>10</v>
      </c>
      <c r="D402" s="11" t="s">
        <v>19</v>
      </c>
      <c r="E402" s="11">
        <v>2604</v>
      </c>
      <c r="F402" s="11">
        <v>1776</v>
      </c>
      <c r="G402" s="13">
        <v>177822692</v>
      </c>
      <c r="H402" s="135">
        <v>23.42</v>
      </c>
      <c r="I402" s="135">
        <v>49.34</v>
      </c>
    </row>
    <row r="403" spans="1:9">
      <c r="A403" s="12">
        <v>45597</v>
      </c>
      <c r="B403" s="11">
        <f t="shared" si="3"/>
        <v>2024</v>
      </c>
      <c r="C403" s="11">
        <v>11</v>
      </c>
      <c r="D403" s="11" t="s">
        <v>7</v>
      </c>
      <c r="E403" s="13">
        <v>2272</v>
      </c>
      <c r="F403" s="13">
        <v>1453</v>
      </c>
      <c r="G403" s="13">
        <v>2867784671</v>
      </c>
      <c r="H403" s="98">
        <v>192.16</v>
      </c>
      <c r="I403" s="98">
        <v>414.4</v>
      </c>
    </row>
    <row r="404" spans="1:9">
      <c r="A404" s="12">
        <v>45597</v>
      </c>
      <c r="B404" s="11">
        <f t="shared" si="3"/>
        <v>2024</v>
      </c>
      <c r="C404" s="11">
        <v>11</v>
      </c>
      <c r="D404" s="11" t="s">
        <v>22</v>
      </c>
      <c r="E404" s="13">
        <v>22678</v>
      </c>
      <c r="F404" s="13">
        <v>15554</v>
      </c>
      <c r="G404" s="13">
        <v>28212388884</v>
      </c>
      <c r="H404" s="135">
        <v>169.56</v>
      </c>
      <c r="I404" s="135">
        <v>406.2</v>
      </c>
    </row>
    <row r="405" spans="1:9">
      <c r="A405" s="12">
        <v>45597</v>
      </c>
      <c r="B405" s="11">
        <f t="shared" si="3"/>
        <v>2024</v>
      </c>
      <c r="C405" s="11">
        <v>11</v>
      </c>
      <c r="D405" s="11" t="s">
        <v>9</v>
      </c>
      <c r="E405" s="13">
        <v>16834</v>
      </c>
      <c r="F405" s="13">
        <v>10410</v>
      </c>
      <c r="G405" s="13">
        <v>20548404401</v>
      </c>
      <c r="H405" s="135">
        <v>58.76</v>
      </c>
      <c r="I405" s="135">
        <v>151</v>
      </c>
    </row>
    <row r="406" spans="1:9">
      <c r="A406" s="12">
        <v>45597</v>
      </c>
      <c r="B406" s="11">
        <f t="shared" si="3"/>
        <v>2024</v>
      </c>
      <c r="C406" s="11">
        <v>11</v>
      </c>
      <c r="D406" s="11" t="s">
        <v>8</v>
      </c>
      <c r="E406" s="13">
        <v>15547</v>
      </c>
      <c r="F406" s="13">
        <v>9655</v>
      </c>
      <c r="G406" s="13">
        <v>18697785354</v>
      </c>
      <c r="H406" s="135">
        <v>204.4</v>
      </c>
      <c r="I406" s="135">
        <v>395.28</v>
      </c>
    </row>
    <row r="407" spans="1:9">
      <c r="A407" s="12">
        <v>45597</v>
      </c>
      <c r="B407" s="11">
        <f t="shared" si="3"/>
        <v>2024</v>
      </c>
      <c r="C407" s="11">
        <v>11</v>
      </c>
      <c r="D407" s="11" t="s">
        <v>10</v>
      </c>
      <c r="E407" s="13">
        <v>9743</v>
      </c>
      <c r="F407" s="13">
        <v>6757</v>
      </c>
      <c r="G407" s="13">
        <v>12270592696</v>
      </c>
      <c r="H407" s="98">
        <v>23.66</v>
      </c>
      <c r="I407" s="98">
        <v>52.76</v>
      </c>
    </row>
    <row r="408" spans="1:9">
      <c r="A408" s="12">
        <v>45597</v>
      </c>
      <c r="B408" s="11">
        <f t="shared" si="3"/>
        <v>2024</v>
      </c>
      <c r="C408" s="11">
        <v>11</v>
      </c>
      <c r="D408" s="11" t="s">
        <v>79</v>
      </c>
      <c r="E408" s="13">
        <v>7473</v>
      </c>
      <c r="F408" s="13">
        <v>5092</v>
      </c>
      <c r="G408" s="13">
        <v>9312075735</v>
      </c>
      <c r="H408" s="98">
        <v>163.05000000000001</v>
      </c>
      <c r="I408" s="98">
        <v>414.15</v>
      </c>
    </row>
    <row r="409" spans="1:9">
      <c r="A409" s="12">
        <v>45597</v>
      </c>
      <c r="B409" s="11">
        <f t="shared" si="3"/>
        <v>2024</v>
      </c>
      <c r="C409" s="11">
        <v>11</v>
      </c>
      <c r="D409" s="11" t="s">
        <v>12</v>
      </c>
      <c r="E409" s="13">
        <v>5009</v>
      </c>
      <c r="F409" s="13">
        <v>3205</v>
      </c>
      <c r="G409" s="13">
        <v>6374740548</v>
      </c>
      <c r="H409" s="98">
        <v>18.739999999999998</v>
      </c>
      <c r="I409" s="98">
        <v>39</v>
      </c>
    </row>
    <row r="410" spans="1:9">
      <c r="A410" s="12">
        <v>45597</v>
      </c>
      <c r="B410" s="11">
        <f t="shared" si="3"/>
        <v>2024</v>
      </c>
      <c r="C410" s="11">
        <v>11</v>
      </c>
      <c r="D410" s="11" t="s">
        <v>84</v>
      </c>
      <c r="E410" s="13">
        <v>2477</v>
      </c>
      <c r="F410" s="13">
        <v>1544</v>
      </c>
      <c r="G410" s="13">
        <v>3319791463</v>
      </c>
      <c r="H410" s="98">
        <v>50.66</v>
      </c>
      <c r="I410" s="98">
        <v>79.52</v>
      </c>
    </row>
    <row r="411" spans="1:9">
      <c r="A411" s="12">
        <v>45597</v>
      </c>
      <c r="B411" s="11">
        <f t="shared" si="3"/>
        <v>2024</v>
      </c>
      <c r="C411" s="11">
        <v>11</v>
      </c>
      <c r="D411" s="11" t="s">
        <v>91</v>
      </c>
      <c r="E411" s="13">
        <v>4280</v>
      </c>
      <c r="F411" s="13">
        <v>2824</v>
      </c>
      <c r="G411" s="13">
        <v>5197148108</v>
      </c>
      <c r="H411" s="98">
        <v>258.8</v>
      </c>
      <c r="I411" s="98">
        <v>552.6</v>
      </c>
    </row>
    <row r="412" spans="1:9">
      <c r="A412" s="12">
        <v>45597</v>
      </c>
      <c r="B412" s="11">
        <f t="shared" si="3"/>
        <v>2024</v>
      </c>
      <c r="C412" s="11">
        <v>11</v>
      </c>
      <c r="D412" s="11" t="s">
        <v>11</v>
      </c>
      <c r="E412" s="13">
        <v>2365</v>
      </c>
      <c r="F412" s="13">
        <v>1558</v>
      </c>
      <c r="G412" s="13">
        <v>2935521307</v>
      </c>
      <c r="H412" s="98">
        <v>216.9</v>
      </c>
      <c r="I412" s="98">
        <v>378.36</v>
      </c>
    </row>
    <row r="413" spans="1:9">
      <c r="A413" s="12">
        <v>45597</v>
      </c>
      <c r="B413" s="11">
        <f t="shared" si="3"/>
        <v>2024</v>
      </c>
      <c r="C413" s="11">
        <v>11</v>
      </c>
      <c r="D413" s="11" t="s">
        <v>88</v>
      </c>
      <c r="E413" s="13">
        <v>3374</v>
      </c>
      <c r="F413" s="13">
        <v>2344</v>
      </c>
      <c r="G413" s="13">
        <v>4264093474</v>
      </c>
      <c r="H413" s="98">
        <v>87.96</v>
      </c>
      <c r="I413" s="98">
        <v>173.52</v>
      </c>
    </row>
    <row r="414" spans="1:9">
      <c r="A414" s="12">
        <v>45597</v>
      </c>
      <c r="B414" s="11">
        <f t="shared" si="3"/>
        <v>2024</v>
      </c>
      <c r="C414" s="11">
        <v>11</v>
      </c>
      <c r="D414" s="11" t="s">
        <v>20</v>
      </c>
      <c r="E414" s="13">
        <v>1366</v>
      </c>
      <c r="F414" s="13">
        <v>989</v>
      </c>
      <c r="G414" s="13">
        <v>1719845407</v>
      </c>
      <c r="H414" s="98">
        <v>169</v>
      </c>
      <c r="I414" s="98">
        <v>306.05</v>
      </c>
    </row>
    <row r="415" spans="1:9">
      <c r="A415" s="12">
        <v>45597</v>
      </c>
      <c r="B415" s="11">
        <f t="shared" si="3"/>
        <v>2024</v>
      </c>
      <c r="C415" s="11">
        <v>11</v>
      </c>
      <c r="D415" s="11" t="s">
        <v>32</v>
      </c>
      <c r="E415" s="13">
        <v>1273</v>
      </c>
      <c r="F415" s="13">
        <v>847</v>
      </c>
      <c r="G415" s="13">
        <v>1653928245</v>
      </c>
      <c r="H415" s="98">
        <v>172.41</v>
      </c>
      <c r="I415" s="98">
        <v>338.24</v>
      </c>
    </row>
    <row r="416" spans="1:9">
      <c r="A416" s="12">
        <v>45597</v>
      </c>
      <c r="B416" s="11">
        <f t="shared" si="3"/>
        <v>2024</v>
      </c>
      <c r="C416" s="11">
        <v>11</v>
      </c>
      <c r="D416" s="11" t="s">
        <v>15</v>
      </c>
      <c r="E416" s="13">
        <v>2936</v>
      </c>
      <c r="F416" s="13">
        <v>1913</v>
      </c>
      <c r="G416" s="13">
        <v>3651793925</v>
      </c>
      <c r="H416" s="98">
        <v>213.44</v>
      </c>
      <c r="I416" s="98">
        <v>451.2</v>
      </c>
    </row>
    <row r="417" spans="1:9">
      <c r="A417" s="12">
        <v>45597</v>
      </c>
      <c r="B417" s="11">
        <f t="shared" si="3"/>
        <v>2024</v>
      </c>
      <c r="C417" s="11">
        <v>11</v>
      </c>
      <c r="D417" s="11" t="s">
        <v>101</v>
      </c>
      <c r="E417" s="13">
        <v>1102</v>
      </c>
      <c r="F417" s="13">
        <v>759</v>
      </c>
      <c r="G417" s="13">
        <v>1421078123</v>
      </c>
      <c r="H417" s="98">
        <v>132.93</v>
      </c>
      <c r="I417" s="98">
        <v>277.55</v>
      </c>
    </row>
    <row r="418" spans="1:9">
      <c r="A418" s="12">
        <v>45597</v>
      </c>
      <c r="B418" s="11">
        <f t="shared" si="3"/>
        <v>2024</v>
      </c>
      <c r="C418" s="11">
        <v>11</v>
      </c>
      <c r="D418" s="11" t="s">
        <v>19</v>
      </c>
      <c r="E418" s="13">
        <v>1325</v>
      </c>
      <c r="F418" s="13">
        <v>928</v>
      </c>
      <c r="G418" s="13">
        <v>1633039806</v>
      </c>
      <c r="H418" s="98">
        <v>113.25</v>
      </c>
      <c r="I418" s="98">
        <v>247</v>
      </c>
    </row>
    <row r="419" spans="1:9">
      <c r="A419" s="12">
        <v>45597</v>
      </c>
      <c r="B419" s="11">
        <f t="shared" si="3"/>
        <v>2024</v>
      </c>
      <c r="C419" s="11">
        <v>11</v>
      </c>
      <c r="D419" s="11" t="s">
        <v>24</v>
      </c>
      <c r="E419" s="13">
        <v>652</v>
      </c>
      <c r="F419" s="13">
        <v>437</v>
      </c>
      <c r="G419" s="13">
        <v>836807024</v>
      </c>
      <c r="H419" s="98">
        <v>50.66</v>
      </c>
      <c r="I419" s="98">
        <v>44.76</v>
      </c>
    </row>
    <row r="420" spans="1:9">
      <c r="A420" s="12">
        <v>45597</v>
      </c>
      <c r="B420" s="11">
        <f t="shared" si="3"/>
        <v>2024</v>
      </c>
      <c r="C420" s="11">
        <v>11</v>
      </c>
      <c r="D420" s="11" t="s">
        <v>93</v>
      </c>
      <c r="E420" s="13">
        <v>118</v>
      </c>
      <c r="F420" s="13">
        <v>85</v>
      </c>
      <c r="G420" s="13">
        <v>147652930</v>
      </c>
      <c r="H420" s="98">
        <v>57.58</v>
      </c>
      <c r="I420" s="98">
        <v>44.7</v>
      </c>
    </row>
    <row r="421" spans="1:9">
      <c r="A421" s="12">
        <v>45597</v>
      </c>
      <c r="B421" s="11">
        <f t="shared" si="3"/>
        <v>2024</v>
      </c>
      <c r="C421" s="11">
        <v>11</v>
      </c>
      <c r="D421" s="11" t="s">
        <v>28</v>
      </c>
      <c r="E421" s="13">
        <v>231</v>
      </c>
      <c r="F421" s="13">
        <v>155</v>
      </c>
      <c r="G421" s="13">
        <v>268927283</v>
      </c>
      <c r="H421" s="98">
        <v>47.8</v>
      </c>
      <c r="I421" s="98">
        <v>24.26</v>
      </c>
    </row>
    <row r="422" spans="1:9">
      <c r="A422" s="198">
        <v>45627</v>
      </c>
      <c r="B422" s="186">
        <f t="shared" ref="B422:B525" si="5">YEAR(A422)</f>
        <v>2024</v>
      </c>
      <c r="C422" s="186">
        <f t="shared" ref="C422:C525" si="6">MONTH(A422)</f>
        <v>12</v>
      </c>
      <c r="D422" s="136" t="s">
        <v>7</v>
      </c>
      <c r="E422" s="137">
        <v>288469</v>
      </c>
      <c r="F422" s="137">
        <v>178531</v>
      </c>
      <c r="G422" s="138">
        <v>340040467321</v>
      </c>
      <c r="H422" s="139">
        <v>25</v>
      </c>
      <c r="I422" s="139">
        <v>55</v>
      </c>
    </row>
    <row r="423" spans="1:9">
      <c r="A423" s="198">
        <v>45628</v>
      </c>
      <c r="B423" s="186">
        <f t="shared" si="5"/>
        <v>2024</v>
      </c>
      <c r="C423" s="186">
        <f t="shared" si="6"/>
        <v>12</v>
      </c>
      <c r="D423" s="140" t="s">
        <v>22</v>
      </c>
      <c r="E423" s="141">
        <v>240569</v>
      </c>
      <c r="F423" s="141">
        <v>161359</v>
      </c>
      <c r="G423" s="138">
        <v>287071450311</v>
      </c>
      <c r="H423" s="142">
        <v>27</v>
      </c>
      <c r="I423" s="142">
        <v>64</v>
      </c>
    </row>
    <row r="424" spans="1:9">
      <c r="A424" s="198">
        <v>45629</v>
      </c>
      <c r="B424" s="186">
        <f t="shared" si="5"/>
        <v>2024</v>
      </c>
      <c r="C424" s="186">
        <f t="shared" si="6"/>
        <v>12</v>
      </c>
      <c r="D424" s="136" t="s">
        <v>9</v>
      </c>
      <c r="E424" s="137">
        <v>211877</v>
      </c>
      <c r="F424" s="137">
        <v>132139</v>
      </c>
      <c r="G424" s="138">
        <v>251546902253</v>
      </c>
      <c r="H424" s="142">
        <v>28</v>
      </c>
      <c r="I424" s="142">
        <v>72</v>
      </c>
    </row>
    <row r="425" spans="1:9">
      <c r="A425" s="198">
        <v>45630</v>
      </c>
      <c r="B425" s="186">
        <f t="shared" si="5"/>
        <v>2024</v>
      </c>
      <c r="C425" s="186">
        <f t="shared" si="6"/>
        <v>12</v>
      </c>
      <c r="D425" s="140" t="s">
        <v>8</v>
      </c>
      <c r="E425" s="141">
        <v>190024</v>
      </c>
      <c r="F425" s="141">
        <v>123568</v>
      </c>
      <c r="G425" s="138">
        <v>220053018582</v>
      </c>
      <c r="H425" s="142">
        <v>25</v>
      </c>
      <c r="I425" s="142">
        <v>49</v>
      </c>
    </row>
    <row r="426" spans="1:9">
      <c r="A426" s="198">
        <v>45631</v>
      </c>
      <c r="B426" s="186">
        <f t="shared" si="5"/>
        <v>2024</v>
      </c>
      <c r="C426" s="186">
        <f t="shared" si="6"/>
        <v>12</v>
      </c>
      <c r="D426" s="136" t="s">
        <v>10</v>
      </c>
      <c r="E426" s="137">
        <v>140638</v>
      </c>
      <c r="F426" s="137">
        <v>93949</v>
      </c>
      <c r="G426" s="138">
        <v>168986165233</v>
      </c>
      <c r="H426" s="142">
        <v>24</v>
      </c>
      <c r="I426" s="142">
        <v>52</v>
      </c>
    </row>
    <row r="427" spans="1:9">
      <c r="A427" s="198">
        <v>45632</v>
      </c>
      <c r="B427" s="186">
        <f t="shared" si="5"/>
        <v>2024</v>
      </c>
      <c r="C427" s="186">
        <f t="shared" si="6"/>
        <v>12</v>
      </c>
      <c r="D427" s="140" t="s">
        <v>79</v>
      </c>
      <c r="E427" s="141">
        <v>117799</v>
      </c>
      <c r="F427" s="141">
        <v>76829</v>
      </c>
      <c r="G427" s="138">
        <v>139626259541</v>
      </c>
      <c r="H427" s="142">
        <v>28</v>
      </c>
      <c r="I427" s="142">
        <v>72</v>
      </c>
    </row>
    <row r="428" spans="1:9">
      <c r="A428" s="198">
        <v>45633</v>
      </c>
      <c r="B428" s="186">
        <f t="shared" si="5"/>
        <v>2024</v>
      </c>
      <c r="C428" s="186">
        <f t="shared" si="6"/>
        <v>12</v>
      </c>
      <c r="D428" s="136" t="s">
        <v>12</v>
      </c>
      <c r="E428" s="137">
        <v>64063</v>
      </c>
      <c r="F428" s="137">
        <v>41766</v>
      </c>
      <c r="G428" s="138">
        <v>79314424243</v>
      </c>
      <c r="H428" s="142">
        <v>21</v>
      </c>
      <c r="I428" s="142">
        <v>44</v>
      </c>
    </row>
    <row r="429" spans="1:9">
      <c r="A429" s="198">
        <v>45634</v>
      </c>
      <c r="B429" s="186">
        <f t="shared" si="5"/>
        <v>2024</v>
      </c>
      <c r="C429" s="186">
        <f t="shared" si="6"/>
        <v>12</v>
      </c>
      <c r="D429" s="140" t="s">
        <v>84</v>
      </c>
      <c r="E429" s="141">
        <v>48443</v>
      </c>
      <c r="F429" s="141">
        <v>32005</v>
      </c>
      <c r="G429" s="138">
        <v>61491938158</v>
      </c>
      <c r="H429" s="142">
        <v>21</v>
      </c>
      <c r="I429" s="142">
        <v>37</v>
      </c>
    </row>
    <row r="430" spans="1:9">
      <c r="A430" s="198">
        <v>45635</v>
      </c>
      <c r="B430" s="186">
        <f t="shared" si="5"/>
        <v>2024</v>
      </c>
      <c r="C430" s="186">
        <f t="shared" si="6"/>
        <v>12</v>
      </c>
      <c r="D430" s="136" t="s">
        <v>91</v>
      </c>
      <c r="E430" s="137">
        <v>43840</v>
      </c>
      <c r="F430" s="137">
        <v>29111</v>
      </c>
      <c r="G430" s="138">
        <v>51541590944</v>
      </c>
      <c r="H430" s="142">
        <v>25</v>
      </c>
      <c r="I430" s="142">
        <v>60</v>
      </c>
    </row>
    <row r="431" spans="1:9">
      <c r="A431" s="198">
        <v>45636</v>
      </c>
      <c r="B431" s="186">
        <f t="shared" si="5"/>
        <v>2024</v>
      </c>
      <c r="C431" s="186">
        <f t="shared" si="6"/>
        <v>12</v>
      </c>
      <c r="D431" s="143" t="s">
        <v>11</v>
      </c>
      <c r="E431" s="141">
        <v>38906</v>
      </c>
      <c r="F431" s="141">
        <v>25158</v>
      </c>
      <c r="G431" s="138">
        <v>46017255364</v>
      </c>
      <c r="H431" s="142">
        <v>25</v>
      </c>
      <c r="I431" s="142">
        <v>50</v>
      </c>
    </row>
    <row r="432" spans="1:9">
      <c r="A432" s="198">
        <v>45637</v>
      </c>
      <c r="B432" s="186">
        <f t="shared" si="5"/>
        <v>2024</v>
      </c>
      <c r="C432" s="186">
        <f t="shared" si="6"/>
        <v>12</v>
      </c>
      <c r="D432" s="136" t="s">
        <v>88</v>
      </c>
      <c r="E432" s="137">
        <v>31720</v>
      </c>
      <c r="F432" s="137">
        <v>22179</v>
      </c>
      <c r="G432" s="138">
        <v>39877022798</v>
      </c>
      <c r="H432" s="142">
        <v>22</v>
      </c>
      <c r="I432" s="142">
        <v>39</v>
      </c>
    </row>
    <row r="433" spans="1:9">
      <c r="A433" s="198">
        <v>45638</v>
      </c>
      <c r="B433" s="186">
        <f t="shared" si="5"/>
        <v>2024</v>
      </c>
      <c r="C433" s="186">
        <f t="shared" si="6"/>
        <v>12</v>
      </c>
      <c r="D433" s="140" t="s">
        <v>20</v>
      </c>
      <c r="E433" s="141">
        <v>22138</v>
      </c>
      <c r="F433" s="141">
        <v>15955</v>
      </c>
      <c r="G433" s="138">
        <v>26827636295</v>
      </c>
      <c r="H433" s="142">
        <v>24</v>
      </c>
      <c r="I433" s="142">
        <v>48</v>
      </c>
    </row>
    <row r="434" spans="1:9">
      <c r="A434" s="198">
        <v>45639</v>
      </c>
      <c r="B434" s="186">
        <f t="shared" si="5"/>
        <v>2024</v>
      </c>
      <c r="C434" s="186">
        <f t="shared" si="6"/>
        <v>12</v>
      </c>
      <c r="D434" s="144" t="s">
        <v>32</v>
      </c>
      <c r="E434" s="137">
        <v>16809</v>
      </c>
      <c r="F434" s="137">
        <v>11103</v>
      </c>
      <c r="G434" s="138">
        <v>20014969926</v>
      </c>
      <c r="H434" s="142">
        <v>19</v>
      </c>
      <c r="I434" s="142">
        <v>39</v>
      </c>
    </row>
    <row r="435" spans="1:9">
      <c r="A435" s="198">
        <v>45640</v>
      </c>
      <c r="B435" s="186">
        <f t="shared" si="5"/>
        <v>2024</v>
      </c>
      <c r="C435" s="186">
        <f t="shared" si="6"/>
        <v>12</v>
      </c>
      <c r="D435" s="140" t="s">
        <v>15</v>
      </c>
      <c r="E435" s="141">
        <v>17499</v>
      </c>
      <c r="F435" s="141">
        <v>11975</v>
      </c>
      <c r="G435" s="138">
        <v>22187043129</v>
      </c>
      <c r="H435" s="142">
        <v>23</v>
      </c>
      <c r="I435" s="142">
        <v>41</v>
      </c>
    </row>
    <row r="436" spans="1:9">
      <c r="A436" s="198">
        <v>45641</v>
      </c>
      <c r="B436" s="186">
        <f t="shared" si="5"/>
        <v>2024</v>
      </c>
      <c r="C436" s="186">
        <f t="shared" si="6"/>
        <v>12</v>
      </c>
      <c r="D436" s="144" t="s">
        <v>101</v>
      </c>
      <c r="E436" s="137">
        <v>15106</v>
      </c>
      <c r="F436" s="137">
        <v>10109</v>
      </c>
      <c r="G436" s="138">
        <v>18115498981</v>
      </c>
      <c r="H436" s="142">
        <v>21</v>
      </c>
      <c r="I436" s="142">
        <v>43</v>
      </c>
    </row>
    <row r="437" spans="1:9">
      <c r="A437" s="198">
        <v>45642</v>
      </c>
      <c r="B437" s="186">
        <f t="shared" si="5"/>
        <v>2024</v>
      </c>
      <c r="C437" s="186">
        <f t="shared" si="6"/>
        <v>12</v>
      </c>
      <c r="D437" s="140" t="s">
        <v>19</v>
      </c>
      <c r="E437" s="141">
        <v>13515</v>
      </c>
      <c r="F437" s="141">
        <v>9387</v>
      </c>
      <c r="G437" s="138">
        <v>16234276521</v>
      </c>
      <c r="H437" s="142">
        <v>20</v>
      </c>
      <c r="I437" s="142">
        <v>45</v>
      </c>
    </row>
    <row r="438" spans="1:9">
      <c r="A438" s="198">
        <v>45643</v>
      </c>
      <c r="B438" s="186">
        <f t="shared" si="5"/>
        <v>2024</v>
      </c>
      <c r="C438" s="186">
        <f t="shared" si="6"/>
        <v>12</v>
      </c>
      <c r="D438" s="145" t="s">
        <v>24</v>
      </c>
      <c r="E438" s="137">
        <v>5762</v>
      </c>
      <c r="F438" s="137">
        <v>3857</v>
      </c>
      <c r="G438" s="138">
        <v>7222094624</v>
      </c>
      <c r="H438" s="142">
        <v>23</v>
      </c>
      <c r="I438" s="142">
        <v>17</v>
      </c>
    </row>
    <row r="439" spans="1:9">
      <c r="A439" s="198">
        <v>45644</v>
      </c>
      <c r="B439" s="186">
        <f t="shared" si="5"/>
        <v>2024</v>
      </c>
      <c r="C439" s="186">
        <f t="shared" si="6"/>
        <v>12</v>
      </c>
      <c r="D439" s="146" t="s">
        <v>93</v>
      </c>
      <c r="E439" s="141">
        <v>3868</v>
      </c>
      <c r="F439" s="141">
        <v>2619</v>
      </c>
      <c r="G439" s="138">
        <v>4288025039</v>
      </c>
      <c r="H439" s="142">
        <v>23</v>
      </c>
      <c r="I439" s="142">
        <v>21</v>
      </c>
    </row>
    <row r="440" spans="1:9">
      <c r="A440" s="198">
        <v>45645</v>
      </c>
      <c r="B440" s="186">
        <f t="shared" si="5"/>
        <v>2024</v>
      </c>
      <c r="C440" s="186">
        <f t="shared" si="6"/>
        <v>12</v>
      </c>
      <c r="D440" s="147" t="s">
        <v>28</v>
      </c>
      <c r="E440" s="137">
        <v>2319</v>
      </c>
      <c r="F440" s="137">
        <v>1547</v>
      </c>
      <c r="G440" s="138">
        <v>2573938641</v>
      </c>
      <c r="H440" s="139">
        <v>22</v>
      </c>
      <c r="I440" s="139">
        <v>18</v>
      </c>
    </row>
    <row r="441" spans="1:9">
      <c r="A441" s="198">
        <v>45646</v>
      </c>
      <c r="B441" s="186">
        <f t="shared" si="5"/>
        <v>2024</v>
      </c>
      <c r="C441" s="186">
        <f t="shared" si="6"/>
        <v>12</v>
      </c>
      <c r="D441" s="148" t="s">
        <v>102</v>
      </c>
      <c r="E441" s="149">
        <v>518</v>
      </c>
      <c r="F441" s="141">
        <v>453</v>
      </c>
      <c r="G441" s="138">
        <v>633194545</v>
      </c>
      <c r="H441" s="142">
        <v>58</v>
      </c>
      <c r="I441" s="142">
        <v>57</v>
      </c>
    </row>
    <row r="442" spans="1:9">
      <c r="A442" s="198">
        <v>45647</v>
      </c>
      <c r="B442" s="186">
        <f t="shared" si="5"/>
        <v>2024</v>
      </c>
      <c r="C442" s="186">
        <f t="shared" si="6"/>
        <v>12</v>
      </c>
      <c r="D442" s="147" t="s">
        <v>23</v>
      </c>
      <c r="E442" s="150">
        <v>0</v>
      </c>
      <c r="F442" s="150">
        <v>0</v>
      </c>
      <c r="G442" s="137">
        <v>0</v>
      </c>
      <c r="H442" s="139">
        <v>0</v>
      </c>
      <c r="I442" s="139">
        <v>0</v>
      </c>
    </row>
    <row r="443" spans="1:9">
      <c r="A443" s="198">
        <v>45648</v>
      </c>
      <c r="B443" s="186">
        <f t="shared" si="5"/>
        <v>2024</v>
      </c>
      <c r="C443" s="186">
        <f t="shared" si="6"/>
        <v>12</v>
      </c>
      <c r="D443" s="146" t="s">
        <v>104</v>
      </c>
      <c r="E443" s="150">
        <v>0</v>
      </c>
      <c r="F443" s="150">
        <v>0</v>
      </c>
      <c r="G443" s="137">
        <v>0</v>
      </c>
      <c r="H443" s="139">
        <v>0</v>
      </c>
      <c r="I443" s="139">
        <v>0</v>
      </c>
    </row>
    <row r="444" spans="1:9">
      <c r="A444" s="198">
        <v>45649</v>
      </c>
      <c r="B444" s="186">
        <f t="shared" si="5"/>
        <v>2024</v>
      </c>
      <c r="C444" s="186">
        <f t="shared" si="6"/>
        <v>12</v>
      </c>
      <c r="D444" s="147" t="s">
        <v>26</v>
      </c>
      <c r="E444" s="150">
        <v>0</v>
      </c>
      <c r="F444" s="150">
        <v>0</v>
      </c>
      <c r="G444" s="137">
        <v>0</v>
      </c>
      <c r="H444" s="139">
        <v>0</v>
      </c>
      <c r="I444" s="139">
        <v>0</v>
      </c>
    </row>
    <row r="445" spans="1:9">
      <c r="A445" s="198">
        <v>45650</v>
      </c>
      <c r="B445" s="186">
        <f t="shared" si="5"/>
        <v>2024</v>
      </c>
      <c r="C445" s="186">
        <f t="shared" si="6"/>
        <v>12</v>
      </c>
      <c r="D445" s="148" t="s">
        <v>30</v>
      </c>
      <c r="E445" s="150">
        <v>0</v>
      </c>
      <c r="F445" s="150">
        <v>0</v>
      </c>
      <c r="G445" s="137">
        <v>0</v>
      </c>
      <c r="H445" s="139">
        <v>0</v>
      </c>
      <c r="I445" s="139">
        <v>0</v>
      </c>
    </row>
    <row r="446" spans="1:9">
      <c r="A446" s="198">
        <v>45651</v>
      </c>
      <c r="B446" s="186">
        <f t="shared" si="5"/>
        <v>2024</v>
      </c>
      <c r="C446" s="186">
        <f t="shared" si="6"/>
        <v>12</v>
      </c>
      <c r="D446" s="145" t="s">
        <v>105</v>
      </c>
      <c r="E446" s="150">
        <v>0</v>
      </c>
      <c r="F446" s="150">
        <v>0</v>
      </c>
      <c r="G446" s="137">
        <v>0</v>
      </c>
      <c r="H446" s="139">
        <v>0</v>
      </c>
      <c r="I446" s="139">
        <v>0</v>
      </c>
    </row>
    <row r="447" spans="1:9">
      <c r="A447" s="198">
        <v>45652</v>
      </c>
      <c r="B447" s="186">
        <f t="shared" si="5"/>
        <v>2024</v>
      </c>
      <c r="C447" s="186">
        <f t="shared" si="6"/>
        <v>12</v>
      </c>
      <c r="D447" s="146" t="s">
        <v>106</v>
      </c>
      <c r="E447" s="150">
        <v>0</v>
      </c>
      <c r="F447" s="150">
        <v>0</v>
      </c>
      <c r="G447" s="137">
        <v>0</v>
      </c>
      <c r="H447" s="139">
        <v>0</v>
      </c>
      <c r="I447" s="139">
        <v>0</v>
      </c>
    </row>
    <row r="448" spans="1:9">
      <c r="A448" s="199">
        <v>45658</v>
      </c>
      <c r="B448" s="186">
        <f t="shared" si="5"/>
        <v>2025</v>
      </c>
      <c r="C448" s="186">
        <f t="shared" si="6"/>
        <v>1</v>
      </c>
      <c r="D448" s="151" t="s">
        <v>105</v>
      </c>
      <c r="E448" s="152">
        <v>0</v>
      </c>
      <c r="F448" s="152">
        <v>0</v>
      </c>
      <c r="G448" s="152">
        <v>0</v>
      </c>
      <c r="H448" s="153">
        <v>0</v>
      </c>
      <c r="I448" s="153">
        <v>0</v>
      </c>
    </row>
    <row r="449" spans="1:9">
      <c r="A449" s="199">
        <v>45659</v>
      </c>
      <c r="B449" s="186">
        <f t="shared" si="5"/>
        <v>2025</v>
      </c>
      <c r="C449" s="186">
        <f t="shared" si="6"/>
        <v>1</v>
      </c>
      <c r="D449" s="151" t="s">
        <v>24</v>
      </c>
      <c r="E449" s="101">
        <v>437</v>
      </c>
      <c r="F449" s="101">
        <v>293</v>
      </c>
      <c r="G449" s="152">
        <v>610600926</v>
      </c>
      <c r="H449" s="154">
        <v>24</v>
      </c>
      <c r="I449" s="154">
        <v>10</v>
      </c>
    </row>
    <row r="450" spans="1:9">
      <c r="A450" s="199">
        <v>45660</v>
      </c>
      <c r="B450" s="186">
        <f t="shared" si="5"/>
        <v>2025</v>
      </c>
      <c r="C450" s="186">
        <f t="shared" si="6"/>
        <v>1</v>
      </c>
      <c r="D450" s="155" t="s">
        <v>28</v>
      </c>
      <c r="E450" s="101">
        <v>87</v>
      </c>
      <c r="F450" s="101">
        <v>83</v>
      </c>
      <c r="G450" s="152">
        <v>112103061</v>
      </c>
      <c r="H450" s="154">
        <v>27</v>
      </c>
      <c r="I450" s="154">
        <v>15</v>
      </c>
    </row>
    <row r="451" spans="1:9">
      <c r="A451" s="199">
        <v>45661</v>
      </c>
      <c r="B451" s="186">
        <f t="shared" si="5"/>
        <v>2025</v>
      </c>
      <c r="C451" s="186">
        <f t="shared" si="6"/>
        <v>1</v>
      </c>
      <c r="D451" s="151" t="s">
        <v>7</v>
      </c>
      <c r="E451" s="101">
        <v>24830</v>
      </c>
      <c r="F451" s="101">
        <v>14836</v>
      </c>
      <c r="G451" s="152">
        <v>30489971505</v>
      </c>
      <c r="H451" s="154">
        <v>24</v>
      </c>
      <c r="I451" s="154">
        <v>49</v>
      </c>
    </row>
    <row r="452" spans="1:9">
      <c r="A452" s="199">
        <v>45662</v>
      </c>
      <c r="B452" s="186">
        <f t="shared" si="5"/>
        <v>2025</v>
      </c>
      <c r="C452" s="186">
        <f t="shared" si="6"/>
        <v>1</v>
      </c>
      <c r="D452" s="151" t="s">
        <v>79</v>
      </c>
      <c r="E452" s="101">
        <v>13059</v>
      </c>
      <c r="F452" s="101">
        <v>8181</v>
      </c>
      <c r="G452" s="152">
        <v>16224612528</v>
      </c>
      <c r="H452" s="154">
        <v>26</v>
      </c>
      <c r="I452" s="154">
        <v>67</v>
      </c>
    </row>
    <row r="453" spans="1:9">
      <c r="A453" s="199">
        <v>45663</v>
      </c>
      <c r="B453" s="186">
        <f t="shared" si="5"/>
        <v>2025</v>
      </c>
      <c r="C453" s="186">
        <f t="shared" si="6"/>
        <v>1</v>
      </c>
      <c r="D453" s="151" t="s">
        <v>8</v>
      </c>
      <c r="E453" s="101">
        <v>14121</v>
      </c>
      <c r="F453" s="101">
        <v>8984</v>
      </c>
      <c r="G453" s="152">
        <v>17909297274</v>
      </c>
      <c r="H453" s="154">
        <v>23</v>
      </c>
      <c r="I453" s="154">
        <v>38</v>
      </c>
    </row>
    <row r="454" spans="1:9">
      <c r="A454" s="199">
        <v>45664</v>
      </c>
      <c r="B454" s="186">
        <f t="shared" si="5"/>
        <v>2025</v>
      </c>
      <c r="C454" s="186">
        <f t="shared" si="6"/>
        <v>1</v>
      </c>
      <c r="D454" s="155" t="s">
        <v>106</v>
      </c>
      <c r="E454" s="152">
        <v>0</v>
      </c>
      <c r="F454" s="152">
        <v>0</v>
      </c>
      <c r="G454" s="152">
        <v>0</v>
      </c>
      <c r="H454" s="153">
        <v>0</v>
      </c>
      <c r="I454" s="153">
        <v>0</v>
      </c>
    </row>
    <row r="455" spans="1:9">
      <c r="A455" s="199">
        <v>45665</v>
      </c>
      <c r="B455" s="186">
        <f t="shared" si="5"/>
        <v>2025</v>
      </c>
      <c r="C455" s="186">
        <f t="shared" si="6"/>
        <v>1</v>
      </c>
      <c r="D455" s="151" t="s">
        <v>20</v>
      </c>
      <c r="E455" s="101">
        <v>1146</v>
      </c>
      <c r="F455" s="101">
        <v>795</v>
      </c>
      <c r="G455" s="152">
        <v>1448309400</v>
      </c>
      <c r="H455" s="154">
        <v>34</v>
      </c>
      <c r="I455" s="154">
        <v>66</v>
      </c>
    </row>
    <row r="456" spans="1:9">
      <c r="A456" s="199">
        <v>45666</v>
      </c>
      <c r="B456" s="186">
        <f t="shared" si="5"/>
        <v>2025</v>
      </c>
      <c r="C456" s="186">
        <f t="shared" si="6"/>
        <v>1</v>
      </c>
      <c r="D456" s="151" t="s">
        <v>102</v>
      </c>
      <c r="E456" s="152">
        <v>0</v>
      </c>
      <c r="F456" s="152">
        <v>0</v>
      </c>
      <c r="G456" s="152">
        <v>0</v>
      </c>
      <c r="H456" s="153">
        <v>0</v>
      </c>
      <c r="I456" s="153">
        <v>0</v>
      </c>
    </row>
    <row r="457" spans="1:9">
      <c r="A457" s="199">
        <v>45667</v>
      </c>
      <c r="B457" s="186">
        <f t="shared" si="5"/>
        <v>2025</v>
      </c>
      <c r="C457" s="186">
        <f t="shared" si="6"/>
        <v>1</v>
      </c>
      <c r="D457" s="155" t="s">
        <v>104</v>
      </c>
      <c r="E457" s="152">
        <v>0</v>
      </c>
      <c r="F457" s="152">
        <v>0</v>
      </c>
      <c r="G457" s="152">
        <v>0</v>
      </c>
      <c r="H457" s="153">
        <v>0</v>
      </c>
      <c r="I457" s="153">
        <v>0</v>
      </c>
    </row>
    <row r="458" spans="1:9">
      <c r="A458" s="199">
        <v>45668</v>
      </c>
      <c r="B458" s="186">
        <f t="shared" si="5"/>
        <v>2025</v>
      </c>
      <c r="C458" s="186">
        <f t="shared" si="6"/>
        <v>1</v>
      </c>
      <c r="D458" s="151" t="s">
        <v>88</v>
      </c>
      <c r="E458" s="101">
        <v>2672</v>
      </c>
      <c r="F458" s="101">
        <v>1752</v>
      </c>
      <c r="G458" s="152">
        <v>3475561893</v>
      </c>
      <c r="H458" s="154">
        <v>19</v>
      </c>
      <c r="I458" s="154">
        <v>32</v>
      </c>
    </row>
    <row r="459" spans="1:9">
      <c r="A459" s="199">
        <v>45669</v>
      </c>
      <c r="B459" s="186">
        <f t="shared" si="5"/>
        <v>2025</v>
      </c>
      <c r="C459" s="186">
        <f t="shared" si="6"/>
        <v>1</v>
      </c>
      <c r="D459" s="151" t="s">
        <v>30</v>
      </c>
      <c r="E459" s="152">
        <v>0</v>
      </c>
      <c r="F459" s="152">
        <v>0</v>
      </c>
      <c r="G459" s="152">
        <v>0</v>
      </c>
      <c r="H459" s="153">
        <v>0</v>
      </c>
      <c r="I459" s="153">
        <v>0</v>
      </c>
    </row>
    <row r="460" spans="1:9">
      <c r="A460" s="199">
        <v>45670</v>
      </c>
      <c r="B460" s="186">
        <f t="shared" si="5"/>
        <v>2025</v>
      </c>
      <c r="C460" s="186">
        <f t="shared" si="6"/>
        <v>1</v>
      </c>
      <c r="D460" s="155" t="s">
        <v>93</v>
      </c>
      <c r="E460" s="101">
        <v>285</v>
      </c>
      <c r="F460" s="101">
        <v>244</v>
      </c>
      <c r="G460" s="152">
        <v>345970913</v>
      </c>
      <c r="H460" s="154">
        <v>17</v>
      </c>
      <c r="I460" s="154">
        <v>18</v>
      </c>
    </row>
    <row r="461" spans="1:9">
      <c r="A461" s="199">
        <v>45671</v>
      </c>
      <c r="B461" s="186">
        <f t="shared" si="5"/>
        <v>2025</v>
      </c>
      <c r="C461" s="186">
        <f t="shared" si="6"/>
        <v>1</v>
      </c>
      <c r="D461" s="151" t="s">
        <v>10</v>
      </c>
      <c r="E461" s="101">
        <v>7862</v>
      </c>
      <c r="F461" s="101">
        <v>4942</v>
      </c>
      <c r="G461" s="152">
        <v>9886120752</v>
      </c>
      <c r="H461" s="154">
        <v>24</v>
      </c>
      <c r="I461" s="154">
        <v>47</v>
      </c>
    </row>
    <row r="462" spans="1:9">
      <c r="A462" s="199">
        <v>45672</v>
      </c>
      <c r="B462" s="186">
        <f t="shared" si="5"/>
        <v>2025</v>
      </c>
      <c r="C462" s="186">
        <f t="shared" si="6"/>
        <v>1</v>
      </c>
      <c r="D462" s="151" t="s">
        <v>9</v>
      </c>
      <c r="E462" s="101">
        <v>13403</v>
      </c>
      <c r="F462" s="101">
        <v>8199</v>
      </c>
      <c r="G462" s="152">
        <v>16872604065</v>
      </c>
      <c r="H462" s="154">
        <v>25</v>
      </c>
      <c r="I462" s="154">
        <v>68</v>
      </c>
    </row>
    <row r="463" spans="1:9">
      <c r="A463" s="199">
        <v>45673</v>
      </c>
      <c r="B463" s="186">
        <f t="shared" si="5"/>
        <v>2025</v>
      </c>
      <c r="C463" s="186">
        <f t="shared" si="6"/>
        <v>1</v>
      </c>
      <c r="D463" s="155" t="s">
        <v>101</v>
      </c>
      <c r="E463" s="101">
        <v>1237</v>
      </c>
      <c r="F463" s="101">
        <v>793</v>
      </c>
      <c r="G463" s="152">
        <v>1516139195</v>
      </c>
      <c r="H463" s="154">
        <v>25</v>
      </c>
      <c r="I463" s="154">
        <v>58</v>
      </c>
    </row>
    <row r="464" spans="1:9">
      <c r="A464" s="199">
        <v>45674</v>
      </c>
      <c r="B464" s="186">
        <f t="shared" si="5"/>
        <v>2025</v>
      </c>
      <c r="C464" s="186">
        <f t="shared" si="6"/>
        <v>1</v>
      </c>
      <c r="D464" s="155" t="s">
        <v>11</v>
      </c>
      <c r="E464" s="101">
        <v>2198</v>
      </c>
      <c r="F464" s="101">
        <v>1399</v>
      </c>
      <c r="G464" s="152">
        <v>2785069457</v>
      </c>
      <c r="H464" s="154">
        <v>22</v>
      </c>
      <c r="I464" s="154">
        <v>39</v>
      </c>
    </row>
    <row r="465" spans="1:9">
      <c r="A465" s="199">
        <v>45675</v>
      </c>
      <c r="B465" s="186">
        <f t="shared" si="5"/>
        <v>2025</v>
      </c>
      <c r="C465" s="186">
        <f t="shared" si="6"/>
        <v>1</v>
      </c>
      <c r="D465" s="151" t="s">
        <v>91</v>
      </c>
      <c r="E465" s="101">
        <v>2710</v>
      </c>
      <c r="F465" s="101">
        <v>1708</v>
      </c>
      <c r="G465" s="152">
        <v>3456437276</v>
      </c>
      <c r="H465" s="154">
        <v>18</v>
      </c>
      <c r="I465" s="154">
        <v>55</v>
      </c>
    </row>
    <row r="466" spans="1:9">
      <c r="A466" s="199">
        <v>45676</v>
      </c>
      <c r="B466" s="186">
        <f t="shared" si="5"/>
        <v>2025</v>
      </c>
      <c r="C466" s="186">
        <f t="shared" si="6"/>
        <v>1</v>
      </c>
      <c r="D466" s="155" t="s">
        <v>23</v>
      </c>
      <c r="E466" s="152">
        <v>0</v>
      </c>
      <c r="F466" s="152">
        <v>0</v>
      </c>
      <c r="G466" s="152">
        <v>0</v>
      </c>
      <c r="H466" s="153">
        <v>0</v>
      </c>
      <c r="I466" s="153">
        <v>0</v>
      </c>
    </row>
    <row r="467" spans="1:9">
      <c r="A467" s="199">
        <v>45677</v>
      </c>
      <c r="B467" s="186">
        <f t="shared" si="5"/>
        <v>2025</v>
      </c>
      <c r="C467" s="186">
        <f t="shared" si="6"/>
        <v>1</v>
      </c>
      <c r="D467" s="151" t="s">
        <v>15</v>
      </c>
      <c r="E467" s="101">
        <v>1257</v>
      </c>
      <c r="F467" s="104">
        <v>740</v>
      </c>
      <c r="G467" s="152">
        <v>1597745063</v>
      </c>
      <c r="H467" s="154">
        <v>14</v>
      </c>
      <c r="I467" s="154">
        <v>26</v>
      </c>
    </row>
    <row r="468" spans="1:9">
      <c r="A468" s="199">
        <v>45678</v>
      </c>
      <c r="B468" s="186">
        <f t="shared" si="5"/>
        <v>2025</v>
      </c>
      <c r="C468" s="186">
        <f t="shared" si="6"/>
        <v>1</v>
      </c>
      <c r="D468" s="151" t="s">
        <v>84</v>
      </c>
      <c r="E468" s="101">
        <v>3938</v>
      </c>
      <c r="F468" s="101">
        <v>2549</v>
      </c>
      <c r="G468" s="152">
        <v>5144377744</v>
      </c>
      <c r="H468" s="154">
        <v>28</v>
      </c>
      <c r="I468" s="154">
        <v>38</v>
      </c>
    </row>
    <row r="469" spans="1:9">
      <c r="A469" s="199">
        <v>45679</v>
      </c>
      <c r="B469" s="186">
        <f t="shared" si="5"/>
        <v>2025</v>
      </c>
      <c r="C469" s="186">
        <f t="shared" si="6"/>
        <v>1</v>
      </c>
      <c r="D469" s="151" t="s">
        <v>22</v>
      </c>
      <c r="E469" s="101">
        <v>16612</v>
      </c>
      <c r="F469" s="101">
        <v>11112</v>
      </c>
      <c r="G469" s="152">
        <v>21124299391</v>
      </c>
      <c r="H469" s="154">
        <v>29</v>
      </c>
      <c r="I469" s="154">
        <v>63</v>
      </c>
    </row>
    <row r="470" spans="1:9">
      <c r="A470" s="199">
        <v>45680</v>
      </c>
      <c r="B470" s="186">
        <f t="shared" si="5"/>
        <v>2025</v>
      </c>
      <c r="C470" s="186">
        <f t="shared" si="6"/>
        <v>1</v>
      </c>
      <c r="D470" s="155" t="s">
        <v>32</v>
      </c>
      <c r="E470" s="104">
        <v>889</v>
      </c>
      <c r="F470" s="104">
        <v>566</v>
      </c>
      <c r="G470" s="152">
        <v>1111047323</v>
      </c>
      <c r="H470" s="154">
        <v>21</v>
      </c>
      <c r="I470" s="154">
        <v>31</v>
      </c>
    </row>
    <row r="471" spans="1:9">
      <c r="A471" s="199">
        <v>45681</v>
      </c>
      <c r="B471" s="186">
        <f t="shared" si="5"/>
        <v>2025</v>
      </c>
      <c r="C471" s="186">
        <f t="shared" si="6"/>
        <v>1</v>
      </c>
      <c r="D471" s="151" t="s">
        <v>12</v>
      </c>
      <c r="E471" s="101">
        <v>6100</v>
      </c>
      <c r="F471" s="101">
        <v>3858</v>
      </c>
      <c r="G471" s="152">
        <v>8109484957</v>
      </c>
      <c r="H471" s="154">
        <v>22</v>
      </c>
      <c r="I471" s="154">
        <v>34</v>
      </c>
    </row>
    <row r="472" spans="1:9">
      <c r="A472" s="199">
        <v>45682</v>
      </c>
      <c r="B472" s="186">
        <f t="shared" si="5"/>
        <v>2025</v>
      </c>
      <c r="C472" s="186">
        <f t="shared" si="6"/>
        <v>1</v>
      </c>
      <c r="D472" s="155" t="s">
        <v>26</v>
      </c>
      <c r="E472" s="152">
        <v>0</v>
      </c>
      <c r="F472" s="152">
        <v>0</v>
      </c>
      <c r="G472" s="152">
        <v>0</v>
      </c>
      <c r="H472" s="153">
        <v>0</v>
      </c>
      <c r="I472" s="153">
        <v>0</v>
      </c>
    </row>
    <row r="473" spans="1:9">
      <c r="A473" s="199">
        <v>45683</v>
      </c>
      <c r="B473" s="186">
        <f t="shared" si="5"/>
        <v>2025</v>
      </c>
      <c r="C473" s="186">
        <f t="shared" si="6"/>
        <v>1</v>
      </c>
      <c r="D473" s="151" t="s">
        <v>19</v>
      </c>
      <c r="E473" s="101">
        <v>2189</v>
      </c>
      <c r="F473" s="101">
        <v>1553</v>
      </c>
      <c r="G473" s="152">
        <v>2787132458</v>
      </c>
      <c r="H473" s="154">
        <v>20</v>
      </c>
      <c r="I473" s="154">
        <v>41</v>
      </c>
    </row>
    <row r="474" spans="1:9">
      <c r="A474" s="199">
        <v>45714</v>
      </c>
      <c r="B474" s="186">
        <f t="shared" si="5"/>
        <v>2025</v>
      </c>
      <c r="C474" s="186">
        <f t="shared" si="6"/>
        <v>2</v>
      </c>
      <c r="D474" s="136" t="s">
        <v>22</v>
      </c>
      <c r="E474" s="156">
        <v>46959</v>
      </c>
      <c r="F474" s="156">
        <v>31185</v>
      </c>
      <c r="G474" s="157">
        <v>59095243626</v>
      </c>
      <c r="H474" s="158">
        <v>28</v>
      </c>
      <c r="I474" s="158">
        <v>63</v>
      </c>
    </row>
    <row r="475" spans="1:9">
      <c r="A475" s="199">
        <v>45714</v>
      </c>
      <c r="B475" s="186">
        <f t="shared" si="5"/>
        <v>2025</v>
      </c>
      <c r="C475" s="186">
        <f t="shared" si="6"/>
        <v>2</v>
      </c>
      <c r="D475" s="140" t="s">
        <v>7</v>
      </c>
      <c r="E475" s="159">
        <v>43125</v>
      </c>
      <c r="F475" s="159">
        <v>25889</v>
      </c>
      <c r="G475" s="157">
        <v>53254815984</v>
      </c>
      <c r="H475" s="160">
        <v>23</v>
      </c>
      <c r="I475" s="160">
        <v>49</v>
      </c>
    </row>
    <row r="476" spans="1:9">
      <c r="A476" s="199">
        <v>45714</v>
      </c>
      <c r="B476" s="186">
        <f t="shared" si="5"/>
        <v>2025</v>
      </c>
      <c r="C476" s="186">
        <f t="shared" si="6"/>
        <v>2</v>
      </c>
      <c r="D476" s="136" t="s">
        <v>9</v>
      </c>
      <c r="E476" s="156">
        <v>28755</v>
      </c>
      <c r="F476" s="156">
        <v>17969</v>
      </c>
      <c r="G476" s="157">
        <v>36378375301</v>
      </c>
      <c r="H476" s="158">
        <v>26</v>
      </c>
      <c r="I476" s="158">
        <v>68</v>
      </c>
    </row>
    <row r="477" spans="1:9">
      <c r="A477" s="199">
        <v>45714</v>
      </c>
      <c r="B477" s="186">
        <f t="shared" si="5"/>
        <v>2025</v>
      </c>
      <c r="C477" s="186">
        <f t="shared" si="6"/>
        <v>2</v>
      </c>
      <c r="D477" s="140" t="s">
        <v>8</v>
      </c>
      <c r="E477" s="159">
        <v>27834</v>
      </c>
      <c r="F477" s="159">
        <v>17521</v>
      </c>
      <c r="G477" s="157">
        <v>35223920014</v>
      </c>
      <c r="H477" s="158">
        <v>25</v>
      </c>
      <c r="I477" s="158">
        <v>38</v>
      </c>
    </row>
    <row r="478" spans="1:9">
      <c r="A478" s="199">
        <v>45714</v>
      </c>
      <c r="B478" s="186">
        <f t="shared" si="5"/>
        <v>2025</v>
      </c>
      <c r="C478" s="186">
        <f t="shared" si="6"/>
        <v>2</v>
      </c>
      <c r="D478" s="136" t="s">
        <v>79</v>
      </c>
      <c r="E478" s="156">
        <v>22448</v>
      </c>
      <c r="F478" s="156">
        <v>14118</v>
      </c>
      <c r="G478" s="157">
        <v>27971876784</v>
      </c>
      <c r="H478" s="158">
        <v>27</v>
      </c>
      <c r="I478" s="158">
        <v>67</v>
      </c>
    </row>
    <row r="479" spans="1:9">
      <c r="A479" s="199">
        <v>45714</v>
      </c>
      <c r="B479" s="186">
        <f t="shared" si="5"/>
        <v>2025</v>
      </c>
      <c r="C479" s="186">
        <f t="shared" si="6"/>
        <v>2</v>
      </c>
      <c r="D479" s="140" t="s">
        <v>10</v>
      </c>
      <c r="E479" s="159">
        <v>18609</v>
      </c>
      <c r="F479" s="159">
        <v>11839</v>
      </c>
      <c r="G479" s="157">
        <v>23130752665</v>
      </c>
      <c r="H479" s="158">
        <v>24</v>
      </c>
      <c r="I479" s="158">
        <v>47</v>
      </c>
    </row>
    <row r="480" spans="1:9">
      <c r="A480" s="199">
        <v>45714</v>
      </c>
      <c r="B480" s="186">
        <f t="shared" si="5"/>
        <v>2025</v>
      </c>
      <c r="C480" s="186">
        <f t="shared" si="6"/>
        <v>2</v>
      </c>
      <c r="D480" s="136" t="s">
        <v>12</v>
      </c>
      <c r="E480" s="156">
        <v>9396</v>
      </c>
      <c r="F480" s="156">
        <v>5970</v>
      </c>
      <c r="G480" s="157">
        <v>12430742267</v>
      </c>
      <c r="H480" s="158">
        <v>21</v>
      </c>
      <c r="I480" s="158">
        <v>34</v>
      </c>
    </row>
    <row r="481" spans="1:9">
      <c r="A481" s="199">
        <v>45714</v>
      </c>
      <c r="B481" s="186">
        <f t="shared" si="5"/>
        <v>2025</v>
      </c>
      <c r="C481" s="186">
        <f t="shared" si="6"/>
        <v>2</v>
      </c>
      <c r="D481" s="140" t="s">
        <v>84</v>
      </c>
      <c r="E481" s="159">
        <v>7272</v>
      </c>
      <c r="F481" s="159">
        <v>4670</v>
      </c>
      <c r="G481" s="157">
        <v>9479673348</v>
      </c>
      <c r="H481" s="158">
        <v>24</v>
      </c>
      <c r="I481" s="158">
        <v>38</v>
      </c>
    </row>
    <row r="482" spans="1:9">
      <c r="A482" s="199">
        <v>45714</v>
      </c>
      <c r="B482" s="186">
        <f t="shared" si="5"/>
        <v>2025</v>
      </c>
      <c r="C482" s="186">
        <f t="shared" si="6"/>
        <v>2</v>
      </c>
      <c r="D482" s="161" t="s">
        <v>91</v>
      </c>
      <c r="E482" s="156">
        <v>7122</v>
      </c>
      <c r="F482" s="156">
        <v>4553</v>
      </c>
      <c r="G482" s="157">
        <v>8946605307</v>
      </c>
      <c r="H482" s="158">
        <v>23</v>
      </c>
      <c r="I482" s="158">
        <v>55</v>
      </c>
    </row>
    <row r="483" spans="1:9">
      <c r="A483" s="199">
        <v>45714</v>
      </c>
      <c r="B483" s="186">
        <f t="shared" si="5"/>
        <v>2025</v>
      </c>
      <c r="C483" s="186">
        <f t="shared" si="6"/>
        <v>2</v>
      </c>
      <c r="D483" s="162" t="s">
        <v>88</v>
      </c>
      <c r="E483" s="159">
        <v>4436</v>
      </c>
      <c r="F483" s="159">
        <v>3100</v>
      </c>
      <c r="G483" s="157">
        <v>5908800641</v>
      </c>
      <c r="H483" s="158">
        <v>22</v>
      </c>
      <c r="I483" s="158">
        <v>32</v>
      </c>
    </row>
    <row r="484" spans="1:9">
      <c r="A484" s="199">
        <v>45714</v>
      </c>
      <c r="B484" s="186">
        <f t="shared" si="5"/>
        <v>2025</v>
      </c>
      <c r="C484" s="186">
        <f t="shared" si="6"/>
        <v>2</v>
      </c>
      <c r="D484" s="163" t="s">
        <v>11</v>
      </c>
      <c r="E484" s="156">
        <v>3915</v>
      </c>
      <c r="F484" s="156">
        <v>2531</v>
      </c>
      <c r="G484" s="157">
        <v>5013177572</v>
      </c>
      <c r="H484" s="158">
        <v>21</v>
      </c>
      <c r="I484" s="158">
        <v>39</v>
      </c>
    </row>
    <row r="485" spans="1:9">
      <c r="A485" s="199">
        <v>45714</v>
      </c>
      <c r="B485" s="186">
        <f t="shared" si="5"/>
        <v>2025</v>
      </c>
      <c r="C485" s="186">
        <f t="shared" si="6"/>
        <v>2</v>
      </c>
      <c r="D485" s="162" t="s">
        <v>19</v>
      </c>
      <c r="E485" s="159">
        <v>3411</v>
      </c>
      <c r="F485" s="159">
        <v>2418</v>
      </c>
      <c r="G485" s="157">
        <v>4340978276</v>
      </c>
      <c r="H485" s="158">
        <v>20</v>
      </c>
      <c r="I485" s="158">
        <v>41</v>
      </c>
    </row>
    <row r="486" spans="1:9">
      <c r="A486" s="199">
        <v>45714</v>
      </c>
      <c r="B486" s="186">
        <f t="shared" si="5"/>
        <v>2025</v>
      </c>
      <c r="C486" s="186">
        <f t="shared" si="6"/>
        <v>2</v>
      </c>
      <c r="D486" s="163" t="s">
        <v>101</v>
      </c>
      <c r="E486" s="156">
        <v>2761</v>
      </c>
      <c r="F486" s="156">
        <v>1823</v>
      </c>
      <c r="G486" s="157">
        <v>3505496314</v>
      </c>
      <c r="H486" s="158">
        <v>22</v>
      </c>
      <c r="I486" s="158">
        <v>58</v>
      </c>
    </row>
    <row r="487" spans="1:9">
      <c r="A487" s="199">
        <v>45714</v>
      </c>
      <c r="B487" s="186">
        <f t="shared" si="5"/>
        <v>2025</v>
      </c>
      <c r="C487" s="186">
        <f t="shared" si="6"/>
        <v>2</v>
      </c>
      <c r="D487" s="162" t="s">
        <v>20</v>
      </c>
      <c r="E487" s="159">
        <v>2572</v>
      </c>
      <c r="F487" s="159">
        <v>1841</v>
      </c>
      <c r="G487" s="157">
        <v>3354326661</v>
      </c>
      <c r="H487" s="158">
        <v>28</v>
      </c>
      <c r="I487" s="158">
        <v>66</v>
      </c>
    </row>
    <row r="488" spans="1:9">
      <c r="A488" s="199">
        <v>45714</v>
      </c>
      <c r="B488" s="186">
        <f t="shared" si="5"/>
        <v>2025</v>
      </c>
      <c r="C488" s="186">
        <f t="shared" si="6"/>
        <v>2</v>
      </c>
      <c r="D488" s="161" t="s">
        <v>24</v>
      </c>
      <c r="E488" s="156">
        <v>1610</v>
      </c>
      <c r="F488" s="156">
        <v>1069</v>
      </c>
      <c r="G488" s="157">
        <v>2218344984</v>
      </c>
      <c r="H488" s="158">
        <v>24</v>
      </c>
      <c r="I488" s="158">
        <v>10</v>
      </c>
    </row>
    <row r="489" spans="1:9">
      <c r="A489" s="199">
        <v>45714</v>
      </c>
      <c r="B489" s="186">
        <f t="shared" si="5"/>
        <v>2025</v>
      </c>
      <c r="C489" s="186">
        <f t="shared" si="6"/>
        <v>2</v>
      </c>
      <c r="D489" s="140" t="s">
        <v>15</v>
      </c>
      <c r="E489" s="159">
        <v>1257</v>
      </c>
      <c r="F489" s="160">
        <v>740</v>
      </c>
      <c r="G489" s="157">
        <v>1597745063</v>
      </c>
      <c r="H489" s="158">
        <v>14</v>
      </c>
      <c r="I489" s="158">
        <v>26</v>
      </c>
    </row>
    <row r="490" spans="1:9">
      <c r="A490" s="199">
        <v>45714</v>
      </c>
      <c r="B490" s="186">
        <f t="shared" si="5"/>
        <v>2025</v>
      </c>
      <c r="C490" s="186">
        <f t="shared" si="6"/>
        <v>2</v>
      </c>
      <c r="D490" s="164" t="s">
        <v>32</v>
      </c>
      <c r="E490" s="165">
        <v>889</v>
      </c>
      <c r="F490" s="165">
        <v>566</v>
      </c>
      <c r="G490" s="157">
        <v>1111047323</v>
      </c>
      <c r="H490" s="158">
        <v>21</v>
      </c>
      <c r="I490" s="158">
        <v>31</v>
      </c>
    </row>
    <row r="491" spans="1:9">
      <c r="A491" s="199">
        <v>45714</v>
      </c>
      <c r="B491" s="186">
        <f t="shared" si="5"/>
        <v>2025</v>
      </c>
      <c r="C491" s="186">
        <f t="shared" si="6"/>
        <v>2</v>
      </c>
      <c r="D491" s="166" t="s">
        <v>93</v>
      </c>
      <c r="E491" s="160">
        <v>428</v>
      </c>
      <c r="F491" s="160">
        <v>354</v>
      </c>
      <c r="G491" s="157">
        <v>532167764</v>
      </c>
      <c r="H491" s="158">
        <v>21</v>
      </c>
      <c r="I491" s="158">
        <v>18</v>
      </c>
    </row>
    <row r="492" spans="1:9">
      <c r="A492" s="199">
        <v>45714</v>
      </c>
      <c r="B492" s="186">
        <f t="shared" si="5"/>
        <v>2025</v>
      </c>
      <c r="C492" s="186">
        <f t="shared" si="6"/>
        <v>2</v>
      </c>
      <c r="D492" s="164" t="s">
        <v>28</v>
      </c>
      <c r="E492" s="165">
        <v>393</v>
      </c>
      <c r="F492" s="165">
        <v>339</v>
      </c>
      <c r="G492" s="157">
        <v>532246811</v>
      </c>
      <c r="H492" s="158">
        <v>24</v>
      </c>
      <c r="I492" s="158">
        <v>15</v>
      </c>
    </row>
    <row r="493" spans="1:9">
      <c r="A493" s="199">
        <v>45715</v>
      </c>
      <c r="B493" s="186">
        <f t="shared" si="5"/>
        <v>2025</v>
      </c>
      <c r="C493" s="186">
        <f t="shared" si="6"/>
        <v>2</v>
      </c>
      <c r="D493" s="148" t="s">
        <v>102</v>
      </c>
      <c r="E493" s="11">
        <v>0</v>
      </c>
      <c r="F493" s="11">
        <v>0</v>
      </c>
      <c r="G493" s="76">
        <v>0</v>
      </c>
      <c r="H493" s="11">
        <v>0</v>
      </c>
      <c r="I493" s="11">
        <v>0</v>
      </c>
    </row>
    <row r="494" spans="1:9">
      <c r="A494" s="199">
        <v>45716</v>
      </c>
      <c r="B494" s="186">
        <f t="shared" si="5"/>
        <v>2025</v>
      </c>
      <c r="C494" s="186">
        <f t="shared" si="6"/>
        <v>2</v>
      </c>
      <c r="D494" s="164" t="s">
        <v>23</v>
      </c>
      <c r="E494" s="11">
        <v>0</v>
      </c>
      <c r="F494" s="11">
        <v>0</v>
      </c>
      <c r="G494" s="76">
        <v>0</v>
      </c>
      <c r="H494" s="11">
        <v>0</v>
      </c>
      <c r="I494" s="11">
        <v>0</v>
      </c>
    </row>
    <row r="495" spans="1:9">
      <c r="A495" s="199">
        <v>45716</v>
      </c>
      <c r="B495" s="186">
        <f t="shared" si="5"/>
        <v>2025</v>
      </c>
      <c r="C495" s="186">
        <f t="shared" si="6"/>
        <v>2</v>
      </c>
      <c r="D495" s="166" t="s">
        <v>104</v>
      </c>
      <c r="E495" s="11">
        <v>0</v>
      </c>
      <c r="F495" s="11">
        <v>0</v>
      </c>
      <c r="G495" s="76">
        <v>0</v>
      </c>
      <c r="H495" s="11">
        <v>0</v>
      </c>
      <c r="I495" s="11">
        <v>0</v>
      </c>
    </row>
    <row r="496" spans="1:9">
      <c r="A496" s="199">
        <v>45716</v>
      </c>
      <c r="B496" s="186">
        <f t="shared" si="5"/>
        <v>2025</v>
      </c>
      <c r="C496" s="186">
        <f t="shared" si="6"/>
        <v>2</v>
      </c>
      <c r="D496" s="164" t="s">
        <v>26</v>
      </c>
      <c r="E496" s="11">
        <v>0</v>
      </c>
      <c r="F496" s="11">
        <v>0</v>
      </c>
      <c r="G496" s="76">
        <v>0</v>
      </c>
      <c r="H496" s="11">
        <v>0</v>
      </c>
      <c r="I496" s="11">
        <v>0</v>
      </c>
    </row>
    <row r="497" spans="1:9">
      <c r="A497" s="199">
        <v>45716</v>
      </c>
      <c r="B497" s="186">
        <f t="shared" si="5"/>
        <v>2025</v>
      </c>
      <c r="C497" s="186">
        <f t="shared" si="6"/>
        <v>2</v>
      </c>
      <c r="D497" s="148" t="s">
        <v>30</v>
      </c>
      <c r="E497" s="11">
        <v>0</v>
      </c>
      <c r="F497" s="11">
        <v>0</v>
      </c>
      <c r="G497" s="76">
        <v>0</v>
      </c>
      <c r="H497" s="11">
        <v>0</v>
      </c>
      <c r="I497" s="11">
        <v>0</v>
      </c>
    </row>
    <row r="498" spans="1:9">
      <c r="A498" s="199">
        <v>45716</v>
      </c>
      <c r="B498" s="186">
        <f t="shared" si="5"/>
        <v>2025</v>
      </c>
      <c r="C498" s="186">
        <f t="shared" si="6"/>
        <v>2</v>
      </c>
      <c r="D498" s="145" t="s">
        <v>105</v>
      </c>
      <c r="E498" s="11">
        <v>0</v>
      </c>
      <c r="F498" s="11">
        <v>0</v>
      </c>
      <c r="G498" s="76">
        <v>0</v>
      </c>
      <c r="H498" s="11">
        <v>0</v>
      </c>
      <c r="I498" s="11">
        <v>0</v>
      </c>
    </row>
    <row r="499" spans="1:9">
      <c r="A499" s="199">
        <v>45716</v>
      </c>
      <c r="B499" s="186">
        <f t="shared" si="5"/>
        <v>2025</v>
      </c>
      <c r="C499" s="186">
        <f t="shared" si="6"/>
        <v>2</v>
      </c>
      <c r="D499" s="166" t="s">
        <v>106</v>
      </c>
      <c r="E499" s="11">
        <v>0</v>
      </c>
      <c r="F499" s="11">
        <v>0</v>
      </c>
      <c r="G499" s="76">
        <v>0</v>
      </c>
      <c r="H499" s="11">
        <v>0</v>
      </c>
      <c r="I499" s="11">
        <v>0</v>
      </c>
    </row>
    <row r="500" spans="1:9">
      <c r="A500" s="199">
        <v>45742</v>
      </c>
      <c r="B500" s="186">
        <f t="shared" si="5"/>
        <v>2025</v>
      </c>
      <c r="C500" s="186">
        <f t="shared" si="6"/>
        <v>3</v>
      </c>
      <c r="D500" s="151" t="s">
        <v>7</v>
      </c>
      <c r="E500" s="101">
        <v>65.123999999999995</v>
      </c>
      <c r="F500" s="101">
        <v>39.398000000000003</v>
      </c>
      <c r="G500" s="167">
        <v>81900467113</v>
      </c>
      <c r="H500" s="154">
        <v>23</v>
      </c>
      <c r="I500" s="154">
        <v>47</v>
      </c>
    </row>
    <row r="501" spans="1:9">
      <c r="A501" s="199">
        <v>45742</v>
      </c>
      <c r="B501" s="186">
        <f t="shared" si="5"/>
        <v>2025</v>
      </c>
      <c r="C501" s="186">
        <f t="shared" si="6"/>
        <v>3</v>
      </c>
      <c r="D501" s="151" t="s">
        <v>22</v>
      </c>
      <c r="E501" s="101">
        <v>63.448999999999998</v>
      </c>
      <c r="F501" s="101">
        <v>42.223999999999997</v>
      </c>
      <c r="G501" s="167">
        <v>79920236351</v>
      </c>
      <c r="H501" s="154">
        <v>28</v>
      </c>
      <c r="I501" s="154">
        <v>61</v>
      </c>
    </row>
    <row r="502" spans="1:9">
      <c r="A502" s="199">
        <v>45742</v>
      </c>
      <c r="B502" s="186">
        <f t="shared" si="5"/>
        <v>2025</v>
      </c>
      <c r="C502" s="186">
        <f t="shared" si="6"/>
        <v>3</v>
      </c>
      <c r="D502" s="151" t="s">
        <v>9</v>
      </c>
      <c r="E502" s="101">
        <v>49.466000000000001</v>
      </c>
      <c r="F502" s="101">
        <v>31.457999999999998</v>
      </c>
      <c r="G502" s="167">
        <v>63630382416</v>
      </c>
      <c r="H502" s="154">
        <v>26</v>
      </c>
      <c r="I502" s="154">
        <v>60</v>
      </c>
    </row>
    <row r="503" spans="1:9">
      <c r="A503" s="199">
        <v>45742</v>
      </c>
      <c r="B503" s="186">
        <f t="shared" si="5"/>
        <v>2025</v>
      </c>
      <c r="C503" s="186">
        <f t="shared" si="6"/>
        <v>3</v>
      </c>
      <c r="D503" s="151" t="s">
        <v>8</v>
      </c>
      <c r="E503" s="101">
        <v>42.968000000000004</v>
      </c>
      <c r="F503" s="101">
        <v>26.943000000000001</v>
      </c>
      <c r="G503" s="167">
        <v>54567768181</v>
      </c>
      <c r="H503" s="154">
        <v>24</v>
      </c>
      <c r="I503" s="154">
        <v>38</v>
      </c>
    </row>
    <row r="504" spans="1:9">
      <c r="A504" s="199">
        <v>45742</v>
      </c>
      <c r="B504" s="186">
        <f t="shared" si="5"/>
        <v>2025</v>
      </c>
      <c r="C504" s="186">
        <f t="shared" si="6"/>
        <v>3</v>
      </c>
      <c r="D504" s="151" t="s">
        <v>10</v>
      </c>
      <c r="E504" s="101">
        <v>34.247</v>
      </c>
      <c r="F504" s="101">
        <v>21.975000000000001</v>
      </c>
      <c r="G504" s="167">
        <v>42206962776</v>
      </c>
      <c r="H504" s="154">
        <v>25</v>
      </c>
      <c r="I504" s="154">
        <v>49</v>
      </c>
    </row>
    <row r="505" spans="1:9">
      <c r="A505" s="199">
        <v>45742</v>
      </c>
      <c r="B505" s="186">
        <f t="shared" si="5"/>
        <v>2025</v>
      </c>
      <c r="C505" s="186">
        <f t="shared" si="6"/>
        <v>3</v>
      </c>
      <c r="D505" s="151" t="s">
        <v>79</v>
      </c>
      <c r="E505" s="101">
        <v>31.81</v>
      </c>
      <c r="F505" s="101">
        <v>20.059999999999999</v>
      </c>
      <c r="G505" s="167">
        <v>39761914513</v>
      </c>
      <c r="H505" s="154">
        <v>28</v>
      </c>
      <c r="I505" s="154">
        <v>65</v>
      </c>
    </row>
    <row r="506" spans="1:9">
      <c r="A506" s="199">
        <v>45742</v>
      </c>
      <c r="B506" s="186">
        <f t="shared" si="5"/>
        <v>2025</v>
      </c>
      <c r="C506" s="186">
        <f t="shared" si="6"/>
        <v>3</v>
      </c>
      <c r="D506" s="151" t="s">
        <v>12</v>
      </c>
      <c r="E506" s="101">
        <v>16.331</v>
      </c>
      <c r="F506" s="101">
        <v>10.411</v>
      </c>
      <c r="G506" s="167">
        <v>21602281953</v>
      </c>
      <c r="H506" s="154">
        <v>20</v>
      </c>
      <c r="I506" s="154">
        <v>37</v>
      </c>
    </row>
    <row r="507" spans="1:9">
      <c r="A507" s="199">
        <v>45742</v>
      </c>
      <c r="B507" s="186">
        <f t="shared" si="5"/>
        <v>2025</v>
      </c>
      <c r="C507" s="186">
        <f t="shared" si="6"/>
        <v>3</v>
      </c>
      <c r="D507" s="151" t="s">
        <v>84</v>
      </c>
      <c r="E507" s="101">
        <v>11.673</v>
      </c>
      <c r="F507" s="101">
        <v>7.48</v>
      </c>
      <c r="G507" s="167">
        <v>15415423484</v>
      </c>
      <c r="H507" s="154">
        <v>23</v>
      </c>
      <c r="I507" s="154">
        <v>36</v>
      </c>
    </row>
    <row r="508" spans="1:9">
      <c r="A508" s="199">
        <v>45742</v>
      </c>
      <c r="B508" s="186">
        <f t="shared" si="5"/>
        <v>2025</v>
      </c>
      <c r="C508" s="186">
        <f t="shared" si="6"/>
        <v>3</v>
      </c>
      <c r="D508" s="151" t="s">
        <v>91</v>
      </c>
      <c r="E508" s="101">
        <v>10.374000000000001</v>
      </c>
      <c r="F508" s="101">
        <v>6.6440000000000001</v>
      </c>
      <c r="G508" s="167">
        <v>13069908833</v>
      </c>
      <c r="H508" s="154">
        <v>24</v>
      </c>
      <c r="I508" s="154">
        <v>52</v>
      </c>
    </row>
    <row r="509" spans="1:9">
      <c r="A509" s="199">
        <v>45742</v>
      </c>
      <c r="B509" s="186">
        <f t="shared" si="5"/>
        <v>2025</v>
      </c>
      <c r="C509" s="186">
        <f t="shared" si="6"/>
        <v>3</v>
      </c>
      <c r="D509" s="151" t="s">
        <v>88</v>
      </c>
      <c r="E509" s="101">
        <v>6.6219999999999999</v>
      </c>
      <c r="F509" s="101">
        <v>4.657</v>
      </c>
      <c r="G509" s="167">
        <v>8903759822</v>
      </c>
      <c r="H509" s="154">
        <v>21</v>
      </c>
      <c r="I509" s="154">
        <v>31</v>
      </c>
    </row>
    <row r="510" spans="1:9">
      <c r="A510" s="199">
        <v>45742</v>
      </c>
      <c r="B510" s="186">
        <f t="shared" si="5"/>
        <v>2025</v>
      </c>
      <c r="C510" s="186">
        <f t="shared" si="6"/>
        <v>3</v>
      </c>
      <c r="D510" s="151" t="s">
        <v>11</v>
      </c>
      <c r="E510" s="101">
        <v>6.1130000000000004</v>
      </c>
      <c r="F510" s="101">
        <v>3.9510000000000001</v>
      </c>
      <c r="G510" s="167">
        <v>7861193828</v>
      </c>
      <c r="H510" s="154">
        <v>19</v>
      </c>
      <c r="I510" s="154">
        <v>37</v>
      </c>
    </row>
    <row r="511" spans="1:9">
      <c r="A511" s="199">
        <v>45742</v>
      </c>
      <c r="B511" s="186">
        <f t="shared" si="5"/>
        <v>2025</v>
      </c>
      <c r="C511" s="186">
        <f t="shared" si="6"/>
        <v>3</v>
      </c>
      <c r="D511" s="151" t="s">
        <v>19</v>
      </c>
      <c r="E511" s="101">
        <v>5.665</v>
      </c>
      <c r="F511" s="101">
        <v>4.0510000000000002</v>
      </c>
      <c r="G511" s="167">
        <v>7270711901</v>
      </c>
      <c r="H511" s="154">
        <v>19</v>
      </c>
      <c r="I511" s="154">
        <v>39</v>
      </c>
    </row>
    <row r="512" spans="1:9">
      <c r="A512" s="199">
        <v>45742</v>
      </c>
      <c r="B512" s="186">
        <f t="shared" si="5"/>
        <v>2025</v>
      </c>
      <c r="C512" s="186">
        <f t="shared" si="6"/>
        <v>3</v>
      </c>
      <c r="D512" s="151" t="s">
        <v>20</v>
      </c>
      <c r="E512" s="101">
        <v>5.4850000000000003</v>
      </c>
      <c r="F512" s="101">
        <v>3.919</v>
      </c>
      <c r="G512" s="167">
        <v>7188216936</v>
      </c>
      <c r="H512" s="154">
        <v>26</v>
      </c>
      <c r="I512" s="154">
        <v>58</v>
      </c>
    </row>
    <row r="513" spans="1:9">
      <c r="A513" s="199">
        <v>45742</v>
      </c>
      <c r="B513" s="186">
        <f t="shared" si="5"/>
        <v>2025</v>
      </c>
      <c r="C513" s="186">
        <f t="shared" si="6"/>
        <v>3</v>
      </c>
      <c r="D513" s="151" t="s">
        <v>101</v>
      </c>
      <c r="E513" s="101">
        <v>4.3040000000000003</v>
      </c>
      <c r="F513" s="101">
        <v>2.7909999999999999</v>
      </c>
      <c r="G513" s="167">
        <v>5512560054</v>
      </c>
      <c r="H513" s="154">
        <v>20</v>
      </c>
      <c r="I513" s="154">
        <v>49</v>
      </c>
    </row>
    <row r="514" spans="1:9">
      <c r="A514" s="199">
        <v>45742</v>
      </c>
      <c r="B514" s="186">
        <f t="shared" si="5"/>
        <v>2025</v>
      </c>
      <c r="C514" s="186">
        <f t="shared" si="6"/>
        <v>3</v>
      </c>
      <c r="D514" s="151" t="s">
        <v>24</v>
      </c>
      <c r="E514" s="101">
        <v>2.5270000000000001</v>
      </c>
      <c r="F514" s="101">
        <v>1.599</v>
      </c>
      <c r="G514" s="167">
        <v>3329226095</v>
      </c>
      <c r="H514" s="154">
        <v>23</v>
      </c>
      <c r="I514" s="154">
        <v>12</v>
      </c>
    </row>
    <row r="515" spans="1:9">
      <c r="A515" s="199">
        <v>45742</v>
      </c>
      <c r="B515" s="186">
        <f t="shared" si="5"/>
        <v>2025</v>
      </c>
      <c r="C515" s="186">
        <f t="shared" si="6"/>
        <v>3</v>
      </c>
      <c r="D515" s="151" t="s">
        <v>32</v>
      </c>
      <c r="E515" s="101">
        <v>2.448</v>
      </c>
      <c r="F515" s="101">
        <v>1.5820000000000001</v>
      </c>
      <c r="G515" s="167">
        <v>3144592746</v>
      </c>
      <c r="H515" s="154">
        <v>20</v>
      </c>
      <c r="I515" s="154">
        <v>32</v>
      </c>
    </row>
    <row r="516" spans="1:9">
      <c r="A516" s="199">
        <v>45742</v>
      </c>
      <c r="B516" s="186">
        <f t="shared" si="5"/>
        <v>2025</v>
      </c>
      <c r="C516" s="186">
        <f t="shared" si="6"/>
        <v>3</v>
      </c>
      <c r="D516" s="151" t="s">
        <v>15</v>
      </c>
      <c r="E516" s="101">
        <v>2.0670000000000002</v>
      </c>
      <c r="F516" s="101">
        <v>1.252</v>
      </c>
      <c r="G516" s="167">
        <v>2659311287</v>
      </c>
      <c r="H516" s="154">
        <v>20</v>
      </c>
      <c r="I516" s="154">
        <v>29</v>
      </c>
    </row>
    <row r="517" spans="1:9">
      <c r="A517" s="199">
        <v>45742</v>
      </c>
      <c r="B517" s="186">
        <f t="shared" si="5"/>
        <v>2025</v>
      </c>
      <c r="C517" s="186">
        <f t="shared" si="6"/>
        <v>3</v>
      </c>
      <c r="D517" s="151" t="s">
        <v>93</v>
      </c>
      <c r="E517" s="101">
        <v>923</v>
      </c>
      <c r="F517" s="101">
        <v>714</v>
      </c>
      <c r="G517" s="167">
        <v>1179149348</v>
      </c>
      <c r="H517" s="154">
        <v>20</v>
      </c>
      <c r="I517" s="154">
        <v>17</v>
      </c>
    </row>
    <row r="518" spans="1:9">
      <c r="A518" s="199">
        <v>45742</v>
      </c>
      <c r="B518" s="186">
        <f t="shared" si="5"/>
        <v>2025</v>
      </c>
      <c r="C518" s="186">
        <f t="shared" si="6"/>
        <v>3</v>
      </c>
      <c r="D518" s="151" t="s">
        <v>28</v>
      </c>
      <c r="E518" s="101">
        <v>496</v>
      </c>
      <c r="F518" s="101">
        <v>420</v>
      </c>
      <c r="G518" s="167">
        <v>657189237</v>
      </c>
      <c r="H518" s="154">
        <v>24</v>
      </c>
      <c r="I518" s="154">
        <v>15</v>
      </c>
    </row>
    <row r="519" spans="1:9">
      <c r="A519" s="199">
        <v>45742</v>
      </c>
      <c r="B519" s="186">
        <f t="shared" si="5"/>
        <v>2025</v>
      </c>
      <c r="C519" s="186">
        <f t="shared" si="6"/>
        <v>3</v>
      </c>
      <c r="D519" s="151" t="s">
        <v>102</v>
      </c>
      <c r="E519" s="101" t="s">
        <v>107</v>
      </c>
      <c r="F519" s="101" t="s">
        <v>107</v>
      </c>
      <c r="G519" s="167">
        <v>0</v>
      </c>
      <c r="H519" s="154" t="s">
        <v>107</v>
      </c>
      <c r="I519" s="154" t="s">
        <v>107</v>
      </c>
    </row>
    <row r="520" spans="1:9">
      <c r="A520" s="199">
        <v>45742</v>
      </c>
      <c r="B520" s="186">
        <f t="shared" si="5"/>
        <v>2025</v>
      </c>
      <c r="C520" s="186">
        <f t="shared" si="6"/>
        <v>3</v>
      </c>
      <c r="D520" s="151" t="s">
        <v>23</v>
      </c>
      <c r="E520" s="101" t="s">
        <v>107</v>
      </c>
      <c r="F520" s="101" t="s">
        <v>107</v>
      </c>
      <c r="G520" s="167">
        <v>0</v>
      </c>
      <c r="H520" s="154" t="s">
        <v>107</v>
      </c>
      <c r="I520" s="154" t="s">
        <v>107</v>
      </c>
    </row>
    <row r="521" spans="1:9">
      <c r="A521" s="199">
        <v>45742</v>
      </c>
      <c r="B521" s="186">
        <f t="shared" si="5"/>
        <v>2025</v>
      </c>
      <c r="C521" s="186">
        <f t="shared" si="6"/>
        <v>3</v>
      </c>
      <c r="D521" s="151" t="s">
        <v>104</v>
      </c>
      <c r="E521" s="101" t="s">
        <v>107</v>
      </c>
      <c r="F521" s="101" t="s">
        <v>107</v>
      </c>
      <c r="G521" s="167">
        <v>0</v>
      </c>
      <c r="H521" s="154" t="s">
        <v>107</v>
      </c>
      <c r="I521" s="154" t="s">
        <v>107</v>
      </c>
    </row>
    <row r="522" spans="1:9">
      <c r="A522" s="199">
        <v>45742</v>
      </c>
      <c r="B522" s="186">
        <f t="shared" si="5"/>
        <v>2025</v>
      </c>
      <c r="C522" s="186">
        <f t="shared" si="6"/>
        <v>3</v>
      </c>
      <c r="D522" s="151" t="s">
        <v>26</v>
      </c>
      <c r="E522" s="101" t="s">
        <v>107</v>
      </c>
      <c r="F522" s="101" t="s">
        <v>107</v>
      </c>
      <c r="G522" s="167">
        <v>0</v>
      </c>
      <c r="H522" s="154" t="s">
        <v>107</v>
      </c>
      <c r="I522" s="154" t="s">
        <v>107</v>
      </c>
    </row>
    <row r="523" spans="1:9">
      <c r="A523" s="199">
        <v>45742</v>
      </c>
      <c r="B523" s="186">
        <f t="shared" si="5"/>
        <v>2025</v>
      </c>
      <c r="C523" s="186">
        <f t="shared" si="6"/>
        <v>3</v>
      </c>
      <c r="D523" s="151" t="s">
        <v>30</v>
      </c>
      <c r="E523" s="101" t="s">
        <v>107</v>
      </c>
      <c r="F523" s="101" t="s">
        <v>107</v>
      </c>
      <c r="G523" s="167">
        <v>0</v>
      </c>
      <c r="H523" s="154" t="s">
        <v>107</v>
      </c>
      <c r="I523" s="154" t="s">
        <v>107</v>
      </c>
    </row>
    <row r="524" spans="1:9">
      <c r="A524" s="199">
        <v>45742</v>
      </c>
      <c r="B524" s="186">
        <f t="shared" si="5"/>
        <v>2025</v>
      </c>
      <c r="C524" s="186">
        <f t="shared" si="6"/>
        <v>3</v>
      </c>
      <c r="D524" s="151" t="s">
        <v>105</v>
      </c>
      <c r="E524" s="101" t="s">
        <v>107</v>
      </c>
      <c r="F524" s="101" t="s">
        <v>107</v>
      </c>
      <c r="G524" s="167">
        <v>0</v>
      </c>
      <c r="H524" s="154" t="s">
        <v>107</v>
      </c>
      <c r="I524" s="154" t="s">
        <v>107</v>
      </c>
    </row>
    <row r="525" spans="1:9">
      <c r="A525" s="199">
        <v>45742</v>
      </c>
      <c r="B525" s="186">
        <f t="shared" si="5"/>
        <v>2025</v>
      </c>
      <c r="C525" s="186">
        <f t="shared" si="6"/>
        <v>3</v>
      </c>
      <c r="D525" s="151" t="s">
        <v>106</v>
      </c>
      <c r="E525" s="101" t="s">
        <v>107</v>
      </c>
      <c r="F525" s="101" t="s">
        <v>107</v>
      </c>
      <c r="G525" s="167">
        <v>0</v>
      </c>
      <c r="H525" s="154" t="s">
        <v>107</v>
      </c>
      <c r="I525" s="154" t="s">
        <v>107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3C47D"/>
    <outlinePr summaryBelow="0" summaryRight="0"/>
  </sheetPr>
  <dimension ref="A1:I138"/>
  <sheetViews>
    <sheetView workbookViewId="0"/>
  </sheetViews>
  <sheetFormatPr defaultColWidth="12.5703125" defaultRowHeight="15.75" customHeight="1"/>
  <sheetData>
    <row r="1" spans="1:9">
      <c r="A1" s="11" t="s">
        <v>57</v>
      </c>
      <c r="B1" s="11" t="s">
        <v>1</v>
      </c>
      <c r="C1" s="11" t="s">
        <v>2</v>
      </c>
      <c r="D1" s="11" t="s">
        <v>3</v>
      </c>
      <c r="E1" s="11" t="s">
        <v>62</v>
      </c>
      <c r="F1" s="11" t="s">
        <v>63</v>
      </c>
      <c r="G1" s="11" t="s">
        <v>64</v>
      </c>
      <c r="H1" s="11" t="s">
        <v>65</v>
      </c>
      <c r="I1" s="11" t="s">
        <v>66</v>
      </c>
    </row>
    <row r="2" spans="1:9">
      <c r="A2" s="9">
        <v>44927</v>
      </c>
      <c r="B2" s="1">
        <f t="shared" ref="B2:B103" si="0">YEAR(A2)</f>
        <v>2023</v>
      </c>
      <c r="C2" s="1">
        <f t="shared" ref="C2:C103" si="1">MONTH(A2)</f>
        <v>1</v>
      </c>
      <c r="D2" s="1" t="s">
        <v>111</v>
      </c>
      <c r="E2" s="6">
        <v>548</v>
      </c>
      <c r="F2" s="6">
        <v>477</v>
      </c>
      <c r="G2" s="1">
        <v>227765975</v>
      </c>
      <c r="H2" s="1">
        <v>23.77</v>
      </c>
      <c r="I2" s="1">
        <v>19.440000000000001</v>
      </c>
    </row>
    <row r="3" spans="1:9">
      <c r="A3" s="9">
        <v>44928</v>
      </c>
      <c r="B3" s="1">
        <f t="shared" si="0"/>
        <v>2023</v>
      </c>
      <c r="C3" s="1">
        <f t="shared" si="1"/>
        <v>1</v>
      </c>
      <c r="D3" s="1" t="s">
        <v>113</v>
      </c>
      <c r="E3" s="1">
        <v>4170</v>
      </c>
      <c r="F3" s="6">
        <v>3762</v>
      </c>
      <c r="G3" s="1">
        <v>2113335293</v>
      </c>
      <c r="H3" s="1">
        <v>25.56</v>
      </c>
      <c r="I3" s="1">
        <v>17.3</v>
      </c>
    </row>
    <row r="4" spans="1:9">
      <c r="A4" s="9">
        <v>44958</v>
      </c>
      <c r="B4" s="1">
        <f t="shared" si="0"/>
        <v>2023</v>
      </c>
      <c r="C4" s="1">
        <f t="shared" si="1"/>
        <v>2</v>
      </c>
      <c r="D4" s="1" t="s">
        <v>113</v>
      </c>
      <c r="E4" s="6">
        <v>4091</v>
      </c>
      <c r="F4" s="6">
        <v>3729</v>
      </c>
      <c r="G4" s="30">
        <v>1931500188</v>
      </c>
      <c r="H4" s="1">
        <v>25</v>
      </c>
      <c r="I4" s="1">
        <v>16</v>
      </c>
    </row>
    <row r="5" spans="1:9">
      <c r="A5" s="9">
        <v>44959</v>
      </c>
      <c r="B5" s="1">
        <f t="shared" si="0"/>
        <v>2023</v>
      </c>
      <c r="C5" s="1">
        <f t="shared" si="1"/>
        <v>2</v>
      </c>
      <c r="D5" s="1" t="s">
        <v>111</v>
      </c>
      <c r="E5" s="1">
        <v>180</v>
      </c>
      <c r="F5" s="6">
        <v>168</v>
      </c>
      <c r="G5" s="30">
        <v>96700294</v>
      </c>
      <c r="H5" s="1">
        <v>24</v>
      </c>
      <c r="I5" s="1">
        <v>12</v>
      </c>
    </row>
    <row r="6" spans="1:9">
      <c r="A6" s="9">
        <v>44986</v>
      </c>
      <c r="B6" s="1">
        <f t="shared" si="0"/>
        <v>2023</v>
      </c>
      <c r="C6" s="1">
        <f t="shared" si="1"/>
        <v>3</v>
      </c>
      <c r="D6" s="1" t="s">
        <v>113</v>
      </c>
      <c r="E6" s="6">
        <v>6209</v>
      </c>
      <c r="F6" s="6">
        <v>5468</v>
      </c>
      <c r="G6" s="30">
        <v>2773457701</v>
      </c>
      <c r="H6" s="1">
        <v>28</v>
      </c>
      <c r="I6" s="1">
        <v>18</v>
      </c>
    </row>
    <row r="7" spans="1:9">
      <c r="A7" s="9">
        <v>44987</v>
      </c>
      <c r="B7" s="1">
        <f t="shared" si="0"/>
        <v>2023</v>
      </c>
      <c r="C7" s="1">
        <f t="shared" si="1"/>
        <v>3</v>
      </c>
      <c r="D7" s="1" t="s">
        <v>111</v>
      </c>
      <c r="E7" s="6">
        <v>923</v>
      </c>
      <c r="F7" s="6">
        <v>860</v>
      </c>
      <c r="G7" s="30">
        <v>622549497</v>
      </c>
      <c r="H7" s="1">
        <v>21</v>
      </c>
      <c r="I7" s="1">
        <v>14</v>
      </c>
    </row>
    <row r="8" spans="1:9">
      <c r="A8" s="9">
        <v>45017</v>
      </c>
      <c r="B8" s="1">
        <f t="shared" si="0"/>
        <v>2023</v>
      </c>
      <c r="C8" s="1">
        <f t="shared" si="1"/>
        <v>4</v>
      </c>
      <c r="D8" s="1" t="s">
        <v>113</v>
      </c>
      <c r="E8" s="6">
        <v>4123</v>
      </c>
      <c r="F8" s="6">
        <v>3647</v>
      </c>
      <c r="G8" s="30">
        <v>1887616843</v>
      </c>
      <c r="H8" s="1">
        <v>26</v>
      </c>
      <c r="I8" s="1">
        <v>19</v>
      </c>
    </row>
    <row r="9" spans="1:9">
      <c r="A9" s="9">
        <v>45018</v>
      </c>
      <c r="B9" s="1">
        <f t="shared" si="0"/>
        <v>2023</v>
      </c>
      <c r="C9" s="1">
        <f t="shared" si="1"/>
        <v>4</v>
      </c>
      <c r="D9" s="1" t="s">
        <v>111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>
      <c r="A10" s="9">
        <v>45019</v>
      </c>
      <c r="B10" s="1">
        <f t="shared" si="0"/>
        <v>2023</v>
      </c>
      <c r="C10" s="1">
        <f t="shared" si="1"/>
        <v>4</v>
      </c>
      <c r="D10" s="1" t="s">
        <v>115</v>
      </c>
      <c r="E10" s="1">
        <v>393</v>
      </c>
      <c r="F10" s="6">
        <v>329</v>
      </c>
      <c r="G10" s="30">
        <v>249286874</v>
      </c>
      <c r="H10" s="1">
        <v>21</v>
      </c>
      <c r="I10" s="1">
        <v>14</v>
      </c>
    </row>
    <row r="11" spans="1:9">
      <c r="A11" s="9">
        <v>45047</v>
      </c>
      <c r="B11" s="1">
        <f t="shared" si="0"/>
        <v>2023</v>
      </c>
      <c r="C11" s="1">
        <f t="shared" si="1"/>
        <v>5</v>
      </c>
      <c r="D11" s="1" t="s">
        <v>113</v>
      </c>
      <c r="E11" s="6">
        <v>2915</v>
      </c>
      <c r="F11" s="6">
        <v>2639</v>
      </c>
      <c r="G11" s="30">
        <v>1686764192</v>
      </c>
      <c r="H11" s="1">
        <v>25</v>
      </c>
      <c r="I11" s="1">
        <v>19</v>
      </c>
    </row>
    <row r="12" spans="1:9">
      <c r="A12" s="9">
        <v>45048</v>
      </c>
      <c r="B12" s="1">
        <f t="shared" si="0"/>
        <v>2023</v>
      </c>
      <c r="C12" s="1">
        <f t="shared" si="1"/>
        <v>5</v>
      </c>
      <c r="D12" s="1" t="s">
        <v>111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>
      <c r="A13" s="9">
        <v>45049</v>
      </c>
      <c r="B13" s="1">
        <f t="shared" si="0"/>
        <v>2023</v>
      </c>
      <c r="C13" s="1">
        <f t="shared" si="1"/>
        <v>5</v>
      </c>
      <c r="D13" s="1" t="s">
        <v>115</v>
      </c>
      <c r="E13" s="6">
        <v>727</v>
      </c>
      <c r="F13" s="6">
        <v>567</v>
      </c>
      <c r="G13" s="30">
        <v>371938289</v>
      </c>
      <c r="H13" s="1">
        <v>20</v>
      </c>
      <c r="I13" s="1">
        <v>21</v>
      </c>
    </row>
    <row r="14" spans="1:9">
      <c r="A14" s="9">
        <v>45078</v>
      </c>
      <c r="B14" s="1">
        <f t="shared" si="0"/>
        <v>2023</v>
      </c>
      <c r="C14" s="1">
        <f t="shared" si="1"/>
        <v>6</v>
      </c>
      <c r="D14" s="1" t="s">
        <v>113</v>
      </c>
      <c r="E14" s="6">
        <v>2823</v>
      </c>
      <c r="F14" s="6">
        <v>2574</v>
      </c>
      <c r="G14" s="30">
        <v>1014365003</v>
      </c>
      <c r="H14" s="1">
        <v>29</v>
      </c>
      <c r="I14" s="1">
        <v>26</v>
      </c>
    </row>
    <row r="15" spans="1:9">
      <c r="A15" s="9">
        <v>45079</v>
      </c>
      <c r="B15" s="1">
        <f t="shared" si="0"/>
        <v>2023</v>
      </c>
      <c r="C15" s="1">
        <f t="shared" si="1"/>
        <v>6</v>
      </c>
      <c r="D15" s="1" t="s">
        <v>111</v>
      </c>
      <c r="E15" s="6">
        <v>2405</v>
      </c>
      <c r="F15" s="6">
        <v>2173</v>
      </c>
      <c r="G15" s="30">
        <v>1315460992</v>
      </c>
      <c r="H15" s="1">
        <v>28</v>
      </c>
      <c r="I15" s="1">
        <v>24</v>
      </c>
    </row>
    <row r="16" spans="1:9">
      <c r="A16" s="9">
        <v>45080</v>
      </c>
      <c r="B16" s="1">
        <f t="shared" si="0"/>
        <v>2023</v>
      </c>
      <c r="C16" s="1">
        <f t="shared" si="1"/>
        <v>6</v>
      </c>
      <c r="D16" s="1" t="s">
        <v>115</v>
      </c>
      <c r="E16" s="6">
        <v>256</v>
      </c>
      <c r="F16" s="6">
        <v>221</v>
      </c>
      <c r="G16" s="30">
        <v>155985985</v>
      </c>
      <c r="H16" s="1">
        <v>26</v>
      </c>
      <c r="I16" s="1">
        <v>16</v>
      </c>
    </row>
    <row r="17" spans="1:9">
      <c r="A17" s="9">
        <v>45108</v>
      </c>
      <c r="B17" s="1">
        <f t="shared" si="0"/>
        <v>2023</v>
      </c>
      <c r="C17" s="1">
        <f t="shared" si="1"/>
        <v>7</v>
      </c>
      <c r="D17" s="1" t="s">
        <v>113</v>
      </c>
      <c r="E17" s="6">
        <v>677</v>
      </c>
      <c r="F17" s="6">
        <v>617</v>
      </c>
      <c r="G17" s="30">
        <v>208359145</v>
      </c>
      <c r="H17" s="1">
        <v>29</v>
      </c>
      <c r="I17" s="1">
        <v>61</v>
      </c>
    </row>
    <row r="18" spans="1:9">
      <c r="A18" s="9">
        <v>45109</v>
      </c>
      <c r="B18" s="1">
        <f t="shared" si="0"/>
        <v>2023</v>
      </c>
      <c r="C18" s="1">
        <f t="shared" si="1"/>
        <v>7</v>
      </c>
      <c r="D18" s="1" t="s">
        <v>111</v>
      </c>
      <c r="E18" s="6">
        <v>979</v>
      </c>
      <c r="F18" s="6">
        <v>859</v>
      </c>
      <c r="G18" s="30">
        <v>542915942</v>
      </c>
      <c r="H18" s="1">
        <v>18</v>
      </c>
      <c r="I18" s="1">
        <v>39</v>
      </c>
    </row>
    <row r="19" spans="1:9">
      <c r="A19" s="9">
        <v>45110</v>
      </c>
      <c r="B19" s="1">
        <f t="shared" si="0"/>
        <v>2023</v>
      </c>
      <c r="C19" s="1">
        <f t="shared" si="1"/>
        <v>7</v>
      </c>
      <c r="D19" s="1" t="s">
        <v>115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</row>
    <row r="20" spans="1:9">
      <c r="A20" s="9">
        <v>45111</v>
      </c>
      <c r="B20" s="1">
        <f t="shared" si="0"/>
        <v>2023</v>
      </c>
      <c r="C20" s="1">
        <f t="shared" si="1"/>
        <v>7</v>
      </c>
      <c r="D20" s="1" t="s">
        <v>116</v>
      </c>
      <c r="E20" s="6">
        <v>628</v>
      </c>
      <c r="F20" s="6">
        <v>528</v>
      </c>
      <c r="G20" s="30">
        <v>257273561</v>
      </c>
      <c r="H20" s="1">
        <v>32</v>
      </c>
      <c r="I20" s="1">
        <v>66</v>
      </c>
    </row>
    <row r="21" spans="1:9">
      <c r="A21" s="9">
        <v>45112</v>
      </c>
      <c r="B21" s="1">
        <f t="shared" si="0"/>
        <v>2023</v>
      </c>
      <c r="C21" s="1">
        <f t="shared" si="1"/>
        <v>7</v>
      </c>
      <c r="D21" s="1" t="s">
        <v>117</v>
      </c>
      <c r="E21" s="6">
        <v>180</v>
      </c>
      <c r="F21" s="6">
        <v>168</v>
      </c>
      <c r="G21" s="30">
        <v>67124744</v>
      </c>
      <c r="H21" s="1">
        <v>38</v>
      </c>
      <c r="I21" s="1">
        <v>11</v>
      </c>
    </row>
    <row r="22" spans="1:9">
      <c r="A22" s="9">
        <v>45139</v>
      </c>
      <c r="B22" s="1">
        <f t="shared" si="0"/>
        <v>2023</v>
      </c>
      <c r="C22" s="1">
        <f t="shared" si="1"/>
        <v>8</v>
      </c>
      <c r="D22" s="1" t="s">
        <v>113</v>
      </c>
      <c r="E22" s="6">
        <v>3486</v>
      </c>
      <c r="F22" s="6">
        <v>3105</v>
      </c>
      <c r="G22" s="30">
        <v>1305480588</v>
      </c>
      <c r="H22" s="1">
        <v>28</v>
      </c>
      <c r="I22" s="1">
        <v>19</v>
      </c>
    </row>
    <row r="23" spans="1:9">
      <c r="A23" s="9">
        <v>45140</v>
      </c>
      <c r="B23" s="1">
        <f t="shared" si="0"/>
        <v>2023</v>
      </c>
      <c r="C23" s="1">
        <f t="shared" si="1"/>
        <v>8</v>
      </c>
      <c r="D23" s="1" t="s">
        <v>111</v>
      </c>
      <c r="E23" s="6">
        <v>2757</v>
      </c>
      <c r="F23" s="6">
        <v>2409</v>
      </c>
      <c r="G23" s="30">
        <v>1935179401</v>
      </c>
      <c r="H23" s="1">
        <v>19</v>
      </c>
      <c r="I23" s="1">
        <v>21</v>
      </c>
    </row>
    <row r="24" spans="1:9">
      <c r="A24" s="9">
        <v>45141</v>
      </c>
      <c r="B24" s="1">
        <f t="shared" si="0"/>
        <v>2023</v>
      </c>
      <c r="C24" s="1">
        <f t="shared" si="1"/>
        <v>8</v>
      </c>
      <c r="D24" s="1" t="s">
        <v>115</v>
      </c>
      <c r="E24" s="6">
        <v>175</v>
      </c>
      <c r="F24" s="6">
        <v>169</v>
      </c>
      <c r="G24" s="30">
        <v>82610509</v>
      </c>
      <c r="H24" s="1">
        <v>30</v>
      </c>
      <c r="I24" s="1">
        <v>29</v>
      </c>
    </row>
    <row r="25" spans="1:9">
      <c r="A25" s="9">
        <v>45142</v>
      </c>
      <c r="B25" s="1">
        <f t="shared" si="0"/>
        <v>2023</v>
      </c>
      <c r="C25" s="1">
        <f t="shared" si="1"/>
        <v>8</v>
      </c>
      <c r="D25" s="1" t="s">
        <v>116</v>
      </c>
      <c r="E25" s="6">
        <v>513</v>
      </c>
      <c r="F25" s="6">
        <v>423</v>
      </c>
      <c r="G25" s="30">
        <v>248599159</v>
      </c>
      <c r="H25" s="1">
        <v>27</v>
      </c>
      <c r="I25" s="1">
        <v>22</v>
      </c>
    </row>
    <row r="26" spans="1:9">
      <c r="A26" s="9">
        <v>45143</v>
      </c>
      <c r="B26" s="1">
        <f t="shared" si="0"/>
        <v>2023</v>
      </c>
      <c r="C26" s="1">
        <f t="shared" si="1"/>
        <v>8</v>
      </c>
      <c r="D26" s="1" t="s">
        <v>117</v>
      </c>
      <c r="E26" s="6">
        <v>846</v>
      </c>
      <c r="F26" s="6">
        <v>783</v>
      </c>
      <c r="G26" s="30">
        <v>480683844</v>
      </c>
      <c r="H26" s="1">
        <v>26</v>
      </c>
      <c r="I26" s="1">
        <v>20</v>
      </c>
    </row>
    <row r="27" spans="1:9">
      <c r="A27" s="9">
        <v>45170</v>
      </c>
      <c r="B27" s="1">
        <f t="shared" si="0"/>
        <v>2023</v>
      </c>
      <c r="C27" s="1">
        <f t="shared" si="1"/>
        <v>9</v>
      </c>
      <c r="D27" s="1" t="s">
        <v>113</v>
      </c>
      <c r="E27" s="6">
        <v>2846</v>
      </c>
      <c r="F27" s="6">
        <v>2553</v>
      </c>
      <c r="G27" s="30">
        <v>1313037649</v>
      </c>
      <c r="H27" s="1">
        <v>27</v>
      </c>
      <c r="I27" s="1">
        <v>21</v>
      </c>
    </row>
    <row r="28" spans="1:9">
      <c r="A28" s="9">
        <v>45171</v>
      </c>
      <c r="B28" s="1">
        <f t="shared" si="0"/>
        <v>2023</v>
      </c>
      <c r="C28" s="1">
        <f t="shared" si="1"/>
        <v>9</v>
      </c>
      <c r="D28" s="1" t="s">
        <v>111</v>
      </c>
      <c r="E28" s="6">
        <v>3834</v>
      </c>
      <c r="F28" s="6">
        <v>3445</v>
      </c>
      <c r="G28" s="30">
        <v>2913346073</v>
      </c>
      <c r="H28" s="1">
        <v>17</v>
      </c>
      <c r="I28" s="1">
        <v>16</v>
      </c>
    </row>
    <row r="29" spans="1:9">
      <c r="A29" s="9">
        <v>45172</v>
      </c>
      <c r="B29" s="1">
        <f t="shared" si="0"/>
        <v>2023</v>
      </c>
      <c r="C29" s="1">
        <f t="shared" si="1"/>
        <v>9</v>
      </c>
      <c r="D29" s="1" t="s">
        <v>117</v>
      </c>
      <c r="E29" s="6">
        <v>1080</v>
      </c>
      <c r="F29" s="6">
        <v>965</v>
      </c>
      <c r="G29" s="30">
        <v>643648667</v>
      </c>
      <c r="H29" s="1">
        <v>22</v>
      </c>
      <c r="I29" s="1">
        <v>19</v>
      </c>
    </row>
    <row r="30" spans="1:9">
      <c r="A30" s="9">
        <v>45173</v>
      </c>
      <c r="B30" s="1">
        <f t="shared" si="0"/>
        <v>2023</v>
      </c>
      <c r="C30" s="1">
        <f t="shared" si="1"/>
        <v>9</v>
      </c>
      <c r="D30" s="1" t="s">
        <v>115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>
      <c r="A31" s="9">
        <v>45174</v>
      </c>
      <c r="B31" s="1">
        <f t="shared" si="0"/>
        <v>2023</v>
      </c>
      <c r="C31" s="1">
        <f t="shared" si="1"/>
        <v>9</v>
      </c>
      <c r="D31" s="1" t="s">
        <v>116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>
      <c r="A32" s="10">
        <v>45200</v>
      </c>
      <c r="B32" s="1">
        <f t="shared" si="0"/>
        <v>2023</v>
      </c>
      <c r="C32" s="1">
        <f t="shared" si="1"/>
        <v>10</v>
      </c>
      <c r="D32" s="1" t="s">
        <v>113</v>
      </c>
      <c r="E32" s="6">
        <v>2020</v>
      </c>
      <c r="F32" s="6">
        <v>1813</v>
      </c>
      <c r="G32" s="30">
        <v>851045945</v>
      </c>
      <c r="H32" s="1">
        <v>26</v>
      </c>
      <c r="I32" s="1">
        <v>19</v>
      </c>
    </row>
    <row r="33" spans="1:9">
      <c r="A33" s="10">
        <v>45201</v>
      </c>
      <c r="B33" s="1">
        <f t="shared" si="0"/>
        <v>2023</v>
      </c>
      <c r="C33" s="1">
        <f t="shared" si="1"/>
        <v>10</v>
      </c>
      <c r="D33" s="1" t="s">
        <v>111</v>
      </c>
      <c r="E33" s="6">
        <v>5066</v>
      </c>
      <c r="F33" s="6">
        <v>4598</v>
      </c>
      <c r="G33" s="30">
        <v>3420495438</v>
      </c>
      <c r="H33" s="1">
        <v>21</v>
      </c>
      <c r="I33" s="1">
        <v>18</v>
      </c>
    </row>
    <row r="34" spans="1:9">
      <c r="A34" s="10">
        <v>45202</v>
      </c>
      <c r="B34" s="1">
        <f t="shared" si="0"/>
        <v>2023</v>
      </c>
      <c r="C34" s="1">
        <f t="shared" si="1"/>
        <v>10</v>
      </c>
      <c r="D34" s="1" t="s">
        <v>117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>
      <c r="A35" s="10">
        <v>45203</v>
      </c>
      <c r="B35" s="1">
        <f t="shared" si="0"/>
        <v>2023</v>
      </c>
      <c r="C35" s="1">
        <f t="shared" si="1"/>
        <v>10</v>
      </c>
      <c r="D35" s="1" t="s">
        <v>115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>
      <c r="A36" s="10">
        <v>45204</v>
      </c>
      <c r="B36" s="1">
        <f t="shared" si="0"/>
        <v>2023</v>
      </c>
      <c r="C36" s="1">
        <f t="shared" si="1"/>
        <v>10</v>
      </c>
      <c r="D36" s="1" t="s">
        <v>116</v>
      </c>
      <c r="E36" s="6">
        <v>212</v>
      </c>
      <c r="F36" s="6">
        <v>200</v>
      </c>
      <c r="G36" s="30">
        <v>100168835</v>
      </c>
      <c r="H36" s="1">
        <v>23</v>
      </c>
      <c r="I36" s="1">
        <v>16</v>
      </c>
    </row>
    <row r="37" spans="1:9">
      <c r="A37" s="10">
        <v>45231</v>
      </c>
      <c r="B37" s="1">
        <f t="shared" si="0"/>
        <v>2023</v>
      </c>
      <c r="C37" s="1">
        <f t="shared" si="1"/>
        <v>11</v>
      </c>
      <c r="D37" s="1" t="s">
        <v>113</v>
      </c>
      <c r="E37" s="6">
        <v>3163</v>
      </c>
      <c r="F37" s="6">
        <v>2790</v>
      </c>
      <c r="G37" s="30">
        <v>1320080632</v>
      </c>
      <c r="H37" s="1">
        <v>26</v>
      </c>
      <c r="I37" s="1">
        <v>17</v>
      </c>
    </row>
    <row r="38" spans="1:9">
      <c r="A38" s="10">
        <v>45232</v>
      </c>
      <c r="B38" s="1">
        <f t="shared" si="0"/>
        <v>2023</v>
      </c>
      <c r="C38" s="1">
        <f t="shared" si="1"/>
        <v>11</v>
      </c>
      <c r="D38" s="1" t="s">
        <v>111</v>
      </c>
      <c r="E38" s="6">
        <v>4805</v>
      </c>
      <c r="F38" s="6">
        <v>4249</v>
      </c>
      <c r="G38" s="30">
        <v>3241623943</v>
      </c>
      <c r="H38" s="1">
        <v>20</v>
      </c>
      <c r="I38" s="1">
        <v>19</v>
      </c>
    </row>
    <row r="39" spans="1:9">
      <c r="A39" s="10">
        <v>45233</v>
      </c>
      <c r="B39" s="1">
        <f t="shared" si="0"/>
        <v>2023</v>
      </c>
      <c r="C39" s="1">
        <f t="shared" si="1"/>
        <v>11</v>
      </c>
      <c r="D39" s="1" t="s">
        <v>116</v>
      </c>
      <c r="E39" s="6">
        <v>993</v>
      </c>
      <c r="F39" s="6">
        <v>712</v>
      </c>
      <c r="G39" s="30">
        <v>756498176</v>
      </c>
      <c r="H39" s="1">
        <v>24</v>
      </c>
      <c r="I39" s="1">
        <v>30</v>
      </c>
    </row>
    <row r="40" spans="1:9">
      <c r="A40" s="10">
        <v>45234</v>
      </c>
      <c r="B40" s="1">
        <f t="shared" si="0"/>
        <v>2023</v>
      </c>
      <c r="C40" s="1">
        <f t="shared" si="1"/>
        <v>11</v>
      </c>
      <c r="D40" s="1" t="s">
        <v>117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>
      <c r="A41" s="10">
        <v>45235</v>
      </c>
      <c r="B41" s="1">
        <f t="shared" si="0"/>
        <v>2023</v>
      </c>
      <c r="C41" s="1">
        <f t="shared" si="1"/>
        <v>11</v>
      </c>
      <c r="D41" s="1" t="s">
        <v>115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>
      <c r="A42" s="10">
        <v>45261</v>
      </c>
      <c r="B42" s="1">
        <f t="shared" si="0"/>
        <v>2023</v>
      </c>
      <c r="C42" s="1">
        <f t="shared" si="1"/>
        <v>12</v>
      </c>
      <c r="D42" s="1" t="s">
        <v>113</v>
      </c>
      <c r="E42" s="6">
        <v>3163</v>
      </c>
      <c r="F42" s="6">
        <v>2790</v>
      </c>
      <c r="G42" s="30">
        <v>1320080632</v>
      </c>
      <c r="H42" s="1">
        <v>26</v>
      </c>
      <c r="I42" s="1">
        <v>17</v>
      </c>
    </row>
    <row r="43" spans="1:9">
      <c r="A43" s="10">
        <v>45262</v>
      </c>
      <c r="B43" s="1">
        <f t="shared" si="0"/>
        <v>2023</v>
      </c>
      <c r="C43" s="1">
        <f t="shared" si="1"/>
        <v>12</v>
      </c>
      <c r="D43" s="1" t="s">
        <v>111</v>
      </c>
      <c r="E43" s="6">
        <v>4805</v>
      </c>
      <c r="F43" s="6">
        <v>4249</v>
      </c>
      <c r="G43" s="30">
        <v>3241623943</v>
      </c>
      <c r="H43" s="1">
        <v>20</v>
      </c>
      <c r="I43" s="1">
        <v>19</v>
      </c>
    </row>
    <row r="44" spans="1:9">
      <c r="A44" s="10">
        <v>45263</v>
      </c>
      <c r="B44" s="1">
        <f t="shared" si="0"/>
        <v>2023</v>
      </c>
      <c r="C44" s="1">
        <f t="shared" si="1"/>
        <v>12</v>
      </c>
      <c r="D44" s="1" t="s">
        <v>116</v>
      </c>
      <c r="E44" s="6">
        <v>993</v>
      </c>
      <c r="F44" s="6">
        <v>712</v>
      </c>
      <c r="G44" s="30">
        <v>756498176</v>
      </c>
      <c r="H44" s="1">
        <v>24</v>
      </c>
      <c r="I44" s="1">
        <v>30</v>
      </c>
    </row>
    <row r="45" spans="1:9">
      <c r="A45" s="10">
        <v>45264</v>
      </c>
      <c r="B45" s="1">
        <f t="shared" si="0"/>
        <v>2023</v>
      </c>
      <c r="C45" s="1">
        <f t="shared" si="1"/>
        <v>12</v>
      </c>
      <c r="D45" s="1" t="s">
        <v>117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>
      <c r="A46" s="10">
        <v>45265</v>
      </c>
      <c r="B46" s="1">
        <f t="shared" si="0"/>
        <v>2023</v>
      </c>
      <c r="C46" s="1">
        <f t="shared" si="1"/>
        <v>12</v>
      </c>
      <c r="D46" s="1" t="s">
        <v>115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>
      <c r="A47" s="10">
        <v>45266</v>
      </c>
      <c r="B47" s="1">
        <f t="shared" si="0"/>
        <v>2023</v>
      </c>
      <c r="C47" s="1">
        <f t="shared" si="1"/>
        <v>12</v>
      </c>
      <c r="D47" s="1" t="s">
        <v>118</v>
      </c>
      <c r="E47" s="1">
        <v>44</v>
      </c>
      <c r="F47" s="6">
        <v>41</v>
      </c>
      <c r="G47" s="30">
        <v>24651037</v>
      </c>
      <c r="H47" s="1">
        <v>34</v>
      </c>
      <c r="I47" s="1">
        <v>10</v>
      </c>
    </row>
    <row r="48" spans="1:9">
      <c r="A48" s="9">
        <v>45292</v>
      </c>
      <c r="B48" s="1">
        <f t="shared" si="0"/>
        <v>2024</v>
      </c>
      <c r="C48" s="1">
        <f t="shared" si="1"/>
        <v>1</v>
      </c>
      <c r="D48" s="1" t="s">
        <v>111</v>
      </c>
      <c r="E48" s="6">
        <v>6047</v>
      </c>
      <c r="F48" s="6">
        <v>5325</v>
      </c>
      <c r="G48" s="30">
        <v>3742267747</v>
      </c>
      <c r="H48" s="1">
        <v>18</v>
      </c>
      <c r="I48" s="1">
        <v>16</v>
      </c>
    </row>
    <row r="49" spans="1:9">
      <c r="A49" s="9">
        <v>45293</v>
      </c>
      <c r="B49" s="1">
        <f t="shared" si="0"/>
        <v>2024</v>
      </c>
      <c r="C49" s="1">
        <f t="shared" si="1"/>
        <v>1</v>
      </c>
      <c r="D49" s="1" t="s">
        <v>113</v>
      </c>
      <c r="E49" s="6">
        <v>4012</v>
      </c>
      <c r="F49" s="6">
        <v>3626</v>
      </c>
      <c r="G49" s="30">
        <v>1746070892</v>
      </c>
      <c r="H49" s="1">
        <v>27</v>
      </c>
      <c r="I49" s="1">
        <v>19</v>
      </c>
    </row>
    <row r="50" spans="1:9">
      <c r="A50" s="9">
        <v>45294</v>
      </c>
      <c r="B50" s="1">
        <f t="shared" si="0"/>
        <v>2024</v>
      </c>
      <c r="C50" s="1">
        <f t="shared" si="1"/>
        <v>1</v>
      </c>
      <c r="D50" s="1" t="s">
        <v>118</v>
      </c>
      <c r="E50" s="1">
        <v>65</v>
      </c>
      <c r="F50" s="6">
        <v>61</v>
      </c>
      <c r="G50" s="30">
        <v>37408278</v>
      </c>
      <c r="H50" s="1">
        <v>27</v>
      </c>
      <c r="I50" s="1">
        <v>12</v>
      </c>
    </row>
    <row r="51" spans="1:9">
      <c r="A51" s="9">
        <v>45295</v>
      </c>
      <c r="B51" s="1">
        <f t="shared" si="0"/>
        <v>2024</v>
      </c>
      <c r="C51" s="1">
        <f t="shared" si="1"/>
        <v>1</v>
      </c>
      <c r="D51" s="1" t="s">
        <v>116</v>
      </c>
      <c r="E51" s="1">
        <v>0</v>
      </c>
      <c r="F51" s="6">
        <v>0</v>
      </c>
      <c r="G51" s="1">
        <v>0</v>
      </c>
      <c r="H51" s="1">
        <v>0</v>
      </c>
      <c r="I51" s="1">
        <v>0</v>
      </c>
    </row>
    <row r="52" spans="1:9">
      <c r="A52" s="9">
        <v>45296</v>
      </c>
      <c r="B52" s="1">
        <f t="shared" si="0"/>
        <v>2024</v>
      </c>
      <c r="C52" s="1">
        <f t="shared" si="1"/>
        <v>1</v>
      </c>
      <c r="D52" s="1" t="s">
        <v>117</v>
      </c>
      <c r="E52" s="1">
        <v>0</v>
      </c>
      <c r="F52" s="6">
        <v>0</v>
      </c>
      <c r="G52" s="1">
        <v>0</v>
      </c>
      <c r="H52" s="1">
        <v>0</v>
      </c>
      <c r="I52" s="1">
        <v>0</v>
      </c>
    </row>
    <row r="53" spans="1:9">
      <c r="A53" s="9">
        <v>45297</v>
      </c>
      <c r="B53" s="1">
        <f t="shared" si="0"/>
        <v>2024</v>
      </c>
      <c r="C53" s="1">
        <f t="shared" si="1"/>
        <v>1</v>
      </c>
      <c r="D53" s="1" t="s">
        <v>115</v>
      </c>
      <c r="E53" s="1">
        <v>0</v>
      </c>
      <c r="F53" s="6">
        <v>0</v>
      </c>
      <c r="G53" s="1">
        <v>0</v>
      </c>
      <c r="H53" s="1">
        <v>0</v>
      </c>
      <c r="I53" s="1">
        <v>0</v>
      </c>
    </row>
    <row r="54" spans="1:9">
      <c r="A54" s="9">
        <v>45323</v>
      </c>
      <c r="B54" s="1">
        <f t="shared" si="0"/>
        <v>2024</v>
      </c>
      <c r="C54" s="1">
        <f t="shared" si="1"/>
        <v>2</v>
      </c>
      <c r="D54" s="1" t="s">
        <v>111</v>
      </c>
      <c r="E54" s="6">
        <v>3468</v>
      </c>
      <c r="F54" s="6">
        <v>3091</v>
      </c>
      <c r="G54" s="30">
        <v>2370594771</v>
      </c>
      <c r="H54" s="1">
        <v>17</v>
      </c>
      <c r="I54" s="1">
        <v>21</v>
      </c>
    </row>
    <row r="55" spans="1:9">
      <c r="A55" s="9">
        <v>45324</v>
      </c>
      <c r="B55" s="1">
        <f t="shared" si="0"/>
        <v>2024</v>
      </c>
      <c r="C55" s="1">
        <f t="shared" si="1"/>
        <v>2</v>
      </c>
      <c r="D55" s="1" t="s">
        <v>113</v>
      </c>
      <c r="E55" s="6">
        <v>4380</v>
      </c>
      <c r="F55" s="6">
        <v>3989</v>
      </c>
      <c r="G55" s="30">
        <v>2094177201</v>
      </c>
      <c r="H55" s="1">
        <v>26</v>
      </c>
      <c r="I55" s="1">
        <v>21</v>
      </c>
    </row>
    <row r="56" spans="1:9">
      <c r="A56" s="9">
        <v>45325</v>
      </c>
      <c r="B56" s="1">
        <f t="shared" si="0"/>
        <v>2024</v>
      </c>
      <c r="C56" s="1">
        <f t="shared" si="1"/>
        <v>2</v>
      </c>
      <c r="D56" s="1" t="s">
        <v>118</v>
      </c>
      <c r="E56" s="1">
        <v>180</v>
      </c>
      <c r="F56" s="6">
        <v>170</v>
      </c>
      <c r="G56" s="30">
        <v>101807721</v>
      </c>
      <c r="H56" s="1">
        <v>27</v>
      </c>
      <c r="I56" s="1">
        <v>9</v>
      </c>
    </row>
    <row r="57" spans="1:9">
      <c r="A57" s="9">
        <v>45326</v>
      </c>
      <c r="B57" s="1">
        <f t="shared" si="0"/>
        <v>2024</v>
      </c>
      <c r="C57" s="1">
        <f t="shared" si="1"/>
        <v>2</v>
      </c>
      <c r="D57" s="1" t="s">
        <v>116</v>
      </c>
      <c r="E57" s="1">
        <v>0</v>
      </c>
      <c r="F57" s="6">
        <v>0</v>
      </c>
      <c r="G57" s="1">
        <v>0</v>
      </c>
      <c r="H57" s="1">
        <v>0</v>
      </c>
      <c r="I57" s="1">
        <v>0</v>
      </c>
    </row>
    <row r="58" spans="1:9">
      <c r="A58" s="9">
        <v>45327</v>
      </c>
      <c r="B58" s="1">
        <f t="shared" si="0"/>
        <v>2024</v>
      </c>
      <c r="C58" s="1">
        <f t="shared" si="1"/>
        <v>2</v>
      </c>
      <c r="D58" s="1" t="s">
        <v>117</v>
      </c>
      <c r="E58" s="1">
        <v>0</v>
      </c>
      <c r="F58" s="6">
        <v>0</v>
      </c>
      <c r="G58" s="1">
        <v>0</v>
      </c>
      <c r="H58" s="1">
        <v>0</v>
      </c>
      <c r="I58" s="1">
        <v>0</v>
      </c>
    </row>
    <row r="59" spans="1:9">
      <c r="A59" s="9">
        <v>45328</v>
      </c>
      <c r="B59" s="1">
        <f t="shared" si="0"/>
        <v>2024</v>
      </c>
      <c r="C59" s="1">
        <f t="shared" si="1"/>
        <v>2</v>
      </c>
      <c r="D59" s="1" t="s">
        <v>115</v>
      </c>
      <c r="E59" s="1">
        <v>0</v>
      </c>
      <c r="F59" s="6">
        <v>0</v>
      </c>
      <c r="G59" s="1">
        <v>0</v>
      </c>
      <c r="H59" s="1">
        <v>0</v>
      </c>
      <c r="I59" s="1">
        <v>0</v>
      </c>
    </row>
    <row r="60" spans="1:9">
      <c r="A60" s="9">
        <v>45352</v>
      </c>
      <c r="B60" s="1">
        <f t="shared" si="0"/>
        <v>2024</v>
      </c>
      <c r="C60" s="1">
        <f t="shared" si="1"/>
        <v>3</v>
      </c>
      <c r="D60" s="1" t="s">
        <v>111</v>
      </c>
      <c r="E60" s="6">
        <v>2440</v>
      </c>
      <c r="F60" s="6">
        <v>2238</v>
      </c>
      <c r="G60" s="30">
        <v>1399863070</v>
      </c>
      <c r="H60" s="1">
        <v>20</v>
      </c>
      <c r="I60" s="1">
        <v>20</v>
      </c>
    </row>
    <row r="61" spans="1:9">
      <c r="A61" s="9">
        <v>45352</v>
      </c>
      <c r="B61" s="1">
        <f t="shared" si="0"/>
        <v>2024</v>
      </c>
      <c r="C61" s="1">
        <f t="shared" si="1"/>
        <v>3</v>
      </c>
      <c r="D61" s="1" t="s">
        <v>113</v>
      </c>
      <c r="E61" s="6">
        <v>5601</v>
      </c>
      <c r="F61" s="6">
        <v>4976</v>
      </c>
      <c r="G61" s="30">
        <v>2613464333</v>
      </c>
      <c r="H61" s="1">
        <v>27</v>
      </c>
      <c r="I61" s="1">
        <v>19</v>
      </c>
    </row>
    <row r="62" spans="1:9">
      <c r="A62" s="9">
        <v>45352</v>
      </c>
      <c r="B62" s="1">
        <f t="shared" si="0"/>
        <v>2024</v>
      </c>
      <c r="C62" s="1">
        <f t="shared" si="1"/>
        <v>3</v>
      </c>
      <c r="D62" s="1" t="s">
        <v>118</v>
      </c>
      <c r="E62" s="1">
        <v>154</v>
      </c>
      <c r="F62" s="6">
        <v>141</v>
      </c>
      <c r="G62" s="30">
        <v>85056263</v>
      </c>
      <c r="H62" s="1">
        <v>26</v>
      </c>
      <c r="I62" s="1">
        <v>11</v>
      </c>
    </row>
    <row r="63" spans="1:9">
      <c r="A63" s="9">
        <v>45352</v>
      </c>
      <c r="B63" s="1">
        <f t="shared" si="0"/>
        <v>2024</v>
      </c>
      <c r="C63" s="1">
        <f t="shared" si="1"/>
        <v>3</v>
      </c>
      <c r="D63" s="1" t="s">
        <v>116</v>
      </c>
      <c r="E63" s="1">
        <v>54</v>
      </c>
      <c r="F63" s="6">
        <v>35</v>
      </c>
      <c r="G63" s="30">
        <v>25079941</v>
      </c>
      <c r="H63" s="1">
        <v>27</v>
      </c>
      <c r="I63" s="1">
        <v>15</v>
      </c>
    </row>
    <row r="64" spans="1:9">
      <c r="A64" s="9">
        <v>45352</v>
      </c>
      <c r="B64" s="1">
        <f t="shared" si="0"/>
        <v>2024</v>
      </c>
      <c r="C64" s="1">
        <f t="shared" si="1"/>
        <v>3</v>
      </c>
      <c r="D64" s="1" t="s">
        <v>117</v>
      </c>
      <c r="E64" s="1">
        <v>399</v>
      </c>
      <c r="F64" s="6">
        <v>338</v>
      </c>
      <c r="G64" s="30">
        <v>123224051</v>
      </c>
      <c r="H64" s="1">
        <v>23</v>
      </c>
      <c r="I64" s="1">
        <v>15</v>
      </c>
    </row>
    <row r="65" spans="1:9">
      <c r="A65" s="9">
        <v>45383</v>
      </c>
      <c r="B65" s="1">
        <f t="shared" si="0"/>
        <v>2024</v>
      </c>
      <c r="C65" s="1">
        <f t="shared" si="1"/>
        <v>4</v>
      </c>
      <c r="D65" s="1" t="s">
        <v>113</v>
      </c>
      <c r="E65" s="6">
        <v>2567</v>
      </c>
      <c r="F65" s="6">
        <v>2326</v>
      </c>
      <c r="G65" s="30">
        <v>930689145</v>
      </c>
      <c r="H65" s="1">
        <v>28</v>
      </c>
      <c r="I65" s="1">
        <v>22</v>
      </c>
    </row>
    <row r="66" spans="1:9">
      <c r="A66" s="9">
        <v>45383</v>
      </c>
      <c r="B66" s="1">
        <f t="shared" si="0"/>
        <v>2024</v>
      </c>
      <c r="C66" s="1">
        <f t="shared" si="1"/>
        <v>4</v>
      </c>
      <c r="D66" s="1" t="s">
        <v>111</v>
      </c>
      <c r="E66" s="6">
        <v>582</v>
      </c>
      <c r="F66" s="6">
        <v>555</v>
      </c>
      <c r="G66" s="30">
        <v>283417055</v>
      </c>
      <c r="H66" s="1">
        <v>21</v>
      </c>
      <c r="I66" s="1">
        <v>15</v>
      </c>
    </row>
    <row r="67" spans="1:9">
      <c r="A67" s="9">
        <v>45383</v>
      </c>
      <c r="B67" s="1">
        <f t="shared" si="0"/>
        <v>2024</v>
      </c>
      <c r="C67" s="1">
        <f t="shared" si="1"/>
        <v>4</v>
      </c>
      <c r="D67" s="1" t="s">
        <v>117</v>
      </c>
      <c r="E67" s="1">
        <v>198</v>
      </c>
      <c r="F67" s="6">
        <v>164</v>
      </c>
      <c r="G67" s="30">
        <v>56644725</v>
      </c>
      <c r="H67" s="1">
        <v>22</v>
      </c>
      <c r="I67" s="1">
        <v>16</v>
      </c>
    </row>
    <row r="68" spans="1:9">
      <c r="A68" s="9">
        <v>45383</v>
      </c>
      <c r="B68" s="1">
        <f t="shared" si="0"/>
        <v>2024</v>
      </c>
      <c r="C68" s="1">
        <f t="shared" si="1"/>
        <v>4</v>
      </c>
      <c r="D68" s="1" t="s">
        <v>116</v>
      </c>
      <c r="E68" s="1">
        <v>361</v>
      </c>
      <c r="F68" s="6">
        <v>316</v>
      </c>
      <c r="G68" s="30">
        <v>179329420</v>
      </c>
      <c r="H68" s="1">
        <v>21</v>
      </c>
      <c r="I68" s="1">
        <v>16</v>
      </c>
    </row>
    <row r="69" spans="1:9">
      <c r="A69" s="9">
        <v>45383</v>
      </c>
      <c r="B69" s="1">
        <f t="shared" si="0"/>
        <v>2024</v>
      </c>
      <c r="C69" s="1">
        <f t="shared" si="1"/>
        <v>4</v>
      </c>
      <c r="D69" s="1" t="s">
        <v>118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>
      <c r="A70" s="9">
        <v>45383</v>
      </c>
      <c r="B70" s="1">
        <f t="shared" si="0"/>
        <v>2024</v>
      </c>
      <c r="C70" s="1">
        <f t="shared" si="1"/>
        <v>4</v>
      </c>
      <c r="D70" s="1" t="s">
        <v>115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s="9">
        <v>45413</v>
      </c>
      <c r="B71" s="1">
        <f t="shared" si="0"/>
        <v>2024</v>
      </c>
      <c r="C71" s="1">
        <f t="shared" si="1"/>
        <v>5</v>
      </c>
      <c r="D71" s="1" t="s">
        <v>113</v>
      </c>
      <c r="E71" s="6">
        <v>1934</v>
      </c>
      <c r="F71" s="6">
        <v>1710</v>
      </c>
      <c r="G71" s="30">
        <v>609150572</v>
      </c>
      <c r="H71" s="1">
        <v>27</v>
      </c>
      <c r="I71" s="1">
        <v>21</v>
      </c>
    </row>
    <row r="72" spans="1:9">
      <c r="A72" s="9">
        <v>45413</v>
      </c>
      <c r="B72" s="1">
        <f t="shared" si="0"/>
        <v>2024</v>
      </c>
      <c r="C72" s="1">
        <f t="shared" si="1"/>
        <v>5</v>
      </c>
      <c r="D72" s="1" t="s">
        <v>111</v>
      </c>
      <c r="E72" s="6">
        <v>1800</v>
      </c>
      <c r="F72" s="6">
        <v>1687</v>
      </c>
      <c r="G72" s="30">
        <v>754626752</v>
      </c>
      <c r="H72" s="1">
        <v>18</v>
      </c>
      <c r="I72" s="1">
        <v>13</v>
      </c>
    </row>
    <row r="73" spans="1:9">
      <c r="A73" s="9">
        <v>45413</v>
      </c>
      <c r="B73" s="1">
        <f t="shared" si="0"/>
        <v>2024</v>
      </c>
      <c r="C73" s="1">
        <f t="shared" si="1"/>
        <v>5</v>
      </c>
      <c r="D73" s="1" t="s">
        <v>117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>
      <c r="A74" s="9">
        <v>45413</v>
      </c>
      <c r="B74" s="1">
        <f t="shared" si="0"/>
        <v>2024</v>
      </c>
      <c r="C74" s="1">
        <f t="shared" si="1"/>
        <v>5</v>
      </c>
      <c r="D74" s="1" t="s">
        <v>116</v>
      </c>
      <c r="E74" s="1">
        <v>312</v>
      </c>
      <c r="F74" s="1">
        <v>285</v>
      </c>
      <c r="G74" s="30">
        <v>170356421</v>
      </c>
      <c r="H74" s="1">
        <v>9</v>
      </c>
      <c r="I74" s="1">
        <v>6</v>
      </c>
    </row>
    <row r="75" spans="1:9">
      <c r="A75" s="9">
        <v>45413</v>
      </c>
      <c r="B75" s="1">
        <f t="shared" si="0"/>
        <v>2024</v>
      </c>
      <c r="C75" s="1">
        <f t="shared" si="1"/>
        <v>5</v>
      </c>
      <c r="D75" s="1" t="s">
        <v>118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>
      <c r="A76" s="9">
        <v>45413</v>
      </c>
      <c r="B76" s="1">
        <f t="shared" si="0"/>
        <v>2024</v>
      </c>
      <c r="C76" s="1">
        <f t="shared" si="1"/>
        <v>5</v>
      </c>
      <c r="D76" s="1" t="s">
        <v>115</v>
      </c>
      <c r="E76" s="1" t="s">
        <v>107</v>
      </c>
      <c r="F76" s="1" t="s">
        <v>107</v>
      </c>
      <c r="G76" s="1" t="s">
        <v>109</v>
      </c>
      <c r="H76" s="1" t="s">
        <v>107</v>
      </c>
      <c r="I76" s="1" t="s">
        <v>107</v>
      </c>
    </row>
    <row r="77" spans="1:9">
      <c r="A77" s="9">
        <v>45444</v>
      </c>
      <c r="B77" s="1">
        <f t="shared" si="0"/>
        <v>2024</v>
      </c>
      <c r="C77" s="1">
        <f t="shared" si="1"/>
        <v>6</v>
      </c>
      <c r="D77" s="1" t="s">
        <v>113</v>
      </c>
      <c r="E77" s="6">
        <v>3982</v>
      </c>
      <c r="F77" s="6">
        <v>3642</v>
      </c>
      <c r="G77" s="30">
        <v>1864907539</v>
      </c>
      <c r="H77" s="1">
        <v>29</v>
      </c>
      <c r="I77" s="1">
        <v>23</v>
      </c>
    </row>
    <row r="78" spans="1:9">
      <c r="A78" s="9">
        <v>45444</v>
      </c>
      <c r="B78" s="1">
        <f t="shared" si="0"/>
        <v>2024</v>
      </c>
      <c r="C78" s="1">
        <f t="shared" si="1"/>
        <v>6</v>
      </c>
      <c r="D78" s="1" t="s">
        <v>111</v>
      </c>
      <c r="E78" s="6">
        <v>2583</v>
      </c>
      <c r="F78" s="6">
        <v>2352</v>
      </c>
      <c r="G78" s="30">
        <v>1394637184</v>
      </c>
      <c r="H78" s="1">
        <v>21</v>
      </c>
      <c r="I78" s="1">
        <v>14</v>
      </c>
    </row>
    <row r="79" spans="1:9">
      <c r="A79" s="9">
        <v>45444</v>
      </c>
      <c r="B79" s="1">
        <f t="shared" si="0"/>
        <v>2024</v>
      </c>
      <c r="C79" s="1">
        <f t="shared" si="1"/>
        <v>6</v>
      </c>
      <c r="D79" s="1" t="s">
        <v>116</v>
      </c>
      <c r="E79" s="6">
        <v>1828</v>
      </c>
      <c r="F79" s="6">
        <v>1016</v>
      </c>
      <c r="G79" s="30">
        <v>1753069425</v>
      </c>
      <c r="H79" s="1">
        <v>48</v>
      </c>
      <c r="I79" s="1">
        <v>54</v>
      </c>
    </row>
    <row r="80" spans="1:9">
      <c r="A80" s="9">
        <v>45444</v>
      </c>
      <c r="B80" s="1">
        <f t="shared" si="0"/>
        <v>2024</v>
      </c>
      <c r="C80" s="1">
        <f t="shared" si="1"/>
        <v>6</v>
      </c>
      <c r="D80" s="1" t="s">
        <v>117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>
      <c r="A81" s="9">
        <v>45444</v>
      </c>
      <c r="B81" s="1">
        <f t="shared" si="0"/>
        <v>2024</v>
      </c>
      <c r="C81" s="1">
        <f t="shared" si="1"/>
        <v>6</v>
      </c>
      <c r="D81" s="1" t="s">
        <v>118</v>
      </c>
      <c r="E81" s="1">
        <v>54</v>
      </c>
      <c r="F81" s="1">
        <v>46</v>
      </c>
      <c r="G81" s="30">
        <v>29756500</v>
      </c>
      <c r="H81" s="1">
        <v>27</v>
      </c>
      <c r="I81" s="1">
        <v>10</v>
      </c>
    </row>
    <row r="82" spans="1:9">
      <c r="A82" s="9">
        <v>45444</v>
      </c>
      <c r="B82" s="1">
        <f t="shared" si="0"/>
        <v>2024</v>
      </c>
      <c r="C82" s="1">
        <f t="shared" si="1"/>
        <v>6</v>
      </c>
      <c r="D82" s="1" t="s">
        <v>115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>
      <c r="A83" s="9">
        <v>45474</v>
      </c>
      <c r="B83" s="1">
        <f t="shared" si="0"/>
        <v>2024</v>
      </c>
      <c r="C83" s="1">
        <f t="shared" si="1"/>
        <v>7</v>
      </c>
      <c r="D83" s="1" t="s">
        <v>111</v>
      </c>
      <c r="E83" s="6">
        <v>2069</v>
      </c>
      <c r="F83" s="6">
        <v>1918</v>
      </c>
      <c r="G83" s="168">
        <v>1234651848</v>
      </c>
      <c r="H83" s="1">
        <v>26</v>
      </c>
      <c r="I83" s="1">
        <v>57</v>
      </c>
    </row>
    <row r="84" spans="1:9">
      <c r="A84" s="9">
        <v>45475</v>
      </c>
      <c r="B84" s="1">
        <f t="shared" si="0"/>
        <v>2024</v>
      </c>
      <c r="C84" s="1">
        <f t="shared" si="1"/>
        <v>7</v>
      </c>
      <c r="D84" s="1" t="s">
        <v>116</v>
      </c>
      <c r="E84" s="1">
        <v>242</v>
      </c>
      <c r="F84" s="6">
        <v>232</v>
      </c>
      <c r="G84" s="168">
        <v>84771495</v>
      </c>
      <c r="H84" s="1">
        <v>25</v>
      </c>
      <c r="I84" s="1">
        <v>47</v>
      </c>
    </row>
    <row r="85" spans="1:9">
      <c r="A85" s="9">
        <v>45476</v>
      </c>
      <c r="B85" s="1">
        <f t="shared" si="0"/>
        <v>2024</v>
      </c>
      <c r="C85" s="1">
        <f t="shared" si="1"/>
        <v>7</v>
      </c>
      <c r="D85" s="1" t="s">
        <v>103</v>
      </c>
      <c r="E85" s="6">
        <v>0</v>
      </c>
      <c r="F85" s="6">
        <v>0</v>
      </c>
      <c r="G85" s="1">
        <v>0</v>
      </c>
      <c r="H85" s="1">
        <v>0</v>
      </c>
      <c r="I85" s="1">
        <v>0</v>
      </c>
    </row>
    <row r="86" spans="1:9">
      <c r="A86" s="9">
        <v>45477</v>
      </c>
      <c r="B86" s="1">
        <f t="shared" si="0"/>
        <v>2024</v>
      </c>
      <c r="C86" s="1">
        <f t="shared" si="1"/>
        <v>7</v>
      </c>
      <c r="D86" s="1" t="s">
        <v>119</v>
      </c>
      <c r="E86" s="1">
        <v>503</v>
      </c>
      <c r="F86" s="6">
        <v>398</v>
      </c>
      <c r="G86" s="168">
        <v>186379965</v>
      </c>
      <c r="H86" s="1">
        <v>27</v>
      </c>
      <c r="I86" s="1">
        <v>70</v>
      </c>
    </row>
    <row r="87" spans="1:9">
      <c r="A87" s="9">
        <v>45478</v>
      </c>
      <c r="B87" s="1">
        <f t="shared" si="0"/>
        <v>2024</v>
      </c>
      <c r="C87" s="1">
        <f t="shared" si="1"/>
        <v>7</v>
      </c>
      <c r="D87" s="1" t="s">
        <v>115</v>
      </c>
      <c r="E87" s="6">
        <v>0</v>
      </c>
      <c r="F87" s="6">
        <v>0</v>
      </c>
      <c r="G87" s="1">
        <v>0</v>
      </c>
      <c r="H87" s="1">
        <v>0</v>
      </c>
      <c r="I87" s="1">
        <v>0</v>
      </c>
    </row>
    <row r="88" spans="1:9">
      <c r="A88" s="9">
        <v>45479</v>
      </c>
      <c r="B88" s="1">
        <f t="shared" si="0"/>
        <v>2024</v>
      </c>
      <c r="C88" s="1">
        <f t="shared" si="1"/>
        <v>7</v>
      </c>
      <c r="D88" s="1" t="s">
        <v>120</v>
      </c>
      <c r="E88" s="6">
        <v>0</v>
      </c>
      <c r="F88" s="6">
        <v>0</v>
      </c>
      <c r="G88" s="1">
        <v>0</v>
      </c>
      <c r="H88" s="1">
        <v>0</v>
      </c>
      <c r="I88" s="1">
        <v>0</v>
      </c>
    </row>
    <row r="89" spans="1:9">
      <c r="A89" s="9">
        <v>45480</v>
      </c>
      <c r="B89" s="1">
        <f t="shared" si="0"/>
        <v>2024</v>
      </c>
      <c r="C89" s="1">
        <f t="shared" si="1"/>
        <v>7</v>
      </c>
      <c r="D89" s="1" t="s">
        <v>113</v>
      </c>
      <c r="E89" s="6">
        <v>2443</v>
      </c>
      <c r="F89" s="6">
        <v>2191</v>
      </c>
      <c r="G89" s="168">
        <v>1230082968</v>
      </c>
      <c r="H89" s="1">
        <v>25</v>
      </c>
      <c r="I89" s="1">
        <v>47</v>
      </c>
    </row>
    <row r="90" spans="1:9">
      <c r="A90" s="9">
        <v>45481</v>
      </c>
      <c r="B90" s="1">
        <f t="shared" si="0"/>
        <v>2024</v>
      </c>
      <c r="C90" s="1">
        <f t="shared" si="1"/>
        <v>7</v>
      </c>
      <c r="D90" s="1" t="s">
        <v>118</v>
      </c>
      <c r="E90" s="1">
        <v>85</v>
      </c>
      <c r="F90" s="6">
        <v>83</v>
      </c>
      <c r="G90" s="168">
        <v>48464152</v>
      </c>
      <c r="H90" s="1">
        <v>25</v>
      </c>
      <c r="I90" s="1">
        <v>62</v>
      </c>
    </row>
    <row r="91" spans="1:9">
      <c r="A91" s="9">
        <v>45505</v>
      </c>
      <c r="B91" s="1">
        <f t="shared" si="0"/>
        <v>2024</v>
      </c>
      <c r="C91" s="1">
        <f t="shared" si="1"/>
        <v>8</v>
      </c>
      <c r="D91" s="1" t="s">
        <v>111</v>
      </c>
      <c r="E91" s="36">
        <v>915</v>
      </c>
      <c r="F91" s="169">
        <v>868</v>
      </c>
      <c r="G91" s="170">
        <v>462457782</v>
      </c>
      <c r="H91" s="36">
        <v>19</v>
      </c>
      <c r="I91" s="36">
        <v>11</v>
      </c>
    </row>
    <row r="92" spans="1:9">
      <c r="A92" s="9">
        <v>45505</v>
      </c>
      <c r="B92" s="1">
        <f t="shared" si="0"/>
        <v>2024</v>
      </c>
      <c r="C92" s="1">
        <f t="shared" si="1"/>
        <v>8</v>
      </c>
      <c r="D92" s="1" t="s">
        <v>116</v>
      </c>
      <c r="E92" s="36">
        <v>0</v>
      </c>
      <c r="F92" s="169">
        <v>0</v>
      </c>
      <c r="G92" s="36">
        <v>0</v>
      </c>
      <c r="H92" s="36">
        <v>0</v>
      </c>
      <c r="I92" s="36">
        <v>0</v>
      </c>
    </row>
    <row r="93" spans="1:9">
      <c r="A93" s="9">
        <v>45505</v>
      </c>
      <c r="B93" s="1">
        <f t="shared" si="0"/>
        <v>2024</v>
      </c>
      <c r="C93" s="1">
        <f t="shared" si="1"/>
        <v>8</v>
      </c>
      <c r="D93" s="1" t="s">
        <v>103</v>
      </c>
      <c r="E93" s="36">
        <v>0</v>
      </c>
      <c r="F93" s="169">
        <v>0</v>
      </c>
      <c r="G93" s="36">
        <v>0</v>
      </c>
      <c r="H93" s="36">
        <v>0</v>
      </c>
      <c r="I93" s="36">
        <v>0</v>
      </c>
    </row>
    <row r="94" spans="1:9">
      <c r="A94" s="9">
        <v>45505</v>
      </c>
      <c r="B94" s="1">
        <f t="shared" si="0"/>
        <v>2024</v>
      </c>
      <c r="C94" s="1">
        <f t="shared" si="1"/>
        <v>8</v>
      </c>
      <c r="D94" s="1" t="s">
        <v>119</v>
      </c>
      <c r="E94" s="36">
        <v>0</v>
      </c>
      <c r="F94" s="169">
        <v>0</v>
      </c>
      <c r="G94" s="36">
        <v>0</v>
      </c>
      <c r="H94" s="36">
        <v>0</v>
      </c>
      <c r="I94" s="36">
        <v>0</v>
      </c>
    </row>
    <row r="95" spans="1:9">
      <c r="A95" s="9">
        <v>45505</v>
      </c>
      <c r="B95" s="1">
        <f t="shared" si="0"/>
        <v>2024</v>
      </c>
      <c r="C95" s="1">
        <f t="shared" si="1"/>
        <v>8</v>
      </c>
      <c r="D95" s="1" t="s">
        <v>115</v>
      </c>
      <c r="E95" s="36">
        <v>0</v>
      </c>
      <c r="F95" s="169">
        <v>0</v>
      </c>
      <c r="G95" s="36">
        <v>0</v>
      </c>
      <c r="H95" s="36">
        <v>0</v>
      </c>
      <c r="I95" s="36">
        <v>0</v>
      </c>
    </row>
    <row r="96" spans="1:9">
      <c r="A96" s="9">
        <v>45505</v>
      </c>
      <c r="B96" s="1">
        <f t="shared" si="0"/>
        <v>2024</v>
      </c>
      <c r="C96" s="1">
        <f t="shared" si="1"/>
        <v>8</v>
      </c>
      <c r="D96" s="1" t="s">
        <v>120</v>
      </c>
      <c r="E96" s="36">
        <v>0</v>
      </c>
      <c r="F96" s="169">
        <v>0</v>
      </c>
      <c r="G96" s="36">
        <v>0</v>
      </c>
      <c r="H96" s="36">
        <v>0</v>
      </c>
      <c r="I96" s="36">
        <v>0</v>
      </c>
    </row>
    <row r="97" spans="1:9">
      <c r="A97" s="9">
        <v>45505</v>
      </c>
      <c r="B97" s="1">
        <f t="shared" si="0"/>
        <v>2024</v>
      </c>
      <c r="C97" s="1">
        <f t="shared" si="1"/>
        <v>8</v>
      </c>
      <c r="D97" s="50" t="s">
        <v>113</v>
      </c>
      <c r="E97" s="169">
        <v>4939</v>
      </c>
      <c r="F97" s="169">
        <v>4408</v>
      </c>
      <c r="G97" s="170">
        <v>2289185647</v>
      </c>
      <c r="H97" s="36">
        <v>26</v>
      </c>
      <c r="I97" s="36">
        <v>19</v>
      </c>
    </row>
    <row r="98" spans="1:9">
      <c r="A98" s="9">
        <v>45505</v>
      </c>
      <c r="B98" s="1">
        <f t="shared" si="0"/>
        <v>2024</v>
      </c>
      <c r="C98" s="1">
        <f t="shared" si="1"/>
        <v>8</v>
      </c>
      <c r="D98" s="50" t="s">
        <v>118</v>
      </c>
      <c r="E98" s="36">
        <v>72</v>
      </c>
      <c r="F98" s="169">
        <v>64</v>
      </c>
      <c r="G98" s="170">
        <v>41750612</v>
      </c>
      <c r="H98" s="36">
        <v>21</v>
      </c>
      <c r="I98" s="36">
        <v>6</v>
      </c>
    </row>
    <row r="99" spans="1:9">
      <c r="A99" s="9">
        <v>45536</v>
      </c>
      <c r="B99" s="1">
        <f t="shared" si="0"/>
        <v>2024</v>
      </c>
      <c r="C99" s="1">
        <f t="shared" si="1"/>
        <v>9</v>
      </c>
      <c r="D99" s="50" t="s">
        <v>119</v>
      </c>
      <c r="E99" s="6">
        <v>134</v>
      </c>
      <c r="F99" s="6">
        <v>100</v>
      </c>
      <c r="G99" s="30">
        <v>41787020</v>
      </c>
      <c r="H99" s="31">
        <v>16.850000000000001</v>
      </c>
      <c r="I99" s="31">
        <v>20.05</v>
      </c>
    </row>
    <row r="100" spans="1:9">
      <c r="A100" s="9">
        <v>45536</v>
      </c>
      <c r="B100" s="1">
        <f t="shared" si="0"/>
        <v>2024</v>
      </c>
      <c r="C100" s="1">
        <f t="shared" si="1"/>
        <v>9</v>
      </c>
      <c r="D100" s="50" t="s">
        <v>116</v>
      </c>
      <c r="E100" s="6">
        <v>19</v>
      </c>
      <c r="F100" s="6">
        <v>12</v>
      </c>
      <c r="G100" s="30">
        <v>8480494</v>
      </c>
      <c r="H100" s="31">
        <v>27.91</v>
      </c>
      <c r="I100" s="31">
        <v>1.08</v>
      </c>
    </row>
    <row r="101" spans="1:9">
      <c r="A101" s="9">
        <v>45536</v>
      </c>
      <c r="B101" s="1">
        <f t="shared" si="0"/>
        <v>2024</v>
      </c>
      <c r="C101" s="1">
        <f t="shared" si="1"/>
        <v>9</v>
      </c>
      <c r="D101" s="50" t="s">
        <v>118</v>
      </c>
      <c r="E101" s="6">
        <v>61</v>
      </c>
      <c r="F101" s="6">
        <v>56</v>
      </c>
      <c r="G101" s="30">
        <v>32059377</v>
      </c>
      <c r="H101" s="31">
        <v>39.159999999999997</v>
      </c>
      <c r="I101" s="31">
        <v>15.26</v>
      </c>
    </row>
    <row r="102" spans="1:9">
      <c r="A102" s="9">
        <v>45536</v>
      </c>
      <c r="B102" s="1">
        <f t="shared" si="0"/>
        <v>2024</v>
      </c>
      <c r="C102" s="1">
        <f t="shared" si="1"/>
        <v>9</v>
      </c>
      <c r="D102" s="25" t="s">
        <v>111</v>
      </c>
      <c r="E102" s="6">
        <v>711</v>
      </c>
      <c r="F102" s="6">
        <v>624</v>
      </c>
      <c r="G102" s="30">
        <v>324916395</v>
      </c>
      <c r="H102" s="31">
        <v>15.66</v>
      </c>
      <c r="I102" s="31">
        <v>11.7</v>
      </c>
    </row>
    <row r="103" spans="1:9">
      <c r="A103" s="9">
        <v>45536</v>
      </c>
      <c r="B103" s="1">
        <f t="shared" si="0"/>
        <v>2024</v>
      </c>
      <c r="C103" s="1">
        <f t="shared" si="1"/>
        <v>9</v>
      </c>
      <c r="D103" s="25" t="s">
        <v>113</v>
      </c>
      <c r="E103" s="1">
        <v>4980</v>
      </c>
      <c r="F103" s="6">
        <v>4458</v>
      </c>
      <c r="G103" s="30">
        <v>2289820635</v>
      </c>
      <c r="H103" s="31">
        <v>26.36</v>
      </c>
      <c r="I103" s="31">
        <v>20.22</v>
      </c>
    </row>
    <row r="104" spans="1:9">
      <c r="A104" s="9">
        <v>45566</v>
      </c>
      <c r="B104" s="1">
        <v>2024</v>
      </c>
      <c r="C104" s="1">
        <v>10</v>
      </c>
      <c r="D104" s="1" t="s">
        <v>111</v>
      </c>
      <c r="E104" s="1">
        <v>711</v>
      </c>
      <c r="F104" s="1">
        <v>624</v>
      </c>
      <c r="G104" s="28">
        <v>324916395</v>
      </c>
      <c r="H104" s="31">
        <v>16</v>
      </c>
      <c r="I104" s="31">
        <v>12</v>
      </c>
    </row>
    <row r="105" spans="1:9">
      <c r="A105" s="9">
        <v>45566</v>
      </c>
      <c r="B105" s="1">
        <v>2024</v>
      </c>
      <c r="C105" s="1">
        <v>10</v>
      </c>
      <c r="D105" s="1" t="s">
        <v>113</v>
      </c>
      <c r="E105" s="6">
        <v>4980</v>
      </c>
      <c r="F105" s="6">
        <v>4458</v>
      </c>
      <c r="G105" s="6">
        <v>2289820635</v>
      </c>
      <c r="H105" s="1">
        <v>26</v>
      </c>
      <c r="I105" s="1">
        <v>20</v>
      </c>
    </row>
    <row r="106" spans="1:9">
      <c r="A106" s="9">
        <v>45566</v>
      </c>
      <c r="B106" s="1">
        <v>2024</v>
      </c>
      <c r="C106" s="1">
        <v>10</v>
      </c>
      <c r="D106" s="1" t="s">
        <v>116</v>
      </c>
      <c r="E106" s="1">
        <v>19</v>
      </c>
      <c r="F106" s="1">
        <v>12</v>
      </c>
      <c r="G106" s="28">
        <v>8480494</v>
      </c>
      <c r="H106" s="31">
        <v>28</v>
      </c>
      <c r="I106" s="31">
        <v>1</v>
      </c>
    </row>
    <row r="107" spans="1:9">
      <c r="A107" s="9">
        <v>45566</v>
      </c>
      <c r="B107" s="1">
        <v>2024</v>
      </c>
      <c r="C107" s="1">
        <v>10</v>
      </c>
      <c r="D107" s="1" t="s">
        <v>119</v>
      </c>
      <c r="E107" s="1">
        <v>134</v>
      </c>
      <c r="F107" s="1">
        <v>100</v>
      </c>
      <c r="G107" s="28">
        <v>41787020</v>
      </c>
      <c r="H107" s="31">
        <v>17</v>
      </c>
      <c r="I107" s="31">
        <v>20</v>
      </c>
    </row>
    <row r="108" spans="1:9">
      <c r="A108" s="9">
        <v>45567</v>
      </c>
      <c r="B108" s="1">
        <v>2024</v>
      </c>
      <c r="C108" s="1">
        <v>10</v>
      </c>
      <c r="D108" s="1" t="s">
        <v>118</v>
      </c>
      <c r="E108" s="1">
        <v>61</v>
      </c>
      <c r="F108" s="1">
        <v>56</v>
      </c>
      <c r="G108" s="28">
        <v>32059377</v>
      </c>
      <c r="H108" s="31">
        <v>39</v>
      </c>
      <c r="I108" s="31">
        <v>15</v>
      </c>
    </row>
    <row r="109" spans="1:9">
      <c r="A109" s="9">
        <v>45597</v>
      </c>
      <c r="B109" s="1">
        <v>2024</v>
      </c>
      <c r="C109" s="1">
        <v>11</v>
      </c>
      <c r="D109" s="1" t="s">
        <v>111</v>
      </c>
      <c r="E109" s="6">
        <v>1067</v>
      </c>
      <c r="F109" s="6">
        <v>836</v>
      </c>
      <c r="G109" s="30">
        <v>385967359</v>
      </c>
      <c r="H109" s="1">
        <v>18</v>
      </c>
      <c r="I109" s="1">
        <v>15</v>
      </c>
    </row>
    <row r="110" spans="1:9">
      <c r="A110" s="9">
        <v>45597</v>
      </c>
      <c r="B110" s="1">
        <v>2024</v>
      </c>
      <c r="C110" s="1">
        <v>11</v>
      </c>
      <c r="D110" s="1" t="s">
        <v>116</v>
      </c>
      <c r="E110" s="6">
        <v>641</v>
      </c>
      <c r="F110" s="6">
        <v>516</v>
      </c>
      <c r="G110" s="30">
        <v>259250047</v>
      </c>
      <c r="H110" s="1">
        <v>21</v>
      </c>
      <c r="I110" s="1">
        <v>14</v>
      </c>
    </row>
    <row r="111" spans="1:9">
      <c r="A111" s="9">
        <v>45597</v>
      </c>
      <c r="B111" s="1">
        <v>2024</v>
      </c>
      <c r="C111" s="1">
        <v>11</v>
      </c>
      <c r="D111" s="1" t="s">
        <v>103</v>
      </c>
      <c r="E111" s="6">
        <v>0</v>
      </c>
      <c r="F111" s="6">
        <v>0</v>
      </c>
      <c r="G111" s="30">
        <v>0</v>
      </c>
      <c r="H111" s="1">
        <v>0</v>
      </c>
      <c r="I111" s="1">
        <v>0</v>
      </c>
    </row>
    <row r="112" spans="1:9">
      <c r="A112" s="9">
        <v>45597</v>
      </c>
      <c r="B112" s="1">
        <v>2024</v>
      </c>
      <c r="C112" s="1">
        <v>11</v>
      </c>
      <c r="D112" s="1" t="s">
        <v>119</v>
      </c>
      <c r="E112" s="6">
        <v>152</v>
      </c>
      <c r="F112" s="6">
        <v>132</v>
      </c>
      <c r="G112" s="30">
        <v>48093290</v>
      </c>
      <c r="H112" s="1">
        <v>23</v>
      </c>
      <c r="I112" s="1">
        <v>7</v>
      </c>
    </row>
    <row r="113" spans="1:9">
      <c r="A113" s="9">
        <v>45597</v>
      </c>
      <c r="B113" s="1">
        <v>2024</v>
      </c>
      <c r="C113" s="1">
        <v>11</v>
      </c>
      <c r="D113" s="1" t="s">
        <v>113</v>
      </c>
      <c r="E113" s="6">
        <v>4401</v>
      </c>
      <c r="F113" s="6">
        <v>3941</v>
      </c>
      <c r="G113" s="30">
        <v>1979038105</v>
      </c>
      <c r="H113" s="1">
        <v>27</v>
      </c>
      <c r="I113" s="1">
        <v>20</v>
      </c>
    </row>
    <row r="114" spans="1:9">
      <c r="A114" s="9">
        <v>45597</v>
      </c>
      <c r="B114" s="1">
        <v>2024</v>
      </c>
      <c r="C114" s="1">
        <v>11</v>
      </c>
      <c r="D114" s="1" t="s">
        <v>118</v>
      </c>
      <c r="E114" s="1">
        <v>0</v>
      </c>
      <c r="F114" s="6">
        <v>0</v>
      </c>
      <c r="G114" s="30">
        <v>0</v>
      </c>
      <c r="H114" s="6">
        <v>0</v>
      </c>
      <c r="I114" s="6">
        <v>0</v>
      </c>
    </row>
    <row r="115" spans="1:9">
      <c r="A115" s="10">
        <v>45627</v>
      </c>
      <c r="B115" s="1">
        <f t="shared" ref="B115:B138" si="2">YEAR(A115)</f>
        <v>2024</v>
      </c>
      <c r="C115" s="1">
        <f t="shared" ref="C115:C138" si="3">MONTH(A115)</f>
        <v>12</v>
      </c>
      <c r="D115" s="2" t="s">
        <v>113</v>
      </c>
      <c r="E115" s="47">
        <v>47565</v>
      </c>
      <c r="F115" s="47">
        <v>42760</v>
      </c>
      <c r="G115" s="48">
        <v>21515092429</v>
      </c>
      <c r="H115" s="49">
        <v>27</v>
      </c>
      <c r="I115" s="49">
        <v>22</v>
      </c>
    </row>
    <row r="116" spans="1:9">
      <c r="A116" s="10">
        <v>45628</v>
      </c>
      <c r="B116" s="1">
        <f t="shared" si="2"/>
        <v>2024</v>
      </c>
      <c r="C116" s="1">
        <f t="shared" si="3"/>
        <v>12</v>
      </c>
      <c r="D116" s="2" t="s">
        <v>111</v>
      </c>
      <c r="E116" s="47">
        <v>23645</v>
      </c>
      <c r="F116" s="47">
        <v>21183</v>
      </c>
      <c r="G116" s="48">
        <v>13111255684</v>
      </c>
      <c r="H116" s="49">
        <v>20</v>
      </c>
      <c r="I116" s="49">
        <v>18</v>
      </c>
    </row>
    <row r="117" spans="1:9">
      <c r="A117" s="10">
        <v>45629</v>
      </c>
      <c r="B117" s="1">
        <f t="shared" si="2"/>
        <v>2024</v>
      </c>
      <c r="C117" s="1">
        <f t="shared" si="3"/>
        <v>12</v>
      </c>
      <c r="D117" s="2" t="s">
        <v>116</v>
      </c>
      <c r="E117" s="47">
        <v>3130</v>
      </c>
      <c r="F117" s="47">
        <v>2642</v>
      </c>
      <c r="G117" s="48">
        <v>1471449624</v>
      </c>
      <c r="H117" s="49">
        <v>22</v>
      </c>
      <c r="I117" s="49">
        <v>15</v>
      </c>
    </row>
    <row r="118" spans="1:9">
      <c r="A118" s="10">
        <v>45630</v>
      </c>
      <c r="B118" s="1">
        <f t="shared" si="2"/>
        <v>2024</v>
      </c>
      <c r="C118" s="1">
        <f t="shared" si="3"/>
        <v>12</v>
      </c>
      <c r="D118" s="2" t="s">
        <v>103</v>
      </c>
      <c r="E118" s="47">
        <v>1638</v>
      </c>
      <c r="F118" s="47">
        <v>851</v>
      </c>
      <c r="G118" s="48">
        <v>1657678972</v>
      </c>
      <c r="H118" s="49">
        <v>21</v>
      </c>
      <c r="I118" s="49">
        <v>39</v>
      </c>
    </row>
    <row r="119" spans="1:9">
      <c r="A119" s="10">
        <v>45631</v>
      </c>
      <c r="B119" s="1">
        <f t="shared" si="2"/>
        <v>2024</v>
      </c>
      <c r="C119" s="1">
        <f t="shared" si="3"/>
        <v>12</v>
      </c>
      <c r="D119" s="2" t="s">
        <v>119</v>
      </c>
      <c r="E119" s="47">
        <v>1386</v>
      </c>
      <c r="F119" s="47">
        <v>1132</v>
      </c>
      <c r="G119" s="48">
        <v>456129051</v>
      </c>
      <c r="H119" s="49">
        <v>22</v>
      </c>
      <c r="I119" s="49">
        <v>26</v>
      </c>
    </row>
    <row r="120" spans="1:9">
      <c r="A120" s="10">
        <v>45632</v>
      </c>
      <c r="B120" s="1">
        <f t="shared" si="2"/>
        <v>2024</v>
      </c>
      <c r="C120" s="1">
        <f t="shared" si="3"/>
        <v>12</v>
      </c>
      <c r="D120" s="2" t="s">
        <v>118</v>
      </c>
      <c r="E120" s="47">
        <v>671</v>
      </c>
      <c r="F120" s="47">
        <v>621</v>
      </c>
      <c r="G120" s="48">
        <v>376302903</v>
      </c>
      <c r="H120" s="49">
        <v>27</v>
      </c>
      <c r="I120" s="49">
        <v>18</v>
      </c>
    </row>
    <row r="121" spans="1:9">
      <c r="A121" s="10">
        <v>45633</v>
      </c>
      <c r="B121" s="1">
        <f t="shared" si="2"/>
        <v>2024</v>
      </c>
      <c r="C121" s="1">
        <f t="shared" si="3"/>
        <v>12</v>
      </c>
      <c r="D121" s="2" t="s">
        <v>115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</row>
    <row r="122" spans="1:9">
      <c r="A122" s="10">
        <v>45634</v>
      </c>
      <c r="B122" s="1">
        <f t="shared" si="2"/>
        <v>2024</v>
      </c>
      <c r="C122" s="1">
        <f t="shared" si="3"/>
        <v>12</v>
      </c>
      <c r="D122" s="2" t="s">
        <v>120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</row>
    <row r="123" spans="1:9">
      <c r="A123" s="10">
        <v>45658</v>
      </c>
      <c r="B123" s="1">
        <f t="shared" si="2"/>
        <v>2025</v>
      </c>
      <c r="C123" s="1">
        <f t="shared" si="3"/>
        <v>1</v>
      </c>
      <c r="D123" s="2" t="s">
        <v>113</v>
      </c>
      <c r="E123" s="47">
        <v>4397</v>
      </c>
      <c r="F123" s="47">
        <v>3905</v>
      </c>
      <c r="G123" s="171">
        <v>2091200473</v>
      </c>
      <c r="H123" s="49">
        <v>27</v>
      </c>
      <c r="I123" s="49">
        <v>16</v>
      </c>
    </row>
    <row r="124" spans="1:9">
      <c r="A124" s="10">
        <v>45659</v>
      </c>
      <c r="B124" s="1">
        <f t="shared" si="2"/>
        <v>2025</v>
      </c>
      <c r="C124" s="1">
        <f t="shared" si="3"/>
        <v>1</v>
      </c>
      <c r="D124" s="2" t="s">
        <v>111</v>
      </c>
      <c r="E124" s="47">
        <v>921</v>
      </c>
      <c r="F124" s="47">
        <v>851</v>
      </c>
      <c r="G124" s="48">
        <v>330250895</v>
      </c>
      <c r="H124" s="49">
        <v>22</v>
      </c>
      <c r="I124" s="49">
        <v>16</v>
      </c>
    </row>
    <row r="125" spans="1:9">
      <c r="A125" s="10">
        <v>45660</v>
      </c>
      <c r="B125" s="1">
        <f t="shared" si="2"/>
        <v>2025</v>
      </c>
      <c r="C125" s="1">
        <f t="shared" si="3"/>
        <v>1</v>
      </c>
      <c r="D125" s="2" t="s">
        <v>119</v>
      </c>
      <c r="E125" s="47">
        <v>377</v>
      </c>
      <c r="F125" s="47">
        <v>321</v>
      </c>
      <c r="G125" s="48">
        <v>125732785</v>
      </c>
      <c r="H125" s="49">
        <v>27</v>
      </c>
      <c r="I125" s="49">
        <v>14</v>
      </c>
    </row>
    <row r="126" spans="1:9">
      <c r="A126" s="10">
        <v>45661</v>
      </c>
      <c r="B126" s="1">
        <f t="shared" si="2"/>
        <v>2025</v>
      </c>
      <c r="C126" s="1">
        <f t="shared" si="3"/>
        <v>1</v>
      </c>
      <c r="D126" s="2" t="s">
        <v>116</v>
      </c>
      <c r="E126" s="47">
        <v>244</v>
      </c>
      <c r="F126" s="47">
        <v>166</v>
      </c>
      <c r="G126" s="48">
        <v>63754467</v>
      </c>
      <c r="H126" s="49">
        <v>19</v>
      </c>
      <c r="I126" s="49">
        <v>13</v>
      </c>
    </row>
    <row r="127" spans="1:9">
      <c r="A127" s="10">
        <v>45662</v>
      </c>
      <c r="B127" s="1">
        <f t="shared" si="2"/>
        <v>2025</v>
      </c>
      <c r="C127" s="1">
        <f t="shared" si="3"/>
        <v>1</v>
      </c>
      <c r="D127" s="2" t="s">
        <v>103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</row>
    <row r="128" spans="1:9">
      <c r="A128" s="10">
        <v>45663</v>
      </c>
      <c r="B128" s="1">
        <f t="shared" si="2"/>
        <v>2025</v>
      </c>
      <c r="C128" s="1">
        <f t="shared" si="3"/>
        <v>1</v>
      </c>
      <c r="D128" s="2" t="s">
        <v>118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</row>
    <row r="129" spans="1:9">
      <c r="A129" s="10">
        <v>45664</v>
      </c>
      <c r="B129" s="1">
        <f t="shared" si="2"/>
        <v>2025</v>
      </c>
      <c r="C129" s="1">
        <f t="shared" si="3"/>
        <v>1</v>
      </c>
      <c r="D129" s="2" t="s">
        <v>115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</row>
    <row r="130" spans="1:9">
      <c r="A130" s="10">
        <v>45665</v>
      </c>
      <c r="B130" s="1">
        <f t="shared" si="2"/>
        <v>2025</v>
      </c>
      <c r="C130" s="1">
        <f t="shared" si="3"/>
        <v>1</v>
      </c>
      <c r="D130" s="2" t="s">
        <v>120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</row>
    <row r="131" spans="1:9">
      <c r="A131" s="10">
        <v>45696</v>
      </c>
      <c r="B131" s="1">
        <f t="shared" si="2"/>
        <v>2025</v>
      </c>
      <c r="C131" s="1">
        <f t="shared" si="3"/>
        <v>2</v>
      </c>
      <c r="D131" s="172" t="s">
        <v>113</v>
      </c>
      <c r="E131" s="156">
        <v>9153</v>
      </c>
      <c r="F131" s="156">
        <v>8219</v>
      </c>
      <c r="G131" s="173">
        <v>4444586002</v>
      </c>
      <c r="H131" s="165">
        <v>26</v>
      </c>
      <c r="I131" s="158">
        <v>18</v>
      </c>
    </row>
    <row r="132" spans="1:9">
      <c r="A132" s="10">
        <v>45696</v>
      </c>
      <c r="B132" s="1">
        <f t="shared" si="2"/>
        <v>2025</v>
      </c>
      <c r="C132" s="1">
        <f t="shared" si="3"/>
        <v>2</v>
      </c>
      <c r="D132" s="174" t="s">
        <v>111</v>
      </c>
      <c r="E132" s="159">
        <v>2590</v>
      </c>
      <c r="F132" s="159">
        <v>2256</v>
      </c>
      <c r="G132" s="175">
        <v>1065940316</v>
      </c>
      <c r="H132" s="160">
        <v>22</v>
      </c>
      <c r="I132" s="158">
        <v>15</v>
      </c>
    </row>
    <row r="133" spans="1:9">
      <c r="A133" s="10">
        <v>45696</v>
      </c>
      <c r="B133" s="1">
        <f t="shared" si="2"/>
        <v>2025</v>
      </c>
      <c r="C133" s="1">
        <f t="shared" si="3"/>
        <v>2</v>
      </c>
      <c r="D133" s="172" t="s">
        <v>119</v>
      </c>
      <c r="E133" s="156">
        <v>1096</v>
      </c>
      <c r="F133" s="156">
        <v>916</v>
      </c>
      <c r="G133" s="173">
        <v>329242850</v>
      </c>
      <c r="H133" s="165">
        <v>25</v>
      </c>
      <c r="I133" s="158">
        <v>16</v>
      </c>
    </row>
    <row r="134" spans="1:9">
      <c r="A134" s="10">
        <v>45696</v>
      </c>
      <c r="B134" s="1">
        <f t="shared" si="2"/>
        <v>2025</v>
      </c>
      <c r="C134" s="1">
        <f t="shared" si="3"/>
        <v>2</v>
      </c>
      <c r="D134" s="174" t="s">
        <v>116</v>
      </c>
      <c r="E134" s="160">
        <v>817</v>
      </c>
      <c r="F134" s="159">
        <v>660</v>
      </c>
      <c r="G134" s="175">
        <v>500436765</v>
      </c>
      <c r="H134" s="160">
        <v>18</v>
      </c>
      <c r="I134" s="158">
        <v>13</v>
      </c>
    </row>
    <row r="135" spans="1:9">
      <c r="A135" s="10">
        <v>45696</v>
      </c>
      <c r="B135" s="1">
        <f t="shared" si="2"/>
        <v>2025</v>
      </c>
      <c r="C135" s="1">
        <f t="shared" si="3"/>
        <v>2</v>
      </c>
      <c r="D135" s="172" t="s">
        <v>103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</row>
    <row r="136" spans="1:9">
      <c r="A136" s="10">
        <v>45696</v>
      </c>
      <c r="B136" s="1">
        <f t="shared" si="2"/>
        <v>2025</v>
      </c>
      <c r="C136" s="1">
        <f t="shared" si="3"/>
        <v>2</v>
      </c>
      <c r="D136" s="174" t="s">
        <v>118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</row>
    <row r="137" spans="1:9">
      <c r="A137" s="10">
        <v>45696</v>
      </c>
      <c r="B137" s="1">
        <f t="shared" si="2"/>
        <v>2025</v>
      </c>
      <c r="C137" s="1">
        <f t="shared" si="3"/>
        <v>2</v>
      </c>
      <c r="D137" s="172" t="s">
        <v>115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</row>
    <row r="138" spans="1:9">
      <c r="A138" s="10">
        <v>45696</v>
      </c>
      <c r="B138" s="1">
        <f t="shared" si="2"/>
        <v>2025</v>
      </c>
      <c r="C138" s="1">
        <f t="shared" si="3"/>
        <v>2</v>
      </c>
      <c r="D138" s="174" t="s">
        <v>120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C9C242-F6E1-4F24-9E0B-9126A78C476D}"/>
</file>

<file path=customXml/itemProps2.xml><?xml version="1.0" encoding="utf-8"?>
<ds:datastoreItem xmlns:ds="http://schemas.openxmlformats.org/officeDocument/2006/customXml" ds:itemID="{EC06C5FB-94D3-4762-B3F2-566E83BDA665}"/>
</file>

<file path=customXml/itemProps3.xml><?xml version="1.0" encoding="utf-8"?>
<ds:datastoreItem xmlns:ds="http://schemas.openxmlformats.org/officeDocument/2006/customXml" ds:itemID="{9A4C81AF-8886-488D-8339-55634B965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Giovani Lintang</cp:lastModifiedBy>
  <cp:revision/>
  <dcterms:created xsi:type="dcterms:W3CDTF">2026-07-27T07:52:48Z</dcterms:created>
  <dcterms:modified xsi:type="dcterms:W3CDTF">2026-07-27T07:52:48Z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